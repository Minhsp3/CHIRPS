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uần\Buôn Kuôp\"/>
    </mc:Choice>
  </mc:AlternateContent>
  <xr:revisionPtr revIDLastSave="0" documentId="13_ncr:1_{B9938B8B-0EAD-43F6-8FBA-4D3D48AA574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K" sheetId="1" r:id="rId1"/>
  </sheets>
  <calcPr calcId="191029"/>
</workbook>
</file>

<file path=xl/calcChain.xml><?xml version="1.0" encoding="utf-8"?>
<calcChain xmlns="http://schemas.openxmlformats.org/spreadsheetml/2006/main">
  <c r="A6" i="1" l="1"/>
  <c r="C48" i="1" l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A24" i="1"/>
  <c r="A22" i="1"/>
  <c r="A20" i="1"/>
  <c r="A18" i="1"/>
  <c r="A16" i="1"/>
  <c r="G51" i="1"/>
  <c r="B8" i="1"/>
</calcChain>
</file>

<file path=xl/sharedStrings.xml><?xml version="1.0" encoding="utf-8"?>
<sst xmlns="http://schemas.openxmlformats.org/spreadsheetml/2006/main" count="70" uniqueCount="47">
  <si>
    <t>Ngày</t>
  </si>
  <si>
    <t>CỘNG HÒA XÃ HỘI CHỦ NGHĨA VIỆT NAM</t>
  </si>
  <si>
    <t>KHÍ TƯỢNG THUỶ VĂN QUỐC GIA</t>
  </si>
  <si>
    <t>Độc lập - Tự do - Hạnh phúc</t>
  </si>
  <si>
    <t>I. BẢN TIN KHÍ TƯỢNG</t>
  </si>
  <si>
    <t>1. Nhận định thời tiết</t>
  </si>
  <si>
    <t>2. Dự báo lượng mưa (mm)</t>
  </si>
  <si>
    <t>Min</t>
  </si>
  <si>
    <t>Max</t>
  </si>
  <si>
    <t>Tổng 7 ngày kế tiếp</t>
  </si>
  <si>
    <t>II. BẢN TIN THỦY VĂN</t>
  </si>
  <si>
    <t xml:space="preserve">1. Nhận định tình hình thủy văn tuần tới: </t>
  </si>
  <si>
    <r>
      <t>2. Trị số thực đo và dự báo</t>
    </r>
    <r>
      <rPr>
        <sz val="13"/>
        <color indexed="8"/>
        <rFont val="Times New Roman"/>
        <family val="1"/>
      </rPr>
      <t xml:space="preserve">: </t>
    </r>
  </si>
  <si>
    <t>Đặc trưng dự báo (m3/s):</t>
  </si>
  <si>
    <t>Tuần</t>
  </si>
  <si>
    <t>Từ ngày</t>
  </si>
  <si>
    <t>Đến ngày</t>
  </si>
  <si>
    <t>Đặc trưng</t>
  </si>
  <si>
    <t>Ghi Chú</t>
  </si>
  <si>
    <t>W-1</t>
  </si>
  <si>
    <t>Qtb</t>
  </si>
  <si>
    <t>Lưu lượng thực đo (m3/s)</t>
  </si>
  <si>
    <t>W</t>
  </si>
  <si>
    <t xml:space="preserve">Qmax </t>
  </si>
  <si>
    <t>Lưu lượng dự báo (m3/s)</t>
  </si>
  <si>
    <t>Qmin</t>
  </si>
  <si>
    <t>W+1</t>
  </si>
  <si>
    <t>Người dự báo</t>
  </si>
  <si>
    <t>Dự báo khí tượng:</t>
  </si>
  <si>
    <t>Duyệt bản tin</t>
  </si>
  <si>
    <t>Dự báo thủy văn:</t>
  </si>
  <si>
    <t>Ghi chú:</t>
  </si>
  <si>
    <t>TRUNG TÂM DỰ BÁO</t>
  </si>
  <si>
    <t>Phùng Tiến Dũng</t>
  </si>
  <si>
    <t>Lăk</t>
  </si>
  <si>
    <t>BẢN TIN DỰ BÁO THUỶ VĂN TUẦN DÒNG CHẢY ĐẾN HỒ THỦY ĐIỆN BUÔN KUÔP</t>
  </si>
  <si>
    <t>Trạm</t>
  </si>
  <si>
    <t>Hồ</t>
  </si>
  <si>
    <t>Khu giữa</t>
  </si>
  <si>
    <t>Buôntuasrah - Buôn Kuốp</t>
  </si>
  <si>
    <t>Buôn Kuốp</t>
  </si>
  <si>
    <t>Đăk Mil</t>
  </si>
  <si>
    <t xml:space="preserve">CỤC KHÍ TƯỢNG THUỶ VĂN </t>
  </si>
  <si>
    <t xml:space="preserve"> Hằng, Nhật</t>
  </si>
  <si>
    <t>Trình Thùy Nguyên</t>
  </si>
  <si>
    <t>Trong tuần tới, lưu lượng trung bình về hồ biến đổi theo xu thế tăng dần</t>
  </si>
  <si>
    <t>Khu vực có mưa rào và dông vài nơi, riêng chiều và tối có mưa rào và rải rác có dông, cục bộ có nơi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</si>
</sst>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1010000]d/m/yyyy;@"/>
    <numFmt numFmtId="165" formatCode="_ * #,##0_ ;_ * \-#,##0_ ;_ * &quot;-&quot;_ ;_ @_ "/>
    <numFmt numFmtId="166" formatCode="\$#,##0\ ;\(\$#,##0\)"/>
    <numFmt numFmtId="167" formatCode="0.0"/>
    <numFmt numFmtId="168" formatCode="0.0000"/>
  </numFmts>
  <fonts count="42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3"/>
      <name val="Times New Roman"/>
      <family val="1"/>
    </font>
    <font>
      <b/>
      <sz val="11"/>
      <color indexed="8"/>
      <name val="Times New Roman"/>
      <family val="1"/>
      <charset val="163"/>
    </font>
    <font>
      <sz val="13"/>
      <name val="Times New Roman"/>
      <family val="1"/>
    </font>
    <font>
      <b/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b/>
      <sz val="15"/>
      <color theme="1"/>
      <name val="Times New Roman"/>
      <family val="1"/>
      <charset val="163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.VnTime"/>
      <family val="2"/>
    </font>
    <font>
      <sz val="11"/>
      <color indexed="8"/>
      <name val=".VnTime"/>
      <family val="2"/>
    </font>
    <font>
      <sz val="10"/>
      <name val="Arial"/>
      <family val="2"/>
    </font>
    <font>
      <sz val="14"/>
      <name val="??"/>
      <family val="3"/>
      <charset val="129"/>
    </font>
    <font>
      <sz val="12"/>
      <name val="???"/>
      <family val="1"/>
      <charset val="129"/>
    </font>
    <font>
      <sz val="11"/>
      <name val="??"/>
      <family val="3"/>
      <charset val="129"/>
    </font>
    <font>
      <sz val="10"/>
      <name val="???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3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164" fontId="0" fillId="0" borderId="0"/>
    <xf numFmtId="0" fontId="28" fillId="0" borderId="0"/>
    <xf numFmtId="0" fontId="30" fillId="0" borderId="0"/>
    <xf numFmtId="0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4" fillId="0" borderId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27" fillId="9" borderId="0" applyNumberFormat="0" applyBorder="0" applyAlignment="0" applyProtection="0"/>
    <xf numFmtId="0" fontId="3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7" fillId="3" borderId="0" applyNumberFormat="0" applyBorder="0" applyAlignment="0" applyProtection="0"/>
    <xf numFmtId="0" fontId="35" fillId="0" borderId="0"/>
    <xf numFmtId="0" fontId="21" fillId="6" borderId="12" applyNumberFormat="0" applyAlignment="0" applyProtection="0"/>
    <xf numFmtId="0" fontId="23" fillId="7" borderId="15" applyNumberFormat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16" fillId="2" borderId="0" applyNumberFormat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9" fillId="5" borderId="12" applyNumberFormat="0" applyAlignment="0" applyProtection="0"/>
    <xf numFmtId="0" fontId="22" fillId="0" borderId="14" applyNumberFormat="0" applyFill="0" applyAlignment="0" applyProtection="0"/>
    <xf numFmtId="0" fontId="18" fillId="4" borderId="0" applyNumberFormat="0" applyBorder="0" applyAlignment="0" applyProtection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11" fillId="0" borderId="0"/>
    <xf numFmtId="0" fontId="30" fillId="0" borderId="0"/>
    <xf numFmtId="0" fontId="30" fillId="0" borderId="0"/>
    <xf numFmtId="0" fontId="38" fillId="0" borderId="0">
      <alignment wrapText="1"/>
    </xf>
    <xf numFmtId="0" fontId="38" fillId="0" borderId="0">
      <alignment wrapText="1"/>
    </xf>
    <xf numFmtId="0" fontId="38" fillId="0" borderId="0">
      <alignment wrapText="1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8" fillId="0" borderId="0">
      <alignment wrapText="1"/>
    </xf>
    <xf numFmtId="0" fontId="36" fillId="0" borderId="0"/>
    <xf numFmtId="0" fontId="30" fillId="0" borderId="0"/>
    <xf numFmtId="0" fontId="11" fillId="8" borderId="16" applyNumberFormat="0" applyFont="0" applyAlignment="0" applyProtection="0"/>
    <xf numFmtId="0" fontId="20" fillId="6" borderId="13" applyNumberFormat="0" applyAlignment="0" applyProtection="0"/>
    <xf numFmtId="9" fontId="2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6" fillId="0" borderId="17" applyNumberFormat="0" applyFill="0" applyAlignment="0" applyProtection="0"/>
    <xf numFmtId="0" fontId="24" fillId="0" borderId="0" applyNumberFormat="0" applyFill="0" applyBorder="0" applyAlignment="0" applyProtection="0"/>
    <xf numFmtId="0" fontId="11" fillId="0" borderId="0"/>
  </cellStyleXfs>
  <cellXfs count="64">
    <xf numFmtId="164" fontId="0" fillId="0" borderId="0" xfId="0"/>
    <xf numFmtId="164" fontId="1" fillId="0" borderId="0" xfId="0" applyFont="1" applyAlignment="1">
      <alignment horizontal="center" vertical="center"/>
    </xf>
    <xf numFmtId="164" fontId="2" fillId="0" borderId="0" xfId="0" applyFont="1" applyAlignment="1">
      <alignment horizontal="center" vertical="center"/>
    </xf>
    <xf numFmtId="164" fontId="6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horizontal="left" vertical="center"/>
    </xf>
    <xf numFmtId="164" fontId="3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vertical="center"/>
    </xf>
    <xf numFmtId="164" fontId="4" fillId="0" borderId="0" xfId="0" applyFont="1" applyAlignment="1">
      <alignment vertical="center"/>
    </xf>
    <xf numFmtId="164" fontId="5" fillId="0" borderId="0" xfId="0" applyFont="1" applyAlignment="1">
      <alignment horizontal="left" vertical="center"/>
    </xf>
    <xf numFmtId="164" fontId="5" fillId="0" borderId="0" xfId="0" applyFont="1" applyAlignment="1">
      <alignment horizontal="center" vertical="center"/>
    </xf>
    <xf numFmtId="164" fontId="7" fillId="0" borderId="0" xfId="0" applyFont="1" applyAlignment="1">
      <alignment vertical="center"/>
    </xf>
    <xf numFmtId="164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64" fontId="2" fillId="0" borderId="0" xfId="0" applyFont="1" applyAlignment="1">
      <alignment vertical="center"/>
    </xf>
    <xf numFmtId="164" fontId="3" fillId="0" borderId="0" xfId="0" applyFont="1" applyAlignment="1">
      <alignment horizontal="center" vertical="center" wrapText="1"/>
    </xf>
    <xf numFmtId="164" fontId="2" fillId="0" borderId="1" xfId="0" applyFont="1" applyBorder="1" applyAlignment="1">
      <alignment horizontal="center" vertical="center"/>
    </xf>
    <xf numFmtId="164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64" fontId="4" fillId="0" borderId="4" xfId="0" applyFont="1" applyBorder="1" applyAlignment="1">
      <alignment horizontal="center" vertical="center" wrapText="1"/>
    </xf>
    <xf numFmtId="164" fontId="4" fillId="0" borderId="6" xfId="0" applyFont="1" applyBorder="1" applyAlignment="1">
      <alignment horizontal="center" vertical="center"/>
    </xf>
    <xf numFmtId="164" fontId="4" fillId="0" borderId="6" xfId="0" applyFont="1" applyBorder="1" applyAlignment="1">
      <alignment horizontal="center" vertical="center" wrapText="1"/>
    </xf>
    <xf numFmtId="164" fontId="4" fillId="0" borderId="5" xfId="0" applyFont="1" applyBorder="1" applyAlignment="1">
      <alignment horizontal="center" vertical="center"/>
    </xf>
    <xf numFmtId="164" fontId="4" fillId="0" borderId="5" xfId="0" applyFont="1" applyBorder="1" applyAlignment="1">
      <alignment horizontal="center" vertical="center" wrapText="1"/>
    </xf>
    <xf numFmtId="164" fontId="2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 wrapText="1"/>
    </xf>
    <xf numFmtId="164" fontId="8" fillId="0" borderId="6" xfId="0" applyFont="1" applyBorder="1" applyAlignment="1">
      <alignment horizontal="center" vertical="center"/>
    </xf>
    <xf numFmtId="164" fontId="2" fillId="0" borderId="5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wrapText="1"/>
    </xf>
    <xf numFmtId="164" fontId="1" fillId="0" borderId="0" xfId="0" applyFont="1"/>
    <xf numFmtId="1" fontId="1" fillId="0" borderId="0" xfId="0" applyNumberFormat="1" applyFont="1" applyAlignment="1">
      <alignment vertical="center"/>
    </xf>
    <xf numFmtId="164" fontId="0" fillId="0" borderId="0" xfId="0" quotePrefix="1"/>
    <xf numFmtId="164" fontId="5" fillId="0" borderId="1" xfId="0" applyFont="1" applyBorder="1" applyAlignment="1">
      <alignment horizontal="center" vertical="center"/>
    </xf>
    <xf numFmtId="164" fontId="2" fillId="0" borderId="1" xfId="0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1" fontId="39" fillId="0" borderId="6" xfId="0" applyNumberFormat="1" applyFont="1" applyBorder="1" applyAlignment="1">
      <alignment horizontal="center" vertical="center" wrapText="1"/>
    </xf>
    <xf numFmtId="1" fontId="39" fillId="0" borderId="5" xfId="0" applyNumberFormat="1" applyFont="1" applyBorder="1" applyAlignment="1">
      <alignment horizontal="center" vertical="center" wrapText="1"/>
    </xf>
    <xf numFmtId="1" fontId="39" fillId="0" borderId="4" xfId="0" applyNumberFormat="1" applyFont="1" applyBorder="1" applyAlignment="1">
      <alignment horizontal="center" vertical="center" wrapText="1"/>
    </xf>
    <xf numFmtId="164" fontId="5" fillId="0" borderId="4" xfId="0" applyFont="1" applyBorder="1" applyAlignment="1">
      <alignment horizontal="center" vertical="center"/>
    </xf>
    <xf numFmtId="164" fontId="5" fillId="0" borderId="5" xfId="0" applyFont="1" applyBorder="1" applyAlignment="1">
      <alignment horizontal="center" vertical="center"/>
    </xf>
    <xf numFmtId="14" fontId="39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167" fontId="7" fillId="0" borderId="4" xfId="0" applyNumberFormat="1" applyFont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 wrapText="1"/>
    </xf>
    <xf numFmtId="164" fontId="7" fillId="0" borderId="0" xfId="0" applyFont="1"/>
    <xf numFmtId="0" fontId="40" fillId="0" borderId="0" xfId="105" applyFont="1" applyAlignment="1" applyProtection="1">
      <alignment vertical="center"/>
      <protection hidden="1"/>
    </xf>
    <xf numFmtId="167" fontId="39" fillId="0" borderId="6" xfId="0" applyNumberFormat="1" applyFont="1" applyBorder="1" applyAlignment="1">
      <alignment horizontal="center" vertical="center" wrapText="1"/>
    </xf>
    <xf numFmtId="164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64" fontId="41" fillId="0" borderId="0" xfId="0" applyFont="1" applyProtection="1">
      <protection locked="0"/>
    </xf>
    <xf numFmtId="164" fontId="2" fillId="0" borderId="2" xfId="0" applyFont="1" applyBorder="1" applyAlignment="1">
      <alignment horizontal="center" vertical="center"/>
    </xf>
    <xf numFmtId="164" fontId="2" fillId="0" borderId="3" xfId="0" applyFont="1" applyBorder="1" applyAlignment="1">
      <alignment horizontal="center" vertical="center"/>
    </xf>
    <xf numFmtId="164" fontId="7" fillId="0" borderId="4" xfId="0" applyFont="1" applyBorder="1" applyAlignment="1">
      <alignment horizontal="center" vertical="center" wrapText="1"/>
    </xf>
    <xf numFmtId="164" fontId="7" fillId="0" borderId="5" xfId="0" applyFont="1" applyBorder="1" applyAlignment="1">
      <alignment horizontal="center" vertical="center" wrapText="1"/>
    </xf>
    <xf numFmtId="164" fontId="1" fillId="0" borderId="1" xfId="0" applyFont="1" applyBorder="1" applyAlignment="1">
      <alignment horizontal="center" vertical="center" wrapText="1"/>
    </xf>
    <xf numFmtId="164" fontId="2" fillId="0" borderId="0" xfId="0" applyFont="1" applyAlignment="1">
      <alignment horizontal="center" vertical="center"/>
    </xf>
    <xf numFmtId="164" fontId="10" fillId="0" borderId="0" xfId="0" applyFont="1" applyAlignment="1">
      <alignment horizontal="center" vertical="center" wrapText="1"/>
    </xf>
    <xf numFmtId="164" fontId="9" fillId="0" borderId="0" xfId="0" applyFont="1" applyAlignment="1">
      <alignment horizontal="center" vertical="center" wrapText="1"/>
    </xf>
    <xf numFmtId="164" fontId="1" fillId="0" borderId="0" xfId="0" applyFont="1" applyAlignment="1">
      <alignment horizontal="center" vertical="center"/>
    </xf>
    <xf numFmtId="164" fontId="5" fillId="0" borderId="1" xfId="0" applyFont="1" applyBorder="1" applyAlignment="1">
      <alignment horizontal="center" vertical="center"/>
    </xf>
    <xf numFmtId="164" fontId="3" fillId="0" borderId="7" xfId="0" applyFont="1" applyBorder="1" applyAlignment="1">
      <alignment horizontal="center" vertical="center" wrapText="1"/>
    </xf>
    <xf numFmtId="164" fontId="3" fillId="0" borderId="8" xfId="0" applyFont="1" applyBorder="1" applyAlignment="1">
      <alignment horizontal="center" vertical="center" wrapText="1"/>
    </xf>
    <xf numFmtId="164" fontId="3" fillId="0" borderId="1" xfId="0" applyFont="1" applyBorder="1" applyAlignment="1">
      <alignment horizontal="center" vertical="center" wrapText="1"/>
    </xf>
  </cellXfs>
  <cellStyles count="106">
    <cellStyle name="??" xfId="2" xr:uid="{00000000-0005-0000-0000-000000000000}"/>
    <cellStyle name="?? [0.00]_PRODUCT DETAIL Q1" xfId="3" xr:uid="{00000000-0005-0000-0000-000001000000}"/>
    <cellStyle name="?? [0]_??" xfId="4" xr:uid="{00000000-0005-0000-0000-000002000000}"/>
    <cellStyle name="???? [0.00]_PRODUCT DETAIL Q1" xfId="5" xr:uid="{00000000-0005-0000-0000-000003000000}"/>
    <cellStyle name="????_PRODUCT DETAIL Q1" xfId="6" xr:uid="{00000000-0005-0000-0000-000004000000}"/>
    <cellStyle name="???_???" xfId="7" xr:uid="{00000000-0005-0000-0000-000005000000}"/>
    <cellStyle name="??_(????)??????" xfId="8" xr:uid="{00000000-0005-0000-0000-000006000000}"/>
    <cellStyle name="20% - Accent1 2" xfId="9" xr:uid="{00000000-0005-0000-0000-000007000000}"/>
    <cellStyle name="20% - Accent2 2" xfId="10" xr:uid="{00000000-0005-0000-0000-000008000000}"/>
    <cellStyle name="20% - Accent3 2" xfId="11" xr:uid="{00000000-0005-0000-0000-000009000000}"/>
    <cellStyle name="20% - Accent4 2" xfId="12" xr:uid="{00000000-0005-0000-0000-00000A000000}"/>
    <cellStyle name="20% - Accent5 2" xfId="13" xr:uid="{00000000-0005-0000-0000-00000B000000}"/>
    <cellStyle name="20% - Accent6 2" xfId="14" xr:uid="{00000000-0005-0000-0000-00000C000000}"/>
    <cellStyle name="40% - Accent1 2" xfId="15" xr:uid="{00000000-0005-0000-0000-00000D000000}"/>
    <cellStyle name="40% - Accent2 2" xfId="16" xr:uid="{00000000-0005-0000-0000-00000E000000}"/>
    <cellStyle name="40% - Accent3 2" xfId="17" xr:uid="{00000000-0005-0000-0000-00000F000000}"/>
    <cellStyle name="40% - Accent4 2" xfId="18" xr:uid="{00000000-0005-0000-0000-000010000000}"/>
    <cellStyle name="40% - Accent5 2" xfId="19" xr:uid="{00000000-0005-0000-0000-000011000000}"/>
    <cellStyle name="40% - Accent6 2" xfId="20" xr:uid="{00000000-0005-0000-0000-000012000000}"/>
    <cellStyle name="60% - Accent1 2" xfId="21" xr:uid="{00000000-0005-0000-0000-000013000000}"/>
    <cellStyle name="60% - Accent2 2" xfId="22" xr:uid="{00000000-0005-0000-0000-000014000000}"/>
    <cellStyle name="60% - Accent3 2" xfId="23" xr:uid="{00000000-0005-0000-0000-000015000000}"/>
    <cellStyle name="60% - Accent4 2" xfId="24" xr:uid="{00000000-0005-0000-0000-000016000000}"/>
    <cellStyle name="60% - Accent5 2" xfId="25" xr:uid="{00000000-0005-0000-0000-000017000000}"/>
    <cellStyle name="60% - Accent6 2" xfId="26" xr:uid="{00000000-0005-0000-0000-000018000000}"/>
    <cellStyle name="Accent1 2" xfId="27" xr:uid="{00000000-0005-0000-0000-000019000000}"/>
    <cellStyle name="Accent1 3" xfId="28" xr:uid="{00000000-0005-0000-0000-00001A000000}"/>
    <cellStyle name="Accent2 2" xfId="29" xr:uid="{00000000-0005-0000-0000-00001B000000}"/>
    <cellStyle name="Accent3 2" xfId="30" xr:uid="{00000000-0005-0000-0000-00001C000000}"/>
    <cellStyle name="Accent4 2" xfId="31" xr:uid="{00000000-0005-0000-0000-00001D000000}"/>
    <cellStyle name="Accent5 2" xfId="32" xr:uid="{00000000-0005-0000-0000-00001E000000}"/>
    <cellStyle name="Accent6 2" xfId="33" xr:uid="{00000000-0005-0000-0000-00001F000000}"/>
    <cellStyle name="AeE­ [0]_INQUIRY ¿µ¾÷AßAø " xfId="34" xr:uid="{00000000-0005-0000-0000-000020000000}"/>
    <cellStyle name="AeE­_INQUIRY ¿µ¾÷AßAø " xfId="35" xr:uid="{00000000-0005-0000-0000-000021000000}"/>
    <cellStyle name="AÞ¸¶ [0]_INQUIRY ¿µ¾÷AßAø " xfId="36" xr:uid="{00000000-0005-0000-0000-000022000000}"/>
    <cellStyle name="AÞ¸¶_INQUIRY ¿µ¾÷AßAø " xfId="37" xr:uid="{00000000-0005-0000-0000-000023000000}"/>
    <cellStyle name="Bad 2" xfId="38" xr:uid="{00000000-0005-0000-0000-000024000000}"/>
    <cellStyle name="C?AØ_¿µ¾÷CoE² " xfId="39" xr:uid="{00000000-0005-0000-0000-000025000000}"/>
    <cellStyle name="Calculation 2" xfId="40" xr:uid="{00000000-0005-0000-0000-000026000000}"/>
    <cellStyle name="Check Cell 2" xfId="41" xr:uid="{00000000-0005-0000-0000-000027000000}"/>
    <cellStyle name="Comma 2 2" xfId="42" xr:uid="{00000000-0005-0000-0000-000028000000}"/>
    <cellStyle name="Comma 6" xfId="43" xr:uid="{00000000-0005-0000-0000-000029000000}"/>
    <cellStyle name="Comma 6 2" xfId="44" xr:uid="{00000000-0005-0000-0000-00002A000000}"/>
    <cellStyle name="Comma0" xfId="45" xr:uid="{00000000-0005-0000-0000-00002B000000}"/>
    <cellStyle name="Currency0" xfId="46" xr:uid="{00000000-0005-0000-0000-00002C000000}"/>
    <cellStyle name="Date" xfId="47" xr:uid="{00000000-0005-0000-0000-00002D000000}"/>
    <cellStyle name="Explanatory Text 2" xfId="48" xr:uid="{00000000-0005-0000-0000-00002E000000}"/>
    <cellStyle name="Fixed" xfId="49" xr:uid="{00000000-0005-0000-0000-00002F000000}"/>
    <cellStyle name="Good 2" xfId="50" xr:uid="{00000000-0005-0000-0000-000030000000}"/>
    <cellStyle name="Heading 1 2" xfId="51" xr:uid="{00000000-0005-0000-0000-000031000000}"/>
    <cellStyle name="Heading 2 2" xfId="52" xr:uid="{00000000-0005-0000-0000-000032000000}"/>
    <cellStyle name="Heading 3 2" xfId="53" xr:uid="{00000000-0005-0000-0000-000033000000}"/>
    <cellStyle name="Heading 4 2" xfId="54" xr:uid="{00000000-0005-0000-0000-000034000000}"/>
    <cellStyle name="Input 2" xfId="55" xr:uid="{00000000-0005-0000-0000-000035000000}"/>
    <cellStyle name="Linked Cell 2" xfId="56" xr:uid="{00000000-0005-0000-0000-000036000000}"/>
    <cellStyle name="Neutral 2" xfId="57" xr:uid="{00000000-0005-0000-0000-000037000000}"/>
    <cellStyle name="Normal" xfId="0" builtinId="0"/>
    <cellStyle name="Normal 19" xfId="58" xr:uid="{00000000-0005-0000-0000-000039000000}"/>
    <cellStyle name="Normal 19 2" xfId="59" xr:uid="{00000000-0005-0000-0000-00003A000000}"/>
    <cellStyle name="Normal 2" xfId="60" xr:uid="{00000000-0005-0000-0000-00003B000000}"/>
    <cellStyle name="Normal 2 10" xfId="61" xr:uid="{00000000-0005-0000-0000-00003C000000}"/>
    <cellStyle name="Normal 2 11" xfId="62" xr:uid="{00000000-0005-0000-0000-00003D000000}"/>
    <cellStyle name="Normal 2 2" xfId="63" xr:uid="{00000000-0005-0000-0000-00003E000000}"/>
    <cellStyle name="Normal 2 2 2" xfId="64" xr:uid="{00000000-0005-0000-0000-00003F000000}"/>
    <cellStyle name="Normal 2 2 3" xfId="65" xr:uid="{00000000-0005-0000-0000-000040000000}"/>
    <cellStyle name="Normal 2 2 4" xfId="66" xr:uid="{00000000-0005-0000-0000-000041000000}"/>
    <cellStyle name="Normal 2 2 5" xfId="67" xr:uid="{00000000-0005-0000-0000-000042000000}"/>
    <cellStyle name="Normal 2 2 6" xfId="68" xr:uid="{00000000-0005-0000-0000-000043000000}"/>
    <cellStyle name="Normal 2 3" xfId="69" xr:uid="{00000000-0005-0000-0000-000044000000}"/>
    <cellStyle name="Normal 2 4" xfId="70" xr:uid="{00000000-0005-0000-0000-000045000000}"/>
    <cellStyle name="Normal 2 5" xfId="71" xr:uid="{00000000-0005-0000-0000-000046000000}"/>
    <cellStyle name="Normal 2 6" xfId="72" xr:uid="{00000000-0005-0000-0000-000047000000}"/>
    <cellStyle name="Normal 2 7" xfId="73" xr:uid="{00000000-0005-0000-0000-000048000000}"/>
    <cellStyle name="Normal 2 8" xfId="74" xr:uid="{00000000-0005-0000-0000-000049000000}"/>
    <cellStyle name="Normal 2 9" xfId="75" xr:uid="{00000000-0005-0000-0000-00004A000000}"/>
    <cellStyle name="Normal 24" xfId="76" xr:uid="{00000000-0005-0000-0000-00004B000000}"/>
    <cellStyle name="Normal 25" xfId="77" xr:uid="{00000000-0005-0000-0000-00004C000000}"/>
    <cellStyle name="Normal 25 2" xfId="78" xr:uid="{00000000-0005-0000-0000-00004D000000}"/>
    <cellStyle name="Normal 26" xfId="79" xr:uid="{00000000-0005-0000-0000-00004E000000}"/>
    <cellStyle name="Normal 27" xfId="80" xr:uid="{00000000-0005-0000-0000-00004F000000}"/>
    <cellStyle name="Normal 28" xfId="81" xr:uid="{00000000-0005-0000-0000-000050000000}"/>
    <cellStyle name="Normal 3" xfId="1" xr:uid="{00000000-0005-0000-0000-000051000000}"/>
    <cellStyle name="Normal 3 10" xfId="82" xr:uid="{00000000-0005-0000-0000-000052000000}"/>
    <cellStyle name="Normal 3 11" xfId="83" xr:uid="{00000000-0005-0000-0000-000053000000}"/>
    <cellStyle name="Normal 3 12" xfId="84" xr:uid="{00000000-0005-0000-0000-000054000000}"/>
    <cellStyle name="Normal 3 13" xfId="85" xr:uid="{00000000-0005-0000-0000-000055000000}"/>
    <cellStyle name="Normal 3 14" xfId="86" xr:uid="{00000000-0005-0000-0000-000056000000}"/>
    <cellStyle name="Normal 3 15" xfId="87" xr:uid="{00000000-0005-0000-0000-000057000000}"/>
    <cellStyle name="Normal 3 2" xfId="88" xr:uid="{00000000-0005-0000-0000-000058000000}"/>
    <cellStyle name="Normal 3 3" xfId="89" xr:uid="{00000000-0005-0000-0000-000059000000}"/>
    <cellStyle name="Normal 3 4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3 8" xfId="94" xr:uid="{00000000-0005-0000-0000-00005E000000}"/>
    <cellStyle name="Normal 3 9" xfId="95" xr:uid="{00000000-0005-0000-0000-00005F000000}"/>
    <cellStyle name="Normal 32" xfId="96" xr:uid="{00000000-0005-0000-0000-000060000000}"/>
    <cellStyle name="Normal 4" xfId="97" xr:uid="{00000000-0005-0000-0000-000061000000}"/>
    <cellStyle name="Normal 5" xfId="98" xr:uid="{00000000-0005-0000-0000-000062000000}"/>
    <cellStyle name="Normal 6" xfId="105" xr:uid="{00000000-0005-0000-0000-000063000000}"/>
    <cellStyle name="Note 2" xfId="99" xr:uid="{00000000-0005-0000-0000-000064000000}"/>
    <cellStyle name="Output 2" xfId="100" xr:uid="{00000000-0005-0000-0000-000065000000}"/>
    <cellStyle name="Percent 2" xfId="101" xr:uid="{00000000-0005-0000-0000-000066000000}"/>
    <cellStyle name="Title 2" xfId="102" xr:uid="{00000000-0005-0000-0000-000067000000}"/>
    <cellStyle name="Total 2" xfId="103" xr:uid="{00000000-0005-0000-0000-000068000000}"/>
    <cellStyle name="Warning Text 2" xfId="104" xr:uid="{00000000-0005-0000-0000-00006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25" zoomScale="85" zoomScaleNormal="85" workbookViewId="0">
      <selection activeCell="O50" sqref="N47:O50"/>
    </sheetView>
  </sheetViews>
  <sheetFormatPr defaultColWidth="9.140625" defaultRowHeight="16.5"/>
  <cols>
    <col min="1" max="1" width="45.5703125" style="11" customWidth="1"/>
    <col min="2" max="7" width="17.28515625" style="11" customWidth="1"/>
    <col min="8" max="8" width="9.5703125" style="11" customWidth="1"/>
    <col min="9" max="9" width="11.7109375" style="11" customWidth="1"/>
    <col min="10" max="10" width="10.42578125" style="11" customWidth="1"/>
    <col min="11" max="11" width="11.85546875" style="11" customWidth="1"/>
    <col min="12" max="12" width="11.7109375" style="11" customWidth="1"/>
    <col min="13" max="13" width="11.5703125" style="11" customWidth="1"/>
    <col min="14" max="14" width="12.28515625" style="11" customWidth="1"/>
    <col min="15" max="16384" width="9.140625" style="11"/>
  </cols>
  <sheetData>
    <row r="1" spans="1:16">
      <c r="E1" s="2" t="s">
        <v>0</v>
      </c>
      <c r="F1" s="2"/>
    </row>
    <row r="2" spans="1:16">
      <c r="E2" s="41">
        <v>46252</v>
      </c>
      <c r="F2" s="12"/>
    </row>
    <row r="3" spans="1:16">
      <c r="A3" s="1" t="s">
        <v>42</v>
      </c>
      <c r="B3" s="56" t="s">
        <v>1</v>
      </c>
      <c r="C3" s="56"/>
      <c r="D3" s="56"/>
      <c r="E3" s="56"/>
      <c r="F3" s="56"/>
      <c r="G3" s="56"/>
    </row>
    <row r="4" spans="1:16">
      <c r="A4" s="2" t="s">
        <v>32</v>
      </c>
      <c r="B4" s="56" t="s">
        <v>3</v>
      </c>
      <c r="C4" s="56"/>
      <c r="D4" s="56"/>
      <c r="E4" s="56"/>
      <c r="F4" s="56"/>
      <c r="G4" s="56"/>
    </row>
    <row r="5" spans="1:16">
      <c r="A5" s="2" t="s">
        <v>2</v>
      </c>
    </row>
    <row r="6" spans="1:16" ht="18.75" customHeight="1">
      <c r="A6" s="1" t="str">
        <f>CONCATENATE("Số: ", ($E$2-DATE(2025,12,23))/7,"-TUAN-BK/DBQG-DBTV")</f>
        <v>Số: 34-TUAN-BK/DBQG-DBTV</v>
      </c>
      <c r="B6" s="57" t="s">
        <v>35</v>
      </c>
      <c r="C6" s="57"/>
      <c r="D6" s="57"/>
      <c r="E6" s="57"/>
      <c r="F6" s="57"/>
      <c r="G6" s="57"/>
      <c r="H6" s="57"/>
    </row>
    <row r="7" spans="1:16" ht="19.5">
      <c r="B7" s="58"/>
      <c r="C7" s="58"/>
      <c r="D7" s="58"/>
      <c r="E7" s="58"/>
      <c r="F7" s="58"/>
      <c r="G7" s="58"/>
    </row>
    <row r="8" spans="1:16">
      <c r="B8" s="59" t="str">
        <f>"Hà Nội,  ngày " &amp; TEXT($E$2, "dd/MM/yyyy")</f>
        <v>Hà Nội,  ngày 18/08/2026</v>
      </c>
      <c r="C8" s="59"/>
      <c r="D8" s="59"/>
      <c r="E8" s="59"/>
      <c r="F8" s="59"/>
      <c r="G8" s="59"/>
    </row>
    <row r="9" spans="1:16">
      <c r="A9" s="6" t="s">
        <v>4</v>
      </c>
      <c r="B9" s="7"/>
      <c r="C9" s="7"/>
      <c r="D9" s="7"/>
      <c r="E9" s="13"/>
      <c r="F9" s="13"/>
      <c r="G9" s="13"/>
    </row>
    <row r="10" spans="1:16">
      <c r="A10" s="8" t="s">
        <v>5</v>
      </c>
      <c r="B10" s="9"/>
      <c r="C10" s="9"/>
      <c r="D10" s="9"/>
    </row>
    <row r="11" spans="1:16" ht="23.25" customHeight="1">
      <c r="A11" s="48" t="s">
        <v>46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3" spans="1:16">
      <c r="A13" s="13" t="s">
        <v>6</v>
      </c>
    </row>
    <row r="14" spans="1:16">
      <c r="A14" s="60" t="s">
        <v>0</v>
      </c>
      <c r="B14" s="60" t="s">
        <v>17</v>
      </c>
      <c r="C14" s="32" t="s">
        <v>36</v>
      </c>
      <c r="D14" s="32" t="s">
        <v>36</v>
      </c>
      <c r="L14" s="14"/>
      <c r="M14" s="14"/>
      <c r="N14" s="14"/>
      <c r="O14" s="14"/>
      <c r="P14" s="14"/>
    </row>
    <row r="15" spans="1:16" ht="15" customHeight="1">
      <c r="A15" s="60"/>
      <c r="B15" s="60"/>
      <c r="C15" s="3" t="s">
        <v>34</v>
      </c>
      <c r="D15" s="3" t="s">
        <v>41</v>
      </c>
    </row>
    <row r="16" spans="1:16">
      <c r="A16" s="51" t="str">
        <f>TEXT($E$2+1, "dd/MM/yyyy")</f>
        <v>19/08/2026</v>
      </c>
      <c r="B16" s="15" t="s">
        <v>7</v>
      </c>
      <c r="C16" s="49">
        <v>15</v>
      </c>
      <c r="D16" s="49">
        <v>10</v>
      </c>
    </row>
    <row r="17" spans="1:5">
      <c r="A17" s="52"/>
      <c r="B17" s="15" t="s">
        <v>8</v>
      </c>
      <c r="C17" s="49">
        <v>30</v>
      </c>
      <c r="D17" s="49">
        <v>20</v>
      </c>
    </row>
    <row r="18" spans="1:5">
      <c r="A18" s="51" t="str">
        <f>TEXT($E$2+2, "dd/MM/yyyy")</f>
        <v>20/08/2026</v>
      </c>
      <c r="B18" s="15" t="s">
        <v>7</v>
      </c>
      <c r="C18" s="49">
        <v>10</v>
      </c>
      <c r="D18" s="49">
        <v>5</v>
      </c>
    </row>
    <row r="19" spans="1:5">
      <c r="A19" s="52"/>
      <c r="B19" s="15" t="s">
        <v>8</v>
      </c>
      <c r="C19" s="49">
        <v>20</v>
      </c>
      <c r="D19" s="49">
        <v>15</v>
      </c>
    </row>
    <row r="20" spans="1:5">
      <c r="A20" s="51" t="str">
        <f>TEXT($E$2+3, "dd/MM/yyyy")</f>
        <v>21/08/2026</v>
      </c>
      <c r="B20" s="15" t="s">
        <v>7</v>
      </c>
      <c r="C20" s="49">
        <v>5</v>
      </c>
      <c r="D20" s="49">
        <v>5</v>
      </c>
    </row>
    <row r="21" spans="1:5">
      <c r="A21" s="52"/>
      <c r="B21" s="15" t="s">
        <v>8</v>
      </c>
      <c r="C21" s="49">
        <v>10</v>
      </c>
      <c r="D21" s="49">
        <v>10</v>
      </c>
    </row>
    <row r="22" spans="1:5">
      <c r="A22" s="51" t="str">
        <f>TEXT($E$2+4, "dd/MM/yyyy")</f>
        <v>22/08/2026</v>
      </c>
      <c r="B22" s="15" t="s">
        <v>7</v>
      </c>
      <c r="C22" s="49">
        <v>5</v>
      </c>
      <c r="D22" s="49">
        <v>5</v>
      </c>
    </row>
    <row r="23" spans="1:5">
      <c r="A23" s="52"/>
      <c r="B23" s="15" t="s">
        <v>8</v>
      </c>
      <c r="C23" s="49">
        <v>15</v>
      </c>
      <c r="D23" s="49">
        <v>15</v>
      </c>
    </row>
    <row r="24" spans="1:5">
      <c r="A24" s="51" t="str">
        <f>TEXT($E$2+5, "dd/MM/yyyy")</f>
        <v>23/08/2026</v>
      </c>
      <c r="B24" s="15" t="s">
        <v>7</v>
      </c>
      <c r="C24" s="49">
        <v>10</v>
      </c>
      <c r="D24" s="49">
        <v>5</v>
      </c>
    </row>
    <row r="25" spans="1:5">
      <c r="A25" s="52"/>
      <c r="B25" s="15" t="s">
        <v>8</v>
      </c>
      <c r="C25" s="49">
        <v>20</v>
      </c>
      <c r="D25" s="49">
        <v>15</v>
      </c>
    </row>
    <row r="26" spans="1:5">
      <c r="A26" s="51" t="s">
        <v>9</v>
      </c>
      <c r="B26" s="15" t="s">
        <v>7</v>
      </c>
      <c r="C26" s="49">
        <v>40</v>
      </c>
      <c r="D26" s="49">
        <v>50</v>
      </c>
    </row>
    <row r="27" spans="1:5">
      <c r="A27" s="52"/>
      <c r="B27" s="15" t="s">
        <v>8</v>
      </c>
      <c r="C27" s="49">
        <v>70</v>
      </c>
      <c r="D27" s="49">
        <v>90</v>
      </c>
    </row>
    <row r="28" spans="1:5">
      <c r="A28" s="2"/>
      <c r="B28" s="2"/>
      <c r="C28" s="13"/>
      <c r="D28" s="13"/>
    </row>
    <row r="29" spans="1:5">
      <c r="A29" s="6" t="s">
        <v>10</v>
      </c>
      <c r="B29" s="10"/>
      <c r="C29" s="10"/>
      <c r="D29" s="10"/>
      <c r="E29" s="10"/>
    </row>
    <row r="30" spans="1:5" ht="34.5" customHeight="1">
      <c r="A30" s="4" t="s">
        <v>11</v>
      </c>
      <c r="B30" s="4"/>
      <c r="C30" s="4"/>
      <c r="D30" s="7"/>
      <c r="E30" s="7"/>
    </row>
    <row r="31" spans="1:5">
      <c r="A31" s="10" t="s">
        <v>45</v>
      </c>
      <c r="B31" s="10"/>
      <c r="C31" s="10"/>
      <c r="D31" s="10"/>
      <c r="E31" s="10"/>
    </row>
    <row r="32" spans="1:5">
      <c r="A32" s="45"/>
      <c r="B32" s="10"/>
      <c r="C32" s="10"/>
      <c r="D32" s="10"/>
      <c r="E32" s="10"/>
    </row>
    <row r="33" spans="1:14">
      <c r="A33" s="10"/>
      <c r="B33" s="10"/>
      <c r="C33" s="10"/>
      <c r="D33" s="10"/>
      <c r="E33" s="10"/>
    </row>
    <row r="34" spans="1:14">
      <c r="A34" s="4" t="s">
        <v>12</v>
      </c>
      <c r="B34" s="4"/>
      <c r="C34" s="4"/>
      <c r="D34" s="7"/>
      <c r="E34" s="7"/>
      <c r="F34" s="13"/>
      <c r="G34" s="13"/>
      <c r="J34" s="42"/>
    </row>
    <row r="37" spans="1:14">
      <c r="H37" s="34"/>
    </row>
    <row r="38" spans="1:14">
      <c r="A38" s="13" t="s">
        <v>13</v>
      </c>
      <c r="F38" s="30"/>
    </row>
    <row r="39" spans="1:14">
      <c r="A39" s="61" t="s">
        <v>14</v>
      </c>
      <c r="B39" s="61" t="s">
        <v>15</v>
      </c>
      <c r="C39" s="61" t="s">
        <v>16</v>
      </c>
      <c r="D39" s="61" t="s">
        <v>17</v>
      </c>
      <c r="E39" s="33" t="s">
        <v>38</v>
      </c>
      <c r="F39" s="33" t="s">
        <v>37</v>
      </c>
      <c r="G39" s="63" t="s">
        <v>18</v>
      </c>
      <c r="I39" s="35"/>
      <c r="J39" s="35"/>
    </row>
    <row r="40" spans="1:14" ht="40.5" customHeight="1">
      <c r="A40" s="62"/>
      <c r="B40" s="62"/>
      <c r="C40" s="62"/>
      <c r="D40" s="62"/>
      <c r="E40" s="5" t="s">
        <v>39</v>
      </c>
      <c r="F40" s="5" t="s">
        <v>40</v>
      </c>
      <c r="G40" s="63"/>
      <c r="I40" s="35"/>
    </row>
    <row r="41" spans="1:14" ht="16.5" customHeight="1">
      <c r="A41" s="19" t="s">
        <v>19</v>
      </c>
      <c r="B41" s="16" t="str">
        <f>TEXT($E$2-8, "dd/MM/yyyy")</f>
        <v>10/08/2026</v>
      </c>
      <c r="C41" s="17" t="str">
        <f>TEXT($E$2-2, "dd/MM/yyyy")</f>
        <v>16/08/2026</v>
      </c>
      <c r="D41" s="39" t="s">
        <v>20</v>
      </c>
      <c r="E41" s="43">
        <v>43.91</v>
      </c>
      <c r="F41" s="43">
        <v>110.3</v>
      </c>
      <c r="G41" s="53" t="s">
        <v>21</v>
      </c>
      <c r="H41" s="34"/>
      <c r="I41" s="34"/>
      <c r="J41" s="34"/>
      <c r="K41" s="34"/>
      <c r="L41" s="34"/>
      <c r="M41" s="34"/>
    </row>
    <row r="42" spans="1:14" ht="33">
      <c r="A42" s="23" t="s">
        <v>22</v>
      </c>
      <c r="B42" s="18" t="str">
        <f>"00:00:00 " &amp; TEXT($E$2, "dd/MM/yyyy")</f>
        <v>00:00:00 18/08/2026</v>
      </c>
      <c r="C42" s="18" t="str">
        <f>"12:00:00 " &amp; TEXT($E$2, "dd/MM/yyyy")</f>
        <v>12:00:00 18/08/2026</v>
      </c>
      <c r="D42" s="40" t="s">
        <v>20</v>
      </c>
      <c r="E42" s="44">
        <v>59.363636363636374</v>
      </c>
      <c r="F42" s="44">
        <v>145.45454545454547</v>
      </c>
      <c r="G42" s="54"/>
      <c r="H42" s="34"/>
      <c r="I42" s="34"/>
    </row>
    <row r="43" spans="1:14" ht="16.5" customHeight="1">
      <c r="A43" s="19" t="s">
        <v>22</v>
      </c>
      <c r="B43" s="16" t="str">
        <f>TEXT($E$2+1, "dd/MM/yyyy")</f>
        <v>19/08/2026</v>
      </c>
      <c r="C43" s="19" t="str">
        <f>TEXT($E$2+5, "dd/MM/yyyy")</f>
        <v>23/08/2026</v>
      </c>
      <c r="D43" s="24" t="s">
        <v>23</v>
      </c>
      <c r="E43" s="25"/>
      <c r="F43" s="38">
        <v>190</v>
      </c>
      <c r="G43" s="55" t="s">
        <v>24</v>
      </c>
      <c r="H43" s="34"/>
      <c r="I43" s="34"/>
      <c r="J43" s="34"/>
      <c r="K43" s="34"/>
      <c r="L43" s="34"/>
      <c r="M43" s="35"/>
    </row>
    <row r="44" spans="1:14">
      <c r="A44" s="21" t="s">
        <v>22</v>
      </c>
      <c r="B44" s="20" t="str">
        <f>TEXT($E$2+1, "dd/MM/yyyy")</f>
        <v>19/08/2026</v>
      </c>
      <c r="C44" s="21" t="str">
        <f>TEXT($E$2+5, "dd/MM/yyyy")</f>
        <v>23/08/2026</v>
      </c>
      <c r="D44" s="26" t="s">
        <v>20</v>
      </c>
      <c r="E44" s="47">
        <v>47</v>
      </c>
      <c r="F44" s="36">
        <v>136</v>
      </c>
      <c r="G44" s="55"/>
      <c r="H44" s="34"/>
      <c r="I44" s="34"/>
      <c r="J44" s="34"/>
      <c r="K44" s="34"/>
      <c r="L44" s="34"/>
      <c r="M44" s="35"/>
      <c r="N44" s="34"/>
    </row>
    <row r="45" spans="1:14">
      <c r="A45" s="23" t="s">
        <v>22</v>
      </c>
      <c r="B45" s="22" t="str">
        <f>TEXT($E$2+1, "dd/MM/yyyy")</f>
        <v>19/08/2026</v>
      </c>
      <c r="C45" s="23" t="str">
        <f>TEXT($E$2+5, "dd/MM/yyyy")</f>
        <v>23/08/2026</v>
      </c>
      <c r="D45" s="27" t="s">
        <v>25</v>
      </c>
      <c r="E45" s="37"/>
      <c r="F45" s="37">
        <v>62</v>
      </c>
      <c r="G45" s="55"/>
      <c r="H45" s="34"/>
      <c r="I45" s="34"/>
      <c r="J45" s="34"/>
      <c r="K45" s="34"/>
      <c r="L45" s="34"/>
      <c r="M45" s="35"/>
    </row>
    <row r="46" spans="1:14">
      <c r="A46" s="19" t="s">
        <v>26</v>
      </c>
      <c r="B46" s="16" t="str">
        <f>TEXT($E$2+6, "dd/MM/yyyy")</f>
        <v>24/08/2026</v>
      </c>
      <c r="C46" s="19" t="str">
        <f>TEXT($E$2+12, "dd/MM/yyyy")</f>
        <v>30/08/2026</v>
      </c>
      <c r="D46" s="24" t="s">
        <v>23</v>
      </c>
      <c r="E46" s="38"/>
      <c r="F46" s="38">
        <v>200</v>
      </c>
      <c r="G46" s="55"/>
      <c r="H46" s="34"/>
      <c r="I46" s="34"/>
      <c r="J46" s="34"/>
      <c r="K46" s="34"/>
      <c r="L46" s="34"/>
      <c r="M46" s="35"/>
    </row>
    <row r="47" spans="1:14" ht="17.25" customHeight="1">
      <c r="A47" s="21" t="s">
        <v>26</v>
      </c>
      <c r="B47" s="20" t="str">
        <f>TEXT($E$2+6, "dd/MM/yyyy")</f>
        <v>24/08/2026</v>
      </c>
      <c r="C47" s="21" t="str">
        <f>TEXT($E$2+12, "dd/MM/yyyy")</f>
        <v>30/08/2026</v>
      </c>
      <c r="D47" s="26" t="s">
        <v>20</v>
      </c>
      <c r="E47" s="47">
        <v>50</v>
      </c>
      <c r="F47" s="36">
        <v>140</v>
      </c>
      <c r="G47" s="55"/>
      <c r="H47" s="34"/>
      <c r="I47" s="34"/>
      <c r="J47" s="34"/>
      <c r="K47" s="34"/>
      <c r="L47" s="34"/>
      <c r="M47" s="35"/>
      <c r="N47" s="34"/>
    </row>
    <row r="48" spans="1:14" ht="16.5" customHeight="1">
      <c r="A48" s="23" t="s">
        <v>26</v>
      </c>
      <c r="B48" s="22" t="str">
        <f>TEXT($E$2+6, "dd/MM/yyyy")</f>
        <v>24/08/2026</v>
      </c>
      <c r="C48" s="23" t="str">
        <f>TEXT($E$2+12, "dd/MM/yyyy")</f>
        <v>30/08/2026</v>
      </c>
      <c r="D48" s="27" t="s">
        <v>25</v>
      </c>
      <c r="E48" s="28"/>
      <c r="F48" s="37">
        <v>65</v>
      </c>
      <c r="G48" s="55"/>
      <c r="H48" s="34"/>
      <c r="I48" s="34"/>
      <c r="J48" s="34"/>
      <c r="K48" s="34"/>
      <c r="L48" s="34"/>
      <c r="M48" s="35"/>
    </row>
    <row r="49" spans="1:10">
      <c r="A49" s="13"/>
      <c r="I49" s="35"/>
    </row>
    <row r="50" spans="1:10">
      <c r="E50" s="35"/>
      <c r="F50" s="35"/>
    </row>
    <row r="51" spans="1:10">
      <c r="A51" s="13" t="s">
        <v>27</v>
      </c>
      <c r="B51" s="13"/>
      <c r="E51" s="34"/>
      <c r="F51" s="34"/>
      <c r="G51" s="56" t="str">
        <f>"Hà nội ngày  " &amp; TEXT($E$2, "dd/MM/yyyy")</f>
        <v>Hà nội ngày  18/08/2026</v>
      </c>
      <c r="H51" s="56"/>
      <c r="I51" s="56"/>
      <c r="J51" s="56"/>
    </row>
    <row r="52" spans="1:10">
      <c r="A52" s="13" t="s">
        <v>28</v>
      </c>
      <c r="B52" s="50" t="s">
        <v>44</v>
      </c>
      <c r="C52" s="34"/>
      <c r="E52" s="34"/>
      <c r="F52" s="34"/>
      <c r="G52" s="56" t="s">
        <v>29</v>
      </c>
      <c r="H52" s="56"/>
      <c r="I52" s="56"/>
      <c r="J52" s="56"/>
    </row>
    <row r="53" spans="1:10">
      <c r="A53" s="13" t="s">
        <v>30</v>
      </c>
      <c r="B53" s="13" t="s">
        <v>43</v>
      </c>
      <c r="C53" s="34"/>
      <c r="E53" s="35"/>
      <c r="F53" s="35"/>
      <c r="G53" s="13"/>
      <c r="H53" s="13"/>
      <c r="I53" s="13"/>
      <c r="J53" s="13"/>
    </row>
    <row r="54" spans="1:10">
      <c r="B54" s="34"/>
      <c r="C54" s="34"/>
      <c r="E54" s="34"/>
      <c r="F54" s="34"/>
      <c r="G54" s="13"/>
      <c r="H54" s="13"/>
      <c r="I54" s="13"/>
      <c r="J54" s="13"/>
    </row>
    <row r="55" spans="1:10">
      <c r="B55" s="34"/>
      <c r="C55" s="34"/>
      <c r="E55" s="34"/>
      <c r="G55" s="13"/>
      <c r="H55" s="13"/>
      <c r="I55" s="13"/>
      <c r="J55" s="13"/>
    </row>
    <row r="56" spans="1:10">
      <c r="B56" s="34"/>
      <c r="C56" s="34"/>
      <c r="E56" s="34"/>
      <c r="F56" s="34"/>
      <c r="G56" s="13"/>
      <c r="H56" s="13"/>
      <c r="I56" s="13"/>
      <c r="J56" s="13"/>
    </row>
    <row r="57" spans="1:10">
      <c r="B57" s="34"/>
      <c r="C57" s="34"/>
      <c r="E57" s="34"/>
      <c r="F57" s="34"/>
      <c r="G57" s="56" t="s">
        <v>33</v>
      </c>
      <c r="H57" s="56"/>
      <c r="I57" s="56"/>
      <c r="J57" s="56"/>
    </row>
    <row r="58" spans="1:10">
      <c r="B58" s="34"/>
      <c r="C58" s="34"/>
      <c r="F58" s="34"/>
    </row>
    <row r="59" spans="1:10">
      <c r="B59" s="34"/>
      <c r="C59" s="34"/>
    </row>
    <row r="60" spans="1:10">
      <c r="B60" s="34"/>
      <c r="C60" s="34"/>
    </row>
    <row r="61" spans="1:10">
      <c r="B61" s="34"/>
      <c r="C61" s="34"/>
    </row>
    <row r="62" spans="1:10">
      <c r="B62" s="34"/>
      <c r="C62" s="34"/>
    </row>
    <row r="63" spans="1:10">
      <c r="A63" s="11" t="s">
        <v>31</v>
      </c>
      <c r="B63" s="34"/>
      <c r="C63" s="34"/>
    </row>
    <row r="64" spans="1:10" s="29" customFormat="1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 s="31"/>
      <c r="C66" s="31"/>
      <c r="D66"/>
      <c r="E66" s="31"/>
    </row>
    <row r="67" spans="1:5">
      <c r="A67"/>
      <c r="B67"/>
      <c r="C67"/>
      <c r="D67"/>
      <c r="E67"/>
    </row>
    <row r="68" spans="1:5">
      <c r="A68"/>
      <c r="B68"/>
      <c r="C68"/>
      <c r="D68"/>
      <c r="E68"/>
    </row>
  </sheetData>
  <mergeCells count="23">
    <mergeCell ref="G51:J51"/>
    <mergeCell ref="G52:J52"/>
    <mergeCell ref="G57:J57"/>
    <mergeCell ref="A18:A19"/>
    <mergeCell ref="A20:A21"/>
    <mergeCell ref="A22:A23"/>
    <mergeCell ref="A24:A25"/>
    <mergeCell ref="A26:A27"/>
    <mergeCell ref="A16:A17"/>
    <mergeCell ref="G41:G42"/>
    <mergeCell ref="G43:G48"/>
    <mergeCell ref="B3:G3"/>
    <mergeCell ref="B4:G4"/>
    <mergeCell ref="B6:H6"/>
    <mergeCell ref="B7:G7"/>
    <mergeCell ref="B8:G8"/>
    <mergeCell ref="A14:A15"/>
    <mergeCell ref="B14:B15"/>
    <mergeCell ref="A39:A40"/>
    <mergeCell ref="B39:B40"/>
    <mergeCell ref="C39:C40"/>
    <mergeCell ref="D39:D40"/>
    <mergeCell ref="G39:G4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TuyetNhung2036</dc:creator>
  <cp:lastModifiedBy>Administrator</cp:lastModifiedBy>
  <dcterms:created xsi:type="dcterms:W3CDTF">2018-04-26T03:36:37Z</dcterms:created>
  <dcterms:modified xsi:type="dcterms:W3CDTF">2026-08-18T05:15:41Z</dcterms:modified>
</cp:coreProperties>
</file>