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Kuôp\"/>
    </mc:Choice>
  </mc:AlternateContent>
  <xr:revisionPtr revIDLastSave="0" documentId="13_ncr:1_{6B8A875C-F1FF-420E-BE2B-4D046CC60649}" xr6:coauthVersionLast="45" xr6:coauthVersionMax="47" xr10:uidLastSave="{00000000-0000-0000-0000-000000000000}"/>
  <bookViews>
    <workbookView xWindow="-20610" yWindow="915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1" l="1"/>
  <c r="D49" i="1" l="1"/>
  <c r="E54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<sst xmlns="http://schemas.openxmlformats.org/spreadsheetml/2006/main" count="59" uniqueCount="43">
  <si>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</si>
  <si>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</si>
  <si>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</si>
  <si>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</si>
  <si>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</si>
  <si>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</si>
  <si>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</si>
  <si>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</si>
  <si>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</si>
  <si>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</si>
  <si>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</si>
  <si>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</si>
  <si>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</si>
  <si>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</si>
  <si>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</si>
  <si>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</si>
  <si>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</si>
  <si>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</si>
  <si>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</si>
  <si>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</si>
  <si>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</si>
  <si>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</si>
  <si>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</si>
  <si>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</si>
  <si>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</si>
  <si>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</si>
  <si>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</si>
  <si>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</si>
  <si>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</si>
  <si>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</si>
  <si>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</si>
  <si>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Khu giữa</t>
  </si>
  <si>
    <t>Đăk Mil</t>
  </si>
  <si>
    <t>Lăk</t>
  </si>
  <si>
    <t>BẢN TIN DỰ BÁO THUỶ VĂN 5 NGÀY DÒNG CHẢY ĐẾN HỒ THỦY ĐIỆN BUÔN KUỐP</t>
  </si>
  <si>
    <t>Buôn Kuốp</t>
  </si>
  <si>
    <t>Buôntuasrah - Buôn Kuốp</t>
  </si>
  <si>
    <t>Phùng Tiến Dũng</t>
  </si>
  <si>
    <t>CỤC KHÍ TƯỢNG THỦY VĂN</t>
  </si>
  <si>
    <t>Hằng, Nhật</t>
  </si>
  <si>
    <t>Trong những ngày tới, dòng chảy đến hồ ít biến đổi</t>
  </si>
  <si>
    <t>Tạ Thị Hồng An</t>
  </si>
  <si>
    <t>Trong thời kỳ dự báo khu vực có mưa rào và dông tập trung chủ yếu về chiều và tối.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</si>
</sst>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35" workbookViewId="0">
      <selection activeCell="K45" sqref="K45"/>
    </sheetView>
  </sheetViews>
  <sheetFormatPr defaultRowHeight="16.5" x14ac:dyDescent="0.25"/>
  <cols>
    <col min="1" max="1" width="39.42578125" style="2" bestFit="1" customWidth="1"/>
    <col min="2" max="6" width="16.7109375" style="2" customWidth="1"/>
    <col min="7" max="8" width="8.42578125" style="2" customWidth="1"/>
    <col min="9" max="10" width="7.42578125" style="2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5">
        <v>46251</v>
      </c>
      <c r="F2" s="3">
        <f>+E2+4</f>
        <v>46255</v>
      </c>
      <c r="G2" s="1"/>
    </row>
    <row r="3" spans="1:14" x14ac:dyDescent="0.25">
      <c r="A3" s="4" t="s">
        <v>38</v>
      </c>
      <c r="B3" s="42" t="s">
        <v>2</v>
      </c>
      <c r="C3" s="42"/>
      <c r="D3" s="42"/>
      <c r="E3" s="42"/>
      <c r="F3" s="42"/>
      <c r="G3" s="42"/>
    </row>
    <row r="4" spans="1:14" x14ac:dyDescent="0.25">
      <c r="A4" s="5" t="s">
        <v>3</v>
      </c>
      <c r="B4" s="42" t="s">
        <v>4</v>
      </c>
      <c r="C4" s="42"/>
      <c r="D4" s="42"/>
      <c r="E4" s="42"/>
      <c r="F4" s="42"/>
      <c r="G4" s="42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($E$2-DATE(2026,6,30)),"-BK/DBQG-DBTV")</f>
        <v>Số: 48-BK/DBQG-DBTV</v>
      </c>
      <c r="B6" s="43" t="s">
        <v>34</v>
      </c>
      <c r="C6" s="43"/>
      <c r="D6" s="43"/>
      <c r="E6" s="43"/>
      <c r="F6" s="43"/>
      <c r="G6" s="43"/>
    </row>
    <row r="7" spans="1:14" ht="18.75" customHeight="1" x14ac:dyDescent="0.25">
      <c r="A7" s="1"/>
      <c r="B7" s="43"/>
      <c r="C7" s="43"/>
      <c r="D7" s="43"/>
      <c r="E7" s="43"/>
      <c r="F7" s="43"/>
      <c r="G7" s="43"/>
    </row>
    <row r="8" spans="1:14" x14ac:dyDescent="0.25">
      <c r="B8" s="44" t="str">
        <f>"(Từ ngày "&amp;TEXT($E$2,"dd/MM/yyyy") &amp; " đến ngày " &amp;TEXT($F$2,"dd/MM/yyyy")&amp;" )"</f>
        <v>(Từ ngày 17/08/2026 đến ngày 21/08/2026 )</v>
      </c>
      <c r="C8" s="44"/>
      <c r="D8" s="44"/>
      <c r="E8" s="44"/>
      <c r="F8" s="44"/>
      <c r="G8" s="44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17/08/2026 đến ngày 21/08/2026</v>
      </c>
      <c r="B9" s="45"/>
      <c r="C9" s="45"/>
      <c r="D9" s="45"/>
      <c r="E9" s="45"/>
      <c r="F9" s="45"/>
      <c r="G9" s="45"/>
    </row>
    <row r="10" spans="1:14" ht="19.5" customHeight="1" x14ac:dyDescent="0.25">
      <c r="A10" s="46" t="s">
        <v>42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x14ac:dyDescent="0.25">
      <c r="A11" s="2" t="s">
        <v>27</v>
      </c>
    </row>
    <row r="12" spans="1:14" x14ac:dyDescent="0.25">
      <c r="A12" s="2" t="s">
        <v>27</v>
      </c>
    </row>
    <row r="13" spans="1:14" x14ac:dyDescent="0.25">
      <c r="A13" s="2" t="s">
        <v>27</v>
      </c>
    </row>
    <row r="14" spans="1:14" x14ac:dyDescent="0.25">
      <c r="A14" s="6" t="s">
        <v>6</v>
      </c>
    </row>
    <row r="15" spans="1:14" x14ac:dyDescent="0.25">
      <c r="A15" s="38" t="s">
        <v>7</v>
      </c>
      <c r="B15" s="39" t="s">
        <v>8</v>
      </c>
      <c r="C15" s="38" t="s">
        <v>30</v>
      </c>
      <c r="D15" s="38"/>
      <c r="E15" s="38" t="s">
        <v>30</v>
      </c>
      <c r="F15" s="38"/>
    </row>
    <row r="16" spans="1:14" x14ac:dyDescent="0.25">
      <c r="A16" s="38"/>
      <c r="B16" s="40"/>
      <c r="C16" s="38" t="s">
        <v>32</v>
      </c>
      <c r="D16" s="38"/>
      <c r="E16" s="38" t="s">
        <v>33</v>
      </c>
      <c r="F16" s="38"/>
    </row>
    <row r="17" spans="1:7" x14ac:dyDescent="0.25">
      <c r="A17" s="38"/>
      <c r="B17" s="41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12/08/2026</v>
      </c>
      <c r="B18" s="47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13/08/2026</v>
      </c>
      <c r="B19" s="48"/>
      <c r="C19" s="7"/>
      <c r="D19" s="7"/>
      <c r="E19" s="7"/>
      <c r="F19" s="7"/>
    </row>
    <row r="20" spans="1:7" hidden="1" x14ac:dyDescent="0.25">
      <c r="A20" s="8" t="str">
        <f>TEXT($E$2-3, "dd/MM/yyyy")</f>
        <v>14/08/2026</v>
      </c>
      <c r="B20" s="48"/>
      <c r="C20" s="7"/>
      <c r="D20" s="7"/>
      <c r="E20" s="7"/>
      <c r="F20" s="7"/>
    </row>
    <row r="21" spans="1:7" hidden="1" x14ac:dyDescent="0.25">
      <c r="A21" s="8" t="str">
        <f>TEXT($E$2-2, "dd/MM/yyyy")</f>
        <v>15/08/2026</v>
      </c>
      <c r="B21" s="48"/>
      <c r="C21" s="7"/>
      <c r="D21" s="7"/>
      <c r="E21" s="7"/>
      <c r="F21" s="7"/>
    </row>
    <row r="22" spans="1:7" hidden="1" x14ac:dyDescent="0.25">
      <c r="A22" s="8" t="str">
        <f>TEXT($E$2-1, "dd/MM/yyyy")</f>
        <v>16/08/2026</v>
      </c>
      <c r="B22" s="49"/>
      <c r="C22" s="9"/>
      <c r="D22" s="9"/>
      <c r="E22" s="9"/>
      <c r="F22" s="9"/>
    </row>
    <row r="23" spans="1:7" x14ac:dyDescent="0.25">
      <c r="A23" s="8" t="str">
        <f>TEXT($E$2, "dd/MM/yyyy")</f>
        <v>17/08/2026</v>
      </c>
      <c r="B23" s="50" t="s">
        <v>12</v>
      </c>
      <c r="C23" s="37">
        <v>20</v>
      </c>
      <c r="D23" s="37">
        <v>10</v>
      </c>
      <c r="E23" s="37">
        <v>30</v>
      </c>
      <c r="F23" s="37">
        <v>15</v>
      </c>
    </row>
    <row r="24" spans="1:7" x14ac:dyDescent="0.25">
      <c r="A24" s="8" t="str">
        <f>TEXT($E$2+1, "dd/MM/yyyy")</f>
        <v>18/08/2026</v>
      </c>
      <c r="B24" s="51"/>
      <c r="C24" s="37">
        <v>30</v>
      </c>
      <c r="D24" s="37">
        <v>15</v>
      </c>
      <c r="E24" s="37">
        <v>40</v>
      </c>
      <c r="F24" s="37">
        <v>20</v>
      </c>
    </row>
    <row r="25" spans="1:7" x14ac:dyDescent="0.25">
      <c r="A25" s="8" t="str">
        <f>TEXT($E$2+2, "dd/MM/yyyy")</f>
        <v>19/08/2026</v>
      </c>
      <c r="B25" s="51"/>
      <c r="C25" s="37">
        <v>30</v>
      </c>
      <c r="D25" s="37">
        <v>15</v>
      </c>
      <c r="E25" s="37">
        <v>30</v>
      </c>
      <c r="F25" s="37">
        <v>15</v>
      </c>
    </row>
    <row r="26" spans="1:7" x14ac:dyDescent="0.25">
      <c r="A26" s="8" t="str">
        <f>TEXT($E$2+3, "dd/MM/yyyy")</f>
        <v>20/08/2026</v>
      </c>
      <c r="B26" s="51"/>
      <c r="C26" s="37">
        <v>20</v>
      </c>
      <c r="D26" s="37">
        <v>10</v>
      </c>
      <c r="E26" s="37">
        <v>15</v>
      </c>
      <c r="F26" s="37">
        <v>5</v>
      </c>
    </row>
    <row r="27" spans="1:7" x14ac:dyDescent="0.25">
      <c r="A27" s="8" t="str">
        <f>TEXT($E$2+4, "dd/MM/yyyy")</f>
        <v>21/08/2026</v>
      </c>
      <c r="B27" s="52"/>
      <c r="C27" s="37">
        <v>15</v>
      </c>
      <c r="D27" s="37">
        <v>5</v>
      </c>
      <c r="E27" s="37">
        <v>15</v>
      </c>
      <c r="F27" s="37">
        <v>5</v>
      </c>
    </row>
    <row r="28" spans="1:7" x14ac:dyDescent="0.25">
      <c r="B28" s="6"/>
    </row>
    <row r="29" spans="1:7" x14ac:dyDescent="0.25">
      <c r="A29" s="45" t="str">
        <f>"II. Dự báo lưu lượng đến hồ Thủy điện Buôn Kuôp từ ngày " &amp; TEXT($E$2, "dd/MM/yyyy")&amp;" đến ngày "&amp; TEXT($F$2, "dd/MM/yyyy")</f>
        <v>II. Dự báo lưu lượng đến hồ Thủy điện Buôn Kuôp từ ngày 17/08/2026 đến ngày 21/08/2026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40</v>
      </c>
    </row>
    <row r="31" spans="1:7" x14ac:dyDescent="0.25">
      <c r="A31" s="2" t="s">
        <v>27</v>
      </c>
    </row>
    <row r="32" spans="1:7" x14ac:dyDescent="0.25">
      <c r="A32" s="2" t="s">
        <v>27</v>
      </c>
    </row>
    <row r="33" spans="1:15" x14ac:dyDescent="0.25">
      <c r="A33" s="2" t="s">
        <v>27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3" t="s">
        <v>7</v>
      </c>
      <c r="B35" s="53" t="s">
        <v>14</v>
      </c>
      <c r="C35" s="11" t="s">
        <v>31</v>
      </c>
      <c r="D35" s="11" t="s">
        <v>15</v>
      </c>
      <c r="E35" s="53" t="s">
        <v>16</v>
      </c>
    </row>
    <row r="36" spans="1:15" ht="31.5" customHeight="1" x14ac:dyDescent="0.25">
      <c r="A36" s="53"/>
      <c r="B36" s="53"/>
      <c r="C36" s="26" t="s">
        <v>36</v>
      </c>
      <c r="D36" s="27" t="s">
        <v>35</v>
      </c>
      <c r="E36" s="53"/>
    </row>
    <row r="37" spans="1:15" ht="15.75" customHeight="1" x14ac:dyDescent="0.25">
      <c r="A37" s="12" t="str">
        <f>TEXT($E$2-2, "dd/MM/yyyy")</f>
        <v>15/08/2026</v>
      </c>
      <c r="B37" s="13">
        <v>13</v>
      </c>
      <c r="C37" s="28">
        <v>51</v>
      </c>
      <c r="D37" s="28">
        <v>85</v>
      </c>
      <c r="E37" s="54" t="s">
        <v>17</v>
      </c>
      <c r="F37" s="1"/>
      <c r="G37" s="1"/>
      <c r="H37" s="1"/>
      <c r="I37" s="1"/>
    </row>
    <row r="38" spans="1:15" x14ac:dyDescent="0.25">
      <c r="A38" s="14" t="str">
        <f>TEXT($E$2-2, "dd/MM/yyyy")</f>
        <v>15/08/2026</v>
      </c>
      <c r="B38" s="15">
        <v>19</v>
      </c>
      <c r="C38" s="29">
        <v>13</v>
      </c>
      <c r="D38" s="29">
        <v>98</v>
      </c>
      <c r="E38" s="55"/>
      <c r="F38" s="16"/>
      <c r="G38" s="1"/>
      <c r="H38" s="1"/>
      <c r="I38" s="1"/>
    </row>
    <row r="39" spans="1:15" x14ac:dyDescent="0.25">
      <c r="A39" s="14" t="str">
        <f>TEXT($E$2-1, "dd/MM/yyyy")</f>
        <v>16/08/2026</v>
      </c>
      <c r="B39" s="15">
        <v>1</v>
      </c>
      <c r="C39" s="29">
        <v>47</v>
      </c>
      <c r="D39" s="29">
        <v>132</v>
      </c>
      <c r="E39" s="55"/>
      <c r="F39" s="16"/>
      <c r="G39" s="1"/>
      <c r="H39" s="1"/>
      <c r="I39" s="1"/>
    </row>
    <row r="40" spans="1:15" x14ac:dyDescent="0.25">
      <c r="A40" s="14" t="str">
        <f>TEXT($E$2-1, "dd/MM/yyyy")</f>
        <v>16/08/2026</v>
      </c>
      <c r="B40" s="17">
        <v>7</v>
      </c>
      <c r="C40" s="30">
        <v>116</v>
      </c>
      <c r="D40" s="30">
        <v>120</v>
      </c>
      <c r="E40" s="55"/>
      <c r="F40" s="16"/>
      <c r="G40" s="1"/>
      <c r="H40" s="1"/>
      <c r="I40" s="1"/>
    </row>
    <row r="41" spans="1:15" x14ac:dyDescent="0.25">
      <c r="A41" s="18" t="str">
        <f>TEXT($E$2-1, "dd/MM/yyyy")</f>
        <v>16/08/2026</v>
      </c>
      <c r="B41" s="19">
        <v>13</v>
      </c>
      <c r="C41" s="31"/>
      <c r="D41" s="31"/>
      <c r="E41" s="56"/>
      <c r="F41" s="16"/>
      <c r="G41" s="16"/>
      <c r="H41" s="1"/>
    </row>
    <row r="42" spans="1:15" ht="15.75" customHeight="1" x14ac:dyDescent="0.25">
      <c r="A42" s="20" t="str">
        <f>TEXT($E$2-1, "dd/MM/yyyy")</f>
        <v>16/08/2026</v>
      </c>
      <c r="B42" s="13">
        <v>19</v>
      </c>
      <c r="C42" s="28"/>
      <c r="D42" s="28"/>
      <c r="E42" s="54" t="s">
        <v>12</v>
      </c>
      <c r="F42" s="1"/>
      <c r="G42" s="1"/>
      <c r="H42" s="1"/>
      <c r="I42" s="1"/>
      <c r="J42" s="21"/>
    </row>
    <row r="43" spans="1:15" x14ac:dyDescent="0.25">
      <c r="A43" s="14" t="str">
        <f>TEXT($E$2, "dd/MM/yyyy")</f>
        <v>17/08/2026</v>
      </c>
      <c r="B43" s="15" t="s">
        <v>7</v>
      </c>
      <c r="C43" s="29">
        <v>57</v>
      </c>
      <c r="D43" s="32">
        <v>115</v>
      </c>
      <c r="E43" s="55"/>
      <c r="F43" s="1"/>
      <c r="J43" s="1"/>
      <c r="K43" s="1"/>
      <c r="L43" s="1"/>
    </row>
    <row r="44" spans="1:15" x14ac:dyDescent="0.25">
      <c r="A44" s="14" t="str">
        <f>TEXT($E$2+1, "dd/MM/yyyy")</f>
        <v>18/08/2026</v>
      </c>
      <c r="B44" s="15" t="s">
        <v>7</v>
      </c>
      <c r="C44" s="29">
        <v>52</v>
      </c>
      <c r="D44" s="32">
        <v>122</v>
      </c>
      <c r="E44" s="55"/>
      <c r="F44" s="1"/>
      <c r="J44" s="1"/>
      <c r="K44" s="1"/>
      <c r="L44" s="1"/>
    </row>
    <row r="45" spans="1:15" x14ac:dyDescent="0.25">
      <c r="A45" s="14" t="str">
        <f>TEXT($E$2+2, "dd/MM/yyyy")</f>
        <v>19/08/2026</v>
      </c>
      <c r="B45" s="15" t="s">
        <v>7</v>
      </c>
      <c r="C45" s="29">
        <v>55</v>
      </c>
      <c r="D45" s="32">
        <v>125</v>
      </c>
      <c r="E45" s="55"/>
      <c r="F45" s="1"/>
      <c r="J45" s="1"/>
      <c r="K45" s="1"/>
      <c r="L45" s="1"/>
    </row>
    <row r="46" spans="1:15" x14ac:dyDescent="0.25">
      <c r="A46" s="14" t="str">
        <f>TEXT($E$2+3, "dd/MM/yyyy")</f>
        <v>20/08/2026</v>
      </c>
      <c r="B46" s="15" t="s">
        <v>7</v>
      </c>
      <c r="C46" s="29">
        <v>58</v>
      </c>
      <c r="D46" s="32">
        <v>120</v>
      </c>
      <c r="E46" s="55"/>
      <c r="F46" s="1"/>
      <c r="J46" s="1"/>
      <c r="K46" s="1"/>
      <c r="L46" s="1"/>
    </row>
    <row r="47" spans="1:15" x14ac:dyDescent="0.25">
      <c r="A47" s="22" t="str">
        <f>TEXT($E$2+4, "dd/MM/yyyy")</f>
        <v>21/08/2026</v>
      </c>
      <c r="B47" s="19" t="s">
        <v>7</v>
      </c>
      <c r="C47" s="29">
        <v>60</v>
      </c>
      <c r="D47" s="32">
        <v>118</v>
      </c>
      <c r="E47" s="55"/>
      <c r="F47" s="1"/>
      <c r="J47" s="1"/>
      <c r="K47" s="1"/>
      <c r="L47" s="1"/>
    </row>
    <row r="48" spans="1:15" ht="15.75" customHeight="1" x14ac:dyDescent="0.25">
      <c r="A48" s="57" t="s">
        <v>18</v>
      </c>
      <c r="B48" s="11" t="s">
        <v>19</v>
      </c>
      <c r="C48" s="33"/>
      <c r="D48" s="33">
        <v>150</v>
      </c>
      <c r="E48" s="55"/>
      <c r="F48" s="1"/>
      <c r="J48" s="1"/>
      <c r="K48" s="1"/>
      <c r="L48" s="1"/>
    </row>
    <row r="49" spans="1:12" x14ac:dyDescent="0.25">
      <c r="A49" s="58"/>
      <c r="B49" s="11" t="s">
        <v>20</v>
      </c>
      <c r="C49" s="34">
        <f>+AVERAGE(C43:C47)</f>
        <v>56.4</v>
      </c>
      <c r="D49" s="34">
        <f>+AVERAGE(D43:D47)</f>
        <v>120</v>
      </c>
      <c r="E49" s="55"/>
      <c r="F49" s="1"/>
      <c r="J49" s="1"/>
      <c r="K49" s="1"/>
      <c r="L49" s="1"/>
    </row>
    <row r="50" spans="1:12" x14ac:dyDescent="0.25">
      <c r="A50" s="59"/>
      <c r="B50" s="11" t="s">
        <v>21</v>
      </c>
      <c r="C50" s="33"/>
      <c r="D50" s="33">
        <v>75</v>
      </c>
      <c r="E50" s="56"/>
      <c r="F50" s="1"/>
      <c r="J50" s="1"/>
      <c r="K50" s="1"/>
      <c r="L50" s="1"/>
    </row>
    <row r="51" spans="1:12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2" x14ac:dyDescent="0.25">
      <c r="A52" s="24" t="s">
        <v>22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2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2" x14ac:dyDescent="0.25">
      <c r="A54" s="23" t="s">
        <v>23</v>
      </c>
      <c r="B54" s="23"/>
      <c r="C54" s="25"/>
      <c r="D54" s="25"/>
      <c r="E54" s="60" t="str">
        <f>"Hà Nội, ngày "&amp;TEXT($E$2-1,"dd/MM/yyyy")</f>
        <v>Hà Nội, ngày 16/08/2026</v>
      </c>
      <c r="F54" s="60"/>
      <c r="G54" s="60"/>
      <c r="H54" s="25"/>
      <c r="I54" s="25"/>
      <c r="J54" s="25"/>
    </row>
    <row r="55" spans="1:12" x14ac:dyDescent="0.25">
      <c r="A55" s="23" t="s">
        <v>24</v>
      </c>
      <c r="B55" s="36" t="s">
        <v>41</v>
      </c>
      <c r="C55" s="23"/>
      <c r="D55" s="23"/>
      <c r="E55" s="42" t="s">
        <v>25</v>
      </c>
      <c r="F55" s="42"/>
      <c r="G55" s="42"/>
      <c r="H55" s="23"/>
      <c r="I55" s="25"/>
      <c r="J55" s="25"/>
    </row>
    <row r="56" spans="1:12" x14ac:dyDescent="0.25">
      <c r="A56" s="23" t="s">
        <v>26</v>
      </c>
      <c r="B56" s="23" t="s">
        <v>39</v>
      </c>
      <c r="C56" s="23"/>
      <c r="D56" s="23"/>
      <c r="E56" s="23"/>
      <c r="F56" s="23"/>
      <c r="G56" s="23"/>
      <c r="H56" s="23"/>
      <c r="I56" s="25"/>
      <c r="J56" s="25"/>
    </row>
    <row r="57" spans="1:12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2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2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2" x14ac:dyDescent="0.25">
      <c r="A60" s="1"/>
      <c r="B60" s="1"/>
      <c r="C60" s="23"/>
      <c r="D60" s="23"/>
      <c r="E60" s="42" t="s">
        <v>37</v>
      </c>
      <c r="F60" s="42"/>
      <c r="G60" s="42"/>
      <c r="H60" s="23"/>
      <c r="I60" s="25"/>
      <c r="J60" s="25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22</v>
      </c>
    </row>
    <row r="67" spans="1:1" x14ac:dyDescent="0.25">
      <c r="A67" s="2" t="s">
        <v>28</v>
      </c>
    </row>
    <row r="68" spans="1:1" x14ac:dyDescent="0.25">
      <c r="A68" s="2" t="s">
        <v>29</v>
      </c>
    </row>
  </sheetData>
  <mergeCells count="24">
    <mergeCell ref="E60:G60"/>
    <mergeCell ref="B18:B22"/>
    <mergeCell ref="B23:B27"/>
    <mergeCell ref="A29:G29"/>
    <mergeCell ref="A35:A36"/>
    <mergeCell ref="B35:B36"/>
    <mergeCell ref="E35:E36"/>
    <mergeCell ref="E37:E41"/>
    <mergeCell ref="E42:E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2026-08-16T03:53:56Z</dcterms:modified>
</cp:coreProperties>
</file>