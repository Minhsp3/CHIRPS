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háng\Buôn Kuôp\"/>
    </mc:Choice>
  </mc:AlternateContent>
  <xr:revisionPtr revIDLastSave="0" documentId="13_ncr:1_{3BA9DACA-0802-45C7-A3D9-B9E9B52C78EB}" xr6:coauthVersionLast="45" xr6:coauthVersionMax="46" xr10:uidLastSave="{00000000-0000-0000-0000-000000000000}"/>
  <bookViews>
    <workbookView xWindow="-120" yWindow="-120" windowWidth="29040" windowHeight="15840" tabRatio="903" xr2:uid="{00000000-000D-0000-FFFF-FFFF00000000}"/>
  </bookViews>
  <sheets>
    <sheet name="BuonTuaSrahBuonKuop.SBThang" sheetId="22" r:id="rId1"/>
  </sheets>
  <calcPr calcId="191029"/>
</workbook>
</file>

<file path=xl/calcChain.xml><?xml version="1.0" encoding="utf-8"?>
<calcChain xmlns="http://schemas.openxmlformats.org/spreadsheetml/2006/main">
  <c r="A6" i="22" l="1"/>
  <c r="A43" i="22" l="1"/>
  <c r="A38" i="22"/>
  <c r="A27" i="22"/>
  <c r="B8" i="22"/>
  <c r="A10" i="22" l="1"/>
  <c r="A9" i="22"/>
  <c r="A19" i="22" l="1"/>
  <c r="G52" i="22" l="1"/>
  <c r="F5" i="22"/>
</calcChain>
</file>

<file path=xl/sharedStrings.xml><?xml version="1.0" encoding="utf-8"?>
<sst xmlns="http://schemas.openxmlformats.org/spreadsheetml/2006/main" count="78" uniqueCount="50">
  <si>
    <t>Ngưỡng thấp</t>
  </si>
  <si>
    <t>Ngưỡng cao</t>
  </si>
  <si>
    <t>Người dự báo</t>
  </si>
  <si>
    <t>KHÍ TƯỢNG THUỶ VĂN QUỐC GIA</t>
  </si>
  <si>
    <t>CỘNG HÒA XÃ HỘI CHỦ NGHĨA VIỆT NAM</t>
  </si>
  <si>
    <t>Độc lập - Tự do - Hạnh phúc</t>
  </si>
  <si>
    <t>…</t>
  </si>
  <si>
    <t>Dự báo khí tượng:</t>
  </si>
  <si>
    <t>Dự báo thủy văn:</t>
  </si>
  <si>
    <t>Duyệt bản tin</t>
  </si>
  <si>
    <t>Ghi chú:</t>
  </si>
  <si>
    <t xml:space="preserve">Tên thư mục: </t>
  </si>
  <si>
    <t>Vị trí các cell không được thay đổi trên mẫu</t>
  </si>
  <si>
    <t>Ngày</t>
  </si>
  <si>
    <t>Đặc trưng</t>
  </si>
  <si>
    <t>Qvề tb tháng</t>
  </si>
  <si>
    <t>Qvề max tb tháng</t>
  </si>
  <si>
    <t>Qvề max tuyệt đối</t>
  </si>
  <si>
    <t>Qvề min tb tháng</t>
  </si>
  <si>
    <t>Qvề min tuyệt đối</t>
  </si>
  <si>
    <t>Lượng mưa (mm)</t>
  </si>
  <si>
    <t>1. Nhận xét xu thế</t>
  </si>
  <si>
    <t xml:space="preserve">Qvề max </t>
  </si>
  <si>
    <t xml:space="preserve">Qvề min </t>
  </si>
  <si>
    <t>Nhiệt độ (oC)</t>
  </si>
  <si>
    <t>TBNN</t>
  </si>
  <si>
    <t>Ngưỡng</t>
  </si>
  <si>
    <t>Dự Báo</t>
  </si>
  <si>
    <t>Đăk Mil</t>
  </si>
  <si>
    <t>Lăk</t>
  </si>
  <si>
    <t>TRUNG TÂM DỰ BÁO</t>
  </si>
  <si>
    <t>Phùng Tiến Dũng</t>
  </si>
  <si>
    <t>Index trong tên file chứa bản tin:</t>
  </si>
  <si>
    <t>=0 (phát lần đầu)</t>
  </si>
  <si>
    <t>=1 (bổ sung lần 1)</t>
  </si>
  <si>
    <t>……..</t>
  </si>
  <si>
    <t>=n (bổ sung lần n)</t>
  </si>
  <si>
    <t>…\2019\Thang\TrungBoTayNguyenNamBo\BuonTuasrahBuonKuop\ThangBuonTuasrahBuonKuop_dd.mm.yyyy.index.csv</t>
  </si>
  <si>
    <t>…\2019\Thang\TrungBoTayNguyenNamBo\BuonTuasrahBuonKuop\SBThangBuonTuasrahBuonKuop_dd.mm.yyyy.index.csv</t>
  </si>
  <si>
    <t xml:space="preserve">BẢN TIN DỰ BÁO THUỶ VĂN SƠ BỘ THÁNG DÒNG CHẢY ĐẾN </t>
  </si>
  <si>
    <t>Hồ</t>
  </si>
  <si>
    <t>Khu giữa</t>
  </si>
  <si>
    <t>Trạm</t>
  </si>
  <si>
    <t>Buôn Kuốp</t>
  </si>
  <si>
    <t>Buôntuasrah - Buôn Kuốp</t>
  </si>
  <si>
    <t>HỒ THỦY ĐIỆN BUÔN KUỐP</t>
  </si>
  <si>
    <t>CỤC KHÍ TƯỢNG THUỶ VĂN</t>
  </si>
  <si>
    <t>Trong tháng tới, dòng chảy trung bình về các hồ biến đổi theo xu thế tăng dần</t>
  </si>
  <si>
    <t>Nguyễn Thanh Hoa</t>
  </si>
  <si>
    <t>Hằng,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</si>
</sst>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Times New Roman"/>
      <family val="1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1"/>
      <color rgb="FF0000FF"/>
      <name val="Times New Roman"/>
      <family val="1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9" fillId="0" borderId="0"/>
    <xf numFmtId="0" fontId="19" fillId="0" borderId="0"/>
    <xf numFmtId="0" fontId="18" fillId="0" borderId="0"/>
  </cellStyleXfs>
  <cellXfs count="65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center"/>
    </xf>
    <xf numFmtId="0" fontId="13" fillId="0" borderId="0" xfId="0" applyFont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4" fillId="0" borderId="0" xfId="0" applyNumberFormat="1" applyFont="1" applyAlignment="1">
      <alignment vertical="center"/>
    </xf>
    <xf numFmtId="1" fontId="12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10" fillId="0" borderId="0" xfId="0" applyNumberFormat="1" applyFont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selection activeCell="H41" sqref="H41"/>
    </sheetView>
  </sheetViews>
  <sheetFormatPr defaultColWidth="9.140625" defaultRowHeight="15" x14ac:dyDescent="0.25"/>
  <cols>
    <col min="1" max="1" width="39.42578125" style="4" bestFit="1" customWidth="1"/>
    <col min="2" max="2" width="25" style="4" customWidth="1"/>
    <col min="3" max="4" width="13.85546875" style="4" bestFit="1" customWidth="1"/>
    <col min="5" max="5" width="16.42578125" style="4" bestFit="1" customWidth="1"/>
    <col min="6" max="6" width="11.5703125" style="4" bestFit="1" customWidth="1"/>
    <col min="7" max="7" width="12.7109375" style="4" bestFit="1" customWidth="1"/>
    <col min="8" max="8" width="12.5703125" style="4" bestFit="1" customWidth="1"/>
    <col min="9" max="9" width="15.28515625" style="4" customWidth="1"/>
    <col min="10" max="10" width="11.85546875" style="4" bestFit="1" customWidth="1"/>
    <col min="11" max="16384" width="9.140625" style="4"/>
  </cols>
  <sheetData>
    <row r="1" spans="1:7" ht="15.75" x14ac:dyDescent="0.25">
      <c r="A1" s="3"/>
      <c r="B1" s="3"/>
      <c r="C1" s="3"/>
      <c r="D1" s="3"/>
      <c r="E1" s="2" t="s">
        <v>13</v>
      </c>
      <c r="F1" s="2"/>
      <c r="G1" s="3"/>
    </row>
    <row r="2" spans="1:7" ht="15.75" x14ac:dyDescent="0.25">
      <c r="A2" s="3"/>
      <c r="B2" s="3"/>
      <c r="C2" s="3"/>
      <c r="D2" s="3"/>
      <c r="E2" s="21">
        <v>46253</v>
      </c>
      <c r="F2" s="22"/>
      <c r="G2" s="3"/>
    </row>
    <row r="3" spans="1:7" ht="15.75" x14ac:dyDescent="0.25">
      <c r="A3" s="1" t="s">
        <v>46</v>
      </c>
      <c r="B3" s="61" t="s">
        <v>4</v>
      </c>
      <c r="C3" s="61"/>
      <c r="D3" s="61"/>
      <c r="E3" s="61"/>
      <c r="F3" s="61"/>
      <c r="G3" s="61"/>
    </row>
    <row r="4" spans="1:7" ht="15.75" x14ac:dyDescent="0.25">
      <c r="A4" s="2" t="s">
        <v>30</v>
      </c>
      <c r="B4" s="61" t="s">
        <v>5</v>
      </c>
      <c r="C4" s="61"/>
      <c r="D4" s="61"/>
      <c r="E4" s="61"/>
      <c r="F4" s="61"/>
      <c r="G4" s="61"/>
    </row>
    <row r="5" spans="1:7" ht="15.75" x14ac:dyDescent="0.25">
      <c r="A5" s="2" t="s">
        <v>3</v>
      </c>
      <c r="B5" s="3"/>
      <c r="C5" s="3"/>
      <c r="D5" s="3"/>
      <c r="E5" s="3"/>
      <c r="F5" s="3" t="str">
        <f>"Hà Nội, ngày " &amp; TEXT($E$2, "dd/MM/yyyy")</f>
        <v>Hà Nội, ngày 19/08/2026</v>
      </c>
      <c r="G5" s="3"/>
    </row>
    <row r="6" spans="1:7" ht="18.75" x14ac:dyDescent="0.25">
      <c r="A6" s="24" t="str">
        <f>IF(MONTH(E2)=12,CONCATENATE("Số: 1_SBTHANG_BK/DBQG-TVTB"),CONCATENATE("Số: ",MONTH(E2)+1,"_SBTHANG_BK/DBQG-DBTV"))</f>
        <v>Số: 9_SBTHANG_BK/DBQG-DBTV</v>
      </c>
      <c r="B6" s="62" t="s">
        <v>39</v>
      </c>
      <c r="C6" s="63"/>
      <c r="D6" s="63"/>
      <c r="E6" s="63"/>
      <c r="F6" s="63"/>
      <c r="G6" s="63"/>
    </row>
    <row r="7" spans="1:7" ht="18.75" x14ac:dyDescent="0.25">
      <c r="A7" s="3"/>
      <c r="B7" s="62" t="s">
        <v>45</v>
      </c>
      <c r="C7" s="63"/>
      <c r="D7" s="63"/>
      <c r="E7" s="63"/>
      <c r="F7" s="63"/>
      <c r="G7" s="63"/>
    </row>
    <row r="8" spans="1:7" ht="15.75" x14ac:dyDescent="0.25">
      <c r="A8" s="3"/>
      <c r="B8" s="61" t="str">
        <f>IF(MONTH(E2)=12,CONCATENATE("Tháng 1"," năm ",YEAR(E2)+1),CONCATENATE("Tháng ",MONTH(E2)+1," năm ",YEAR(E2)))</f>
        <v>Tháng 9 năm 2026</v>
      </c>
      <c r="C8" s="61"/>
      <c r="D8" s="61"/>
      <c r="E8" s="61"/>
      <c r="F8" s="61"/>
      <c r="G8" s="61"/>
    </row>
    <row r="9" spans="1:7" ht="15.75" x14ac:dyDescent="0.25">
      <c r="A9" s="60" t="str">
        <f>IF(MONTH(E2)=1,CONCATENATE("I. ĐẶC TRƯNG THUỶ VĂN THEO THỐNG KÊ NHIỀU NĂM THÁNG ", MONTH(E2)),CONCATENATE("I. ĐẶC TRƯNG THUỶ VĂN THEO THỐNG KÊ NHIỀU NĂM THÁNG ",MONTH(E2)))</f>
        <v>I. ĐẶC TRƯNG THUỶ VĂN THEO THỐNG KÊ NHIỀU NĂM THÁNG 8</v>
      </c>
      <c r="B9" s="60"/>
      <c r="C9" s="60"/>
      <c r="D9" s="60"/>
      <c r="E9" s="60"/>
      <c r="F9" s="60"/>
      <c r="G9" s="60"/>
    </row>
    <row r="10" spans="1:7" ht="15.75" x14ac:dyDescent="0.25">
      <c r="A10" s="26" t="str">
        <f>IF(MONTH(E2)=1,CONCATENATE("1. Đặc trưng theo thống kê nhiều năm tháng ", MONTH(E2)),CONCATENATE("1. Đặc trưng theo thống kê nhiều năm tháng ",,MONTH(E2)))</f>
        <v>1. Đặc trưng theo thống kê nhiều năm tháng 8</v>
      </c>
      <c r="B10" s="3"/>
      <c r="C10" s="3"/>
      <c r="D10" s="3"/>
      <c r="E10" s="3"/>
      <c r="F10" s="3"/>
      <c r="G10" s="1"/>
    </row>
    <row r="11" spans="1:7" ht="15.75" x14ac:dyDescent="0.25">
      <c r="A11" s="3" t="s">
        <v>6</v>
      </c>
      <c r="B11" s="3"/>
      <c r="C11" s="3"/>
      <c r="D11" s="3"/>
      <c r="E11" s="3"/>
      <c r="F11" s="3"/>
      <c r="G11" s="3"/>
    </row>
    <row r="12" spans="1:7" ht="15.75" customHeight="1" x14ac:dyDescent="0.25">
      <c r="A12" s="51" t="s">
        <v>14</v>
      </c>
      <c r="B12" s="25" t="s">
        <v>41</v>
      </c>
      <c r="C12" s="25" t="s">
        <v>40</v>
      </c>
      <c r="D12" s="3"/>
      <c r="E12" s="3"/>
      <c r="F12" s="3"/>
      <c r="G12" s="3"/>
    </row>
    <row r="13" spans="1:7" ht="30" customHeight="1" x14ac:dyDescent="0.25">
      <c r="A13" s="51"/>
      <c r="B13" s="5" t="s">
        <v>44</v>
      </c>
      <c r="C13" s="25" t="s">
        <v>43</v>
      </c>
      <c r="D13" s="3"/>
      <c r="E13" s="27"/>
      <c r="F13" s="3"/>
    </row>
    <row r="14" spans="1:7" ht="15.75" x14ac:dyDescent="0.25">
      <c r="A14" s="6" t="s">
        <v>15</v>
      </c>
      <c r="B14" s="35">
        <v>168.08143404533564</v>
      </c>
      <c r="C14" s="35">
        <v>288.22069746197383</v>
      </c>
      <c r="D14" s="27"/>
      <c r="F14" s="1"/>
    </row>
    <row r="15" spans="1:7" ht="15.75" x14ac:dyDescent="0.25">
      <c r="A15" s="6" t="s">
        <v>16</v>
      </c>
      <c r="B15" s="36"/>
      <c r="C15" s="29">
        <v>326.158064516129</v>
      </c>
      <c r="D15" s="27"/>
      <c r="E15" s="27"/>
      <c r="F15" s="1"/>
    </row>
    <row r="16" spans="1:7" ht="15.75" x14ac:dyDescent="0.25">
      <c r="A16" s="6" t="s">
        <v>17</v>
      </c>
      <c r="B16" s="36"/>
      <c r="C16" s="37">
        <v>437</v>
      </c>
      <c r="D16" s="27"/>
      <c r="E16" s="27"/>
      <c r="F16" s="1"/>
    </row>
    <row r="17" spans="1:9" ht="15.75" x14ac:dyDescent="0.25">
      <c r="A17" s="6" t="s">
        <v>18</v>
      </c>
      <c r="B17" s="36"/>
      <c r="C17" s="29">
        <v>133.48928387096774</v>
      </c>
      <c r="D17" s="27"/>
      <c r="E17" s="27"/>
      <c r="F17" s="1"/>
    </row>
    <row r="18" spans="1:9" ht="15.75" x14ac:dyDescent="0.25">
      <c r="A18" s="6" t="s">
        <v>19</v>
      </c>
      <c r="B18" s="29"/>
      <c r="C18" s="38">
        <v>30</v>
      </c>
      <c r="D18" s="3"/>
      <c r="E18" s="3"/>
      <c r="F18" s="3"/>
    </row>
    <row r="19" spans="1:9" ht="23.25" customHeight="1" x14ac:dyDescent="0.25">
      <c r="A19" s="26" t="str">
        <f>IF(MONTH(E2)=1,CONCATENATE("2. Đặc trưng dòng chảy tháng ", MONTH(E2)," năm ",YEAR(E2)),CONCATENATE("2. Đặc trưng dòng chảy tháng ",,MONTH(E2)," năm ",YEAR(E2)))</f>
        <v>2. Đặc trưng dòng chảy tháng 8 năm 2026</v>
      </c>
      <c r="B19" s="1"/>
      <c r="C19" s="1"/>
      <c r="D19" s="3"/>
      <c r="E19" s="3"/>
      <c r="F19" s="3"/>
    </row>
    <row r="20" spans="1:9" ht="15.75" x14ac:dyDescent="0.25">
      <c r="A20" s="51" t="s">
        <v>14</v>
      </c>
      <c r="B20" s="25" t="s">
        <v>41</v>
      </c>
      <c r="C20" s="25" t="s">
        <v>40</v>
      </c>
      <c r="D20" s="3"/>
      <c r="E20" s="3"/>
      <c r="F20" s="3"/>
    </row>
    <row r="21" spans="1:9" ht="31.5" x14ac:dyDescent="0.25">
      <c r="A21" s="51"/>
      <c r="B21" s="5" t="s">
        <v>44</v>
      </c>
      <c r="C21" s="25" t="s">
        <v>43</v>
      </c>
      <c r="D21" s="3"/>
      <c r="E21" s="3"/>
      <c r="F21" s="3"/>
    </row>
    <row r="22" spans="1:9" ht="15.75" x14ac:dyDescent="0.25">
      <c r="A22" s="6" t="s">
        <v>15</v>
      </c>
      <c r="B22" s="40">
        <v>44</v>
      </c>
      <c r="C22" s="40">
        <v>133.19999999999999</v>
      </c>
      <c r="D22" s="28"/>
      <c r="E22" s="3"/>
      <c r="F22" s="3"/>
    </row>
    <row r="23" spans="1:9" ht="15.75" x14ac:dyDescent="0.25">
      <c r="A23" s="6" t="s">
        <v>16</v>
      </c>
      <c r="B23" s="41"/>
      <c r="C23" s="42">
        <v>220</v>
      </c>
      <c r="D23" s="3"/>
      <c r="E23" s="3"/>
      <c r="F23" s="3"/>
    </row>
    <row r="24" spans="1:9" ht="15.75" x14ac:dyDescent="0.25">
      <c r="A24" s="6" t="s">
        <v>17</v>
      </c>
      <c r="B24" s="43"/>
      <c r="C24" s="44">
        <v>240</v>
      </c>
      <c r="D24" s="3"/>
      <c r="E24" s="3"/>
      <c r="F24" s="3"/>
    </row>
    <row r="25" spans="1:9" ht="15.75" x14ac:dyDescent="0.25">
      <c r="A25" s="6" t="s">
        <v>18</v>
      </c>
      <c r="B25" s="43"/>
      <c r="C25" s="40">
        <v>84.4</v>
      </c>
      <c r="D25" s="3"/>
      <c r="E25" s="3"/>
      <c r="F25" s="3"/>
    </row>
    <row r="26" spans="1:9" ht="15.75" x14ac:dyDescent="0.25">
      <c r="A26" s="6" t="s">
        <v>19</v>
      </c>
      <c r="B26" s="43"/>
      <c r="C26" s="45">
        <v>50</v>
      </c>
      <c r="D26" s="3"/>
      <c r="E26" s="3"/>
      <c r="F26" s="3"/>
    </row>
    <row r="27" spans="1:9" ht="21.75" customHeight="1" x14ac:dyDescent="0.25">
      <c r="A27" s="7" t="str">
        <f>IF(MONTH(E2)=12,CONCATENATE("II. DỰ BÁO KHÍ TƯỢNG THÁNG 1"," NĂM ",YEAR(E2)+1),CONCATENATE("II. DỰ BÁO KHÍ TƯỢNG THÁNG ",MONTH(E2)+1," NĂM ",YEAR(E2)))</f>
        <v>II. DỰ BÁO KHÍ TƯỢNG THÁNG 9 NĂM 2026</v>
      </c>
      <c r="B27" s="7"/>
      <c r="C27" s="8"/>
      <c r="D27" s="8"/>
      <c r="E27" s="8"/>
      <c r="F27" s="9"/>
      <c r="G27" s="10"/>
      <c r="H27" s="10"/>
      <c r="I27" s="10"/>
    </row>
    <row r="28" spans="1:9" ht="15" customHeight="1" x14ac:dyDescent="0.25">
      <c r="A28" s="52" t="s">
        <v>14</v>
      </c>
      <c r="B28" s="54" t="s">
        <v>26</v>
      </c>
      <c r="C28" s="12" t="s">
        <v>42</v>
      </c>
      <c r="D28" s="12" t="s">
        <v>42</v>
      </c>
    </row>
    <row r="29" spans="1:9" ht="15" customHeight="1" x14ac:dyDescent="0.25">
      <c r="A29" s="53"/>
      <c r="B29" s="55"/>
      <c r="C29" s="23" t="s">
        <v>28</v>
      </c>
      <c r="D29" s="23" t="s">
        <v>29</v>
      </c>
    </row>
    <row r="30" spans="1:9" x14ac:dyDescent="0.25">
      <c r="A30" s="56" t="s">
        <v>20</v>
      </c>
      <c r="B30" s="12" t="s">
        <v>0</v>
      </c>
      <c r="C30" s="50">
        <v>250</v>
      </c>
      <c r="D30" s="50">
        <v>280</v>
      </c>
    </row>
    <row r="31" spans="1:9" x14ac:dyDescent="0.25">
      <c r="A31" s="56"/>
      <c r="B31" s="12" t="s">
        <v>1</v>
      </c>
      <c r="C31" s="50">
        <v>350</v>
      </c>
      <c r="D31" s="50">
        <v>380</v>
      </c>
    </row>
    <row r="32" spans="1:9" x14ac:dyDescent="0.25">
      <c r="A32" s="56"/>
      <c r="B32" s="12" t="s">
        <v>25</v>
      </c>
      <c r="C32" s="47">
        <v>296</v>
      </c>
      <c r="D32" s="47">
        <v>329</v>
      </c>
    </row>
    <row r="33" spans="1:11" x14ac:dyDescent="0.25">
      <c r="A33" s="56" t="s">
        <v>24</v>
      </c>
      <c r="B33" s="12" t="s">
        <v>0</v>
      </c>
      <c r="C33" s="46">
        <v>23.5</v>
      </c>
      <c r="D33" s="46">
        <v>25</v>
      </c>
    </row>
    <row r="34" spans="1:11" x14ac:dyDescent="0.25">
      <c r="A34" s="56"/>
      <c r="B34" s="12" t="s">
        <v>1</v>
      </c>
      <c r="C34" s="46">
        <v>24.5</v>
      </c>
      <c r="D34" s="46">
        <v>26</v>
      </c>
    </row>
    <row r="35" spans="1:11" x14ac:dyDescent="0.25">
      <c r="A35" s="56"/>
      <c r="B35" s="12" t="s">
        <v>25</v>
      </c>
      <c r="C35" s="48">
        <v>23</v>
      </c>
      <c r="D35" s="48">
        <v>24.8</v>
      </c>
    </row>
    <row r="36" spans="1:11" x14ac:dyDescent="0.25">
      <c r="A36" s="9"/>
      <c r="B36" s="13"/>
      <c r="C36" s="13"/>
      <c r="D36" s="9"/>
      <c r="F36" s="8"/>
      <c r="G36" s="10"/>
      <c r="H36" s="10"/>
      <c r="I36" s="10"/>
    </row>
    <row r="37" spans="1:11" x14ac:dyDescent="0.25">
      <c r="A37" s="9"/>
      <c r="B37" s="13"/>
      <c r="C37" s="13"/>
      <c r="D37" s="9"/>
      <c r="F37" s="8"/>
      <c r="G37" s="10"/>
      <c r="H37" s="10"/>
      <c r="I37" s="10"/>
    </row>
    <row r="38" spans="1:11" x14ac:dyDescent="0.25">
      <c r="A38" s="7" t="str">
        <f>IF(MONTH(E2)=12,CONCATENATE("III. DỰ BÁO ĐẶC TRƯNG LƯU LƯỢNG DÒNG CHẢY THÁNG 1 "," NĂM ",YEAR(E2)+1),CONCATENATE("III. DỰ BÁO ĐẶC TRƯNG LƯU LƯỢNG DÒNG CHẢY THÁNG ",MONTH(E2)+1," NĂM ",YEAR(E2)))</f>
        <v>III. DỰ BÁO ĐẶC TRƯNG LƯU LƯỢNG DÒNG CHẢY THÁNG 9 NĂM 2026</v>
      </c>
      <c r="B38" s="7"/>
      <c r="C38" s="8"/>
      <c r="D38" s="8"/>
      <c r="E38" s="8"/>
      <c r="F38" s="8"/>
      <c r="G38" s="9"/>
      <c r="H38" s="9"/>
      <c r="I38" s="9"/>
    </row>
    <row r="39" spans="1:11" x14ac:dyDescent="0.25">
      <c r="A39" s="7" t="s">
        <v>21</v>
      </c>
      <c r="B39" s="7"/>
      <c r="C39" s="9"/>
      <c r="D39" s="9"/>
      <c r="E39" s="9"/>
      <c r="F39" s="9"/>
      <c r="G39" s="9"/>
      <c r="H39" s="9"/>
      <c r="I39" s="9"/>
    </row>
    <row r="40" spans="1:11" ht="15.75" x14ac:dyDescent="0.25">
      <c r="A40" s="3" t="s">
        <v>47</v>
      </c>
      <c r="B40" s="14"/>
      <c r="C40" s="15"/>
      <c r="D40" s="15"/>
      <c r="E40" s="15"/>
      <c r="F40" s="15"/>
      <c r="G40" s="9"/>
      <c r="H40" s="9"/>
      <c r="I40" s="9"/>
    </row>
    <row r="41" spans="1:11" x14ac:dyDescent="0.25">
      <c r="A41" s="14" t="s">
        <v>6</v>
      </c>
      <c r="B41" s="14"/>
      <c r="C41" s="15"/>
      <c r="D41" s="15"/>
      <c r="E41" s="15"/>
      <c r="F41" s="15"/>
      <c r="G41" s="9"/>
      <c r="H41" s="9"/>
      <c r="I41" s="9"/>
    </row>
    <row r="42" spans="1:11" x14ac:dyDescent="0.25">
      <c r="A42" s="14" t="s">
        <v>6</v>
      </c>
      <c r="B42" s="14"/>
      <c r="C42" s="15"/>
      <c r="D42" s="15"/>
      <c r="E42" s="15"/>
      <c r="F42" s="15"/>
      <c r="G42" s="9"/>
      <c r="H42" s="9"/>
      <c r="I42" s="9"/>
    </row>
    <row r="43" spans="1:11" x14ac:dyDescent="0.25">
      <c r="A43" s="17" t="str">
        <f>IF(MONTH(E2)=12,CONCATENATE("2. Dự báo đặc trưng lưu lượng dòng chảy tháng 1"," năm ",YEAR(E2)+1),CONCATENATE("2. Dự báo đặc trưng lưu lượng dòng chảy tháng ",MONTH(E2)+1," năm ",YEAR(E2)))</f>
        <v>2. Dự báo đặc trưng lưu lượng dòng chảy tháng 9 năm 2026</v>
      </c>
      <c r="B43" s="7"/>
      <c r="C43" s="8"/>
      <c r="D43" s="8"/>
      <c r="E43" s="8"/>
      <c r="F43" s="9"/>
      <c r="G43" s="9"/>
      <c r="H43" s="9"/>
      <c r="I43" s="9"/>
    </row>
    <row r="44" spans="1:11" ht="15.75" x14ac:dyDescent="0.25">
      <c r="A44" s="56" t="s">
        <v>14</v>
      </c>
      <c r="B44" s="56"/>
      <c r="C44" s="25" t="s">
        <v>41</v>
      </c>
      <c r="D44" s="25" t="s">
        <v>40</v>
      </c>
      <c r="E44" s="9"/>
      <c r="F44" s="9"/>
      <c r="G44" s="9"/>
      <c r="H44" s="9"/>
      <c r="I44" s="9"/>
    </row>
    <row r="45" spans="1:11" ht="31.5" x14ac:dyDescent="0.25">
      <c r="A45" s="56"/>
      <c r="B45" s="56"/>
      <c r="C45" s="5" t="s">
        <v>44</v>
      </c>
      <c r="D45" s="25" t="s">
        <v>43</v>
      </c>
    </row>
    <row r="46" spans="1:11" x14ac:dyDescent="0.25">
      <c r="A46" s="58" t="s">
        <v>15</v>
      </c>
      <c r="B46" s="16" t="s">
        <v>27</v>
      </c>
      <c r="C46" s="31">
        <v>105</v>
      </c>
      <c r="D46" s="31">
        <v>175</v>
      </c>
      <c r="I46" s="30"/>
      <c r="J46" s="34"/>
      <c r="K46" s="34"/>
    </row>
    <row r="47" spans="1:11" x14ac:dyDescent="0.25">
      <c r="A47" s="59"/>
      <c r="B47" s="16" t="s">
        <v>25</v>
      </c>
      <c r="C47" s="39">
        <v>186.17507207207208</v>
      </c>
      <c r="D47" s="39">
        <v>340.73743468796874</v>
      </c>
      <c r="G47" s="64"/>
      <c r="H47" s="64"/>
      <c r="I47" s="30"/>
      <c r="J47" s="30"/>
      <c r="K47" s="30"/>
    </row>
    <row r="48" spans="1:11" x14ac:dyDescent="0.25">
      <c r="A48" s="58" t="s">
        <v>22</v>
      </c>
      <c r="B48" s="16" t="s">
        <v>27</v>
      </c>
      <c r="C48" s="11"/>
      <c r="D48" s="32">
        <v>300</v>
      </c>
      <c r="I48" s="30"/>
      <c r="J48" s="34"/>
      <c r="K48" s="34"/>
    </row>
    <row r="49" spans="1:11" x14ac:dyDescent="0.25">
      <c r="A49" s="59"/>
      <c r="B49" s="16" t="s">
        <v>25</v>
      </c>
      <c r="C49" s="11"/>
      <c r="D49" s="39">
        <v>590</v>
      </c>
      <c r="I49" s="30"/>
      <c r="J49" s="30"/>
      <c r="K49" s="30"/>
    </row>
    <row r="50" spans="1:11" x14ac:dyDescent="0.25">
      <c r="A50" s="58" t="s">
        <v>23</v>
      </c>
      <c r="B50" s="16" t="s">
        <v>27</v>
      </c>
      <c r="C50" s="11"/>
      <c r="D50" s="33">
        <v>60</v>
      </c>
      <c r="I50" s="30"/>
      <c r="J50" s="34"/>
      <c r="K50" s="34"/>
    </row>
    <row r="51" spans="1:11" x14ac:dyDescent="0.25">
      <c r="A51" s="59"/>
      <c r="B51" s="16" t="s">
        <v>25</v>
      </c>
      <c r="C51" s="11"/>
      <c r="D51" s="39">
        <v>40</v>
      </c>
    </row>
    <row r="52" spans="1:11" x14ac:dyDescent="0.25">
      <c r="A52" s="17" t="s">
        <v>2</v>
      </c>
      <c r="B52" s="17"/>
      <c r="G52" s="57" t="str">
        <f>"Hà nội ngày  " &amp; TEXT($E$2, "dd/MM/yyyy")</f>
        <v>Hà nội ngày  19/08/2026</v>
      </c>
      <c r="H52" s="57"/>
      <c r="I52" s="57"/>
      <c r="J52" s="57"/>
    </row>
    <row r="53" spans="1:11" x14ac:dyDescent="0.25">
      <c r="A53" s="17" t="s">
        <v>7</v>
      </c>
      <c r="B53" s="49" t="s">
        <v>48</v>
      </c>
      <c r="G53" s="57" t="s">
        <v>9</v>
      </c>
      <c r="H53" s="57"/>
      <c r="I53" s="57"/>
      <c r="J53" s="57"/>
    </row>
    <row r="54" spans="1:11" x14ac:dyDescent="0.25">
      <c r="A54" s="17" t="s">
        <v>8</v>
      </c>
      <c r="B54" s="17" t="s">
        <v>49</v>
      </c>
      <c r="G54" s="17"/>
      <c r="H54" s="17"/>
      <c r="I54" s="17"/>
      <c r="J54" s="17"/>
    </row>
    <row r="55" spans="1:11" x14ac:dyDescent="0.25">
      <c r="G55" s="17"/>
      <c r="H55" s="17"/>
      <c r="I55" s="17"/>
      <c r="J55" s="17"/>
    </row>
    <row r="56" spans="1:11" x14ac:dyDescent="0.25">
      <c r="G56" s="17"/>
      <c r="H56" s="17"/>
      <c r="I56" s="17"/>
      <c r="J56" s="17"/>
    </row>
    <row r="57" spans="1:11" x14ac:dyDescent="0.25">
      <c r="G57" s="17"/>
      <c r="H57" s="17"/>
      <c r="I57" s="17"/>
      <c r="J57" s="17"/>
    </row>
    <row r="58" spans="1:11" x14ac:dyDescent="0.25">
      <c r="G58" s="57" t="s">
        <v>31</v>
      </c>
      <c r="H58" s="57"/>
      <c r="I58" s="57"/>
      <c r="J58" s="57"/>
    </row>
    <row r="64" spans="1:11" x14ac:dyDescent="0.25">
      <c r="A64" s="4" t="s">
        <v>10</v>
      </c>
    </row>
    <row r="65" spans="1:5" x14ac:dyDescent="0.25">
      <c r="A65" s="4" t="s">
        <v>11</v>
      </c>
      <c r="B65" s="4" t="s">
        <v>37</v>
      </c>
    </row>
    <row r="66" spans="1:5" x14ac:dyDescent="0.25">
      <c r="B66" s="4" t="s">
        <v>38</v>
      </c>
    </row>
    <row r="67" spans="1:5" x14ac:dyDescent="0.25">
      <c r="A67" s="4" t="s">
        <v>12</v>
      </c>
    </row>
    <row r="68" spans="1:5" s="20" customFormat="1" ht="16.5" x14ac:dyDescent="0.25">
      <c r="A68" s="18" t="s">
        <v>32</v>
      </c>
      <c r="B68" s="19" t="s">
        <v>33</v>
      </c>
      <c r="C68" s="19" t="s">
        <v>34</v>
      </c>
      <c r="D68" s="18" t="s">
        <v>35</v>
      </c>
      <c r="E68" s="19" t="s">
        <v>36</v>
      </c>
    </row>
  </sheetData>
  <mergeCells count="19">
    <mergeCell ref="A9:G9"/>
    <mergeCell ref="B3:G3"/>
    <mergeCell ref="B4:G4"/>
    <mergeCell ref="B6:G6"/>
    <mergeCell ref="B7:G7"/>
    <mergeCell ref="B8:G8"/>
    <mergeCell ref="G52:J52"/>
    <mergeCell ref="G53:J53"/>
    <mergeCell ref="G58:J58"/>
    <mergeCell ref="A30:A32"/>
    <mergeCell ref="A33:A35"/>
    <mergeCell ref="A46:A47"/>
    <mergeCell ref="A48:A49"/>
    <mergeCell ref="A50:A51"/>
    <mergeCell ref="A12:A13"/>
    <mergeCell ref="A20:A21"/>
    <mergeCell ref="A28:A29"/>
    <mergeCell ref="B28:B29"/>
    <mergeCell ref="A44:B4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BuonTuaSrahBuonKuop.SBThang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Pham</dc:creator>
  <cp:lastModifiedBy>Administrator</cp:lastModifiedBy>
  <dcterms:created xsi:type="dcterms:W3CDTF">2018-01-22T08:10:23Z</dcterms:created>
  <dcterms:modified xsi:type="dcterms:W3CDTF">2026-08-19T04:11:14Z</dcterms:modified>
</cp:coreProperties>
</file>