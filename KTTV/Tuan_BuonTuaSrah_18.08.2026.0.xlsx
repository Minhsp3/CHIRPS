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uần\Buôn Tua Srah\"/>
    </mc:Choice>
  </mc:AlternateContent>
  <xr:revisionPtr revIDLastSave="0" documentId="13_ncr:1_{96C90F18-851F-427A-95C4-B262D8571305}" xr6:coauthVersionLast="45" xr6:coauthVersionMax="47" xr10:uidLastSave="{00000000-0000-0000-0000-000000000000}"/>
  <bookViews>
    <workbookView xWindow="-20610" yWindow="915" windowWidth="20730" windowHeight="11160" xr2:uid="{00000000-000D-0000-FFFF-FFFF00000000}"/>
  </bookViews>
  <sheets>
    <sheet name="BTS" sheetId="1" r:id="rId1"/>
  </sheets>
  <calcPr calcId="191029"/>
</workbook>
</file>

<file path=xl/calcChain.xml><?xml version="1.0" encoding="utf-8"?>
<calcChain xmlns="http://schemas.openxmlformats.org/spreadsheetml/2006/main">
  <c r="A6" i="1" l="1"/>
  <c r="C48" i="1" l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A24" i="1"/>
  <c r="A22" i="1"/>
  <c r="A20" i="1"/>
  <c r="A18" i="1"/>
  <c r="A16" i="1"/>
  <c r="G51" i="1"/>
  <c r="B8" i="1"/>
</calcChain>
</file>

<file path=xl/sharedStrings.xml><?xml version="1.0" encoding="utf-8"?>
<sst xmlns="http://schemas.openxmlformats.org/spreadsheetml/2006/main" count="69" uniqueCount="46">
  <si>
    <t>Ngày</t>
  </si>
  <si>
    <t>CỘNG HÒA XÃ HỘI CHỦ NGHĨA VIỆT NAM</t>
  </si>
  <si>
    <t>KHÍ TƯỢNG THUỶ VĂN QUỐC GIA</t>
  </si>
  <si>
    <t>Độc lập - Tự do - Hạnh phúc</t>
  </si>
  <si>
    <t>I. BẢN TIN KHÍ TƯỢNG</t>
  </si>
  <si>
    <t>1. Nhận định thời tiết</t>
  </si>
  <si>
    <t>2. Dự báo lượng mưa (mm)</t>
  </si>
  <si>
    <t>Min</t>
  </si>
  <si>
    <t>Max</t>
  </si>
  <si>
    <t>Tổng 7 ngày kế tiếp</t>
  </si>
  <si>
    <t>II. BẢN TIN THỦY VĂN</t>
  </si>
  <si>
    <t xml:space="preserve">1. Nhận định tình hình thủy văn tuần tới: </t>
  </si>
  <si>
    <r>
      <t>2. Trị số thực đo và dự báo</t>
    </r>
    <r>
      <rPr>
        <sz val="13"/>
        <color indexed="8"/>
        <rFont val="Times New Roman"/>
        <family val="1"/>
      </rPr>
      <t xml:space="preserve">: </t>
    </r>
  </si>
  <si>
    <t>Đặc trưng dự báo (m3/s):</t>
  </si>
  <si>
    <t>Tuần</t>
  </si>
  <si>
    <t>Từ ngày</t>
  </si>
  <si>
    <t>Đến ngày</t>
  </si>
  <si>
    <t>Đặc trưng</t>
  </si>
  <si>
    <t>Ghi Chú</t>
  </si>
  <si>
    <t>W-1</t>
  </si>
  <si>
    <t>Qtb</t>
  </si>
  <si>
    <t>Lưu lượng thực đo (m3/s)</t>
  </si>
  <si>
    <t>W</t>
  </si>
  <si>
    <t xml:space="preserve">Qmax </t>
  </si>
  <si>
    <t>Lưu lượng dự báo (m3/s)</t>
  </si>
  <si>
    <t>Qmin</t>
  </si>
  <si>
    <t>W+1</t>
  </si>
  <si>
    <t>Người dự báo</t>
  </si>
  <si>
    <t>Dự báo khí tượng:</t>
  </si>
  <si>
    <t>Duyệt bản tin</t>
  </si>
  <si>
    <t>Dự báo thủy văn:</t>
  </si>
  <si>
    <t>Ghi chú:</t>
  </si>
  <si>
    <t>TRUNG TÂM DỰ BÁO</t>
  </si>
  <si>
    <t>Phùng Tiến Dũng</t>
  </si>
  <si>
    <t>Lăk</t>
  </si>
  <si>
    <t>Buôn Tua Srah</t>
  </si>
  <si>
    <t>BẢN TIN DỰ BÁO THUỶ VĂN TUẦN DÒNG CHẢY ĐẾN HỒ THỦY ĐIỆN BUÔN TUA SRAH</t>
  </si>
  <si>
    <t>Trạm</t>
  </si>
  <si>
    <t>Hồ</t>
  </si>
  <si>
    <t>Đăk Mil</t>
  </si>
  <si>
    <t xml:space="preserve"> CỤC KHÍ TƯỢNG THUỶ VĂN </t>
  </si>
  <si>
    <t xml:space="preserve"> </t>
  </si>
  <si>
    <t>Hằng, Nhật</t>
  </si>
  <si>
    <t>Trình Thùy Nguyên</t>
  </si>
  <si>
    <t>Trong tuần tới, lưu lượng trung bình đến hồ dao động theo xu thế tăng dần</t>
  </si>
  <si>
    <t>Khu vực có mưa rào và dông vài nơi, riêng chiều và tối có mưa rào và rải rác có dông, cục bộ có nơi mưa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</si>
</sst>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000]d/m/yyyy;@"/>
    <numFmt numFmtId="165" formatCode="0.0"/>
    <numFmt numFmtId="166" formatCode="0.0\ \ "/>
  </numFmts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3"/>
      <name val="Times New Roman"/>
      <family val="1"/>
    </font>
    <font>
      <b/>
      <sz val="11"/>
      <color indexed="8"/>
      <name val="Times New Roman"/>
      <family val="1"/>
      <charset val="163"/>
    </font>
    <font>
      <sz val="13"/>
      <name val="Times New Roman"/>
      <family val="1"/>
    </font>
    <font>
      <sz val="13"/>
      <color theme="3"/>
      <name val="Times New Roman"/>
      <family val="1"/>
    </font>
    <font>
      <b/>
      <sz val="13"/>
      <color theme="3"/>
      <name val="Times New Roman"/>
      <family val="1"/>
    </font>
    <font>
      <b/>
      <sz val="13"/>
      <color rgb="FFFF0000"/>
      <name val="Times New Roman"/>
      <family val="1"/>
    </font>
    <font>
      <b/>
      <sz val="15"/>
      <color theme="1"/>
      <name val="Times New Roman"/>
      <family val="1"/>
    </font>
    <font>
      <b/>
      <sz val="15"/>
      <color theme="1"/>
      <name val="Times New Roman"/>
      <family val="1"/>
      <charset val="163"/>
    </font>
    <font>
      <sz val="13"/>
      <color rgb="FFFF0000"/>
      <name val="Times New Roman"/>
      <family val="1"/>
    </font>
    <font>
      <sz val="13"/>
      <color theme="1" tint="4.9989318521683403E-2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164" fontId="0" fillId="0" borderId="0"/>
    <xf numFmtId="0" fontId="15" fillId="0" borderId="0"/>
  </cellStyleXfs>
  <cellXfs count="61">
    <xf numFmtId="164" fontId="0" fillId="0" borderId="0" xfId="0"/>
    <xf numFmtId="164" fontId="1" fillId="0" borderId="0" xfId="0" applyFont="1" applyAlignment="1">
      <alignment horizontal="center" vertical="center"/>
    </xf>
    <xf numFmtId="164" fontId="2" fillId="0" borderId="0" xfId="0" applyFont="1" applyAlignment="1">
      <alignment horizontal="center" vertical="center"/>
    </xf>
    <xf numFmtId="164" fontId="6" fillId="0" borderId="1" xfId="0" applyFont="1" applyBorder="1" applyAlignment="1">
      <alignment horizontal="center" vertical="center" wrapText="1"/>
    </xf>
    <xf numFmtId="164" fontId="3" fillId="0" borderId="0" xfId="0" applyFont="1" applyAlignment="1">
      <alignment horizontal="left" vertical="center"/>
    </xf>
    <xf numFmtId="164" fontId="3" fillId="0" borderId="1" xfId="0" applyFont="1" applyBorder="1" applyAlignment="1">
      <alignment horizontal="center" vertical="center" wrapText="1"/>
    </xf>
    <xf numFmtId="164" fontId="3" fillId="0" borderId="0" xfId="0" applyFont="1" applyAlignment="1">
      <alignment vertical="center"/>
    </xf>
    <xf numFmtId="164" fontId="4" fillId="0" borderId="0" xfId="0" applyFont="1" applyAlignment="1">
      <alignment vertical="center"/>
    </xf>
    <xf numFmtId="164" fontId="5" fillId="0" borderId="0" xfId="0" applyFont="1" applyAlignment="1">
      <alignment horizontal="left" vertical="center"/>
    </xf>
    <xf numFmtId="164" fontId="5" fillId="0" borderId="0" xfId="0" applyFont="1" applyAlignment="1">
      <alignment horizontal="center" vertical="center"/>
    </xf>
    <xf numFmtId="164" fontId="7" fillId="0" borderId="0" xfId="0" applyFont="1" applyAlignment="1">
      <alignment vertical="center"/>
    </xf>
    <xf numFmtId="164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164" fontId="2" fillId="0" borderId="0" xfId="0" applyFont="1" applyAlignment="1">
      <alignment vertical="center"/>
    </xf>
    <xf numFmtId="164" fontId="3" fillId="0" borderId="0" xfId="0" applyFont="1" applyAlignment="1">
      <alignment horizontal="center" vertical="center" wrapText="1"/>
    </xf>
    <xf numFmtId="164" fontId="2" fillId="0" borderId="1" xfId="0" applyFont="1" applyBorder="1" applyAlignment="1">
      <alignment horizontal="center" vertical="center"/>
    </xf>
    <xf numFmtId="164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64" fontId="4" fillId="0" borderId="4" xfId="0" applyFont="1" applyBorder="1" applyAlignment="1">
      <alignment horizontal="center" vertical="center" wrapText="1"/>
    </xf>
    <xf numFmtId="164" fontId="4" fillId="0" borderId="6" xfId="0" applyFont="1" applyBorder="1" applyAlignment="1">
      <alignment horizontal="center" vertical="center"/>
    </xf>
    <xf numFmtId="164" fontId="4" fillId="0" borderId="6" xfId="0" applyFont="1" applyBorder="1" applyAlignment="1">
      <alignment horizontal="center" vertical="center" wrapText="1"/>
    </xf>
    <xf numFmtId="164" fontId="4" fillId="0" borderId="5" xfId="0" applyFont="1" applyBorder="1" applyAlignment="1">
      <alignment horizontal="center" vertical="center"/>
    </xf>
    <xf numFmtId="164" fontId="4" fillId="0" borderId="5" xfId="0" applyFont="1" applyBorder="1" applyAlignment="1">
      <alignment horizontal="center" vertical="center" wrapText="1"/>
    </xf>
    <xf numFmtId="164" fontId="9" fillId="0" borderId="4" xfId="0" applyFont="1" applyBorder="1" applyAlignment="1">
      <alignment horizontal="center" vertical="center"/>
    </xf>
    <xf numFmtId="164" fontId="9" fillId="0" borderId="5" xfId="0" applyFont="1" applyBorder="1" applyAlignment="1">
      <alignment horizontal="center" vertical="center"/>
    </xf>
    <xf numFmtId="164" fontId="2" fillId="0" borderId="4" xfId="0" applyFont="1" applyBorder="1" applyAlignment="1">
      <alignment horizontal="center" vertical="center"/>
    </xf>
    <xf numFmtId="164" fontId="10" fillId="0" borderId="6" xfId="0" applyFont="1" applyBorder="1" applyAlignment="1">
      <alignment horizontal="center" vertical="center"/>
    </xf>
    <xf numFmtId="164" fontId="2" fillId="0" borderId="5" xfId="0" applyFont="1" applyBorder="1" applyAlignment="1">
      <alignment horizontal="center" vertical="center"/>
    </xf>
    <xf numFmtId="164" fontId="1" fillId="0" borderId="0" xfId="0" applyFont="1"/>
    <xf numFmtId="1" fontId="1" fillId="0" borderId="0" xfId="0" applyNumberFormat="1" applyFont="1" applyAlignment="1">
      <alignment vertical="center"/>
    </xf>
    <xf numFmtId="164" fontId="0" fillId="0" borderId="0" xfId="0" quotePrefix="1"/>
    <xf numFmtId="164" fontId="5" fillId="0" borderId="1" xfId="0" applyFont="1" applyBorder="1" applyAlignment="1">
      <alignment horizontal="center" vertical="center"/>
    </xf>
    <xf numFmtId="164" fontId="2" fillId="0" borderId="1" xfId="0" applyFont="1" applyBorder="1" applyAlignment="1">
      <alignment horizontal="center"/>
    </xf>
    <xf numFmtId="2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1" fontId="13" fillId="0" borderId="4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5" fontId="14" fillId="0" borderId="6" xfId="0" applyNumberFormat="1" applyFont="1" applyBorder="1" applyAlignment="1">
      <alignment horizontal="center" vertical="center" wrapText="1"/>
    </xf>
    <xf numFmtId="164" fontId="7" fillId="0" borderId="0" xfId="0" applyFont="1"/>
    <xf numFmtId="0" fontId="16" fillId="0" borderId="0" xfId="1" applyFont="1" applyAlignment="1" applyProtection="1">
      <alignment vertical="center"/>
      <protection hidden="1"/>
    </xf>
    <xf numFmtId="1" fontId="13" fillId="0" borderId="6" xfId="0" applyNumberFormat="1" applyFont="1" applyBorder="1" applyAlignment="1">
      <alignment horizontal="center" vertical="center" wrapText="1"/>
    </xf>
    <xf numFmtId="164" fontId="1" fillId="0" borderId="0" xfId="0" applyFont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64" fontId="17" fillId="0" borderId="0" xfId="0" applyFont="1" applyProtection="1">
      <protection locked="0"/>
    </xf>
    <xf numFmtId="164" fontId="2" fillId="0" borderId="2" xfId="0" applyFont="1" applyBorder="1" applyAlignment="1">
      <alignment horizontal="center" vertical="center"/>
    </xf>
    <xf numFmtId="164" fontId="2" fillId="0" borderId="3" xfId="0" applyFont="1" applyBorder="1" applyAlignment="1">
      <alignment horizontal="center" vertical="center"/>
    </xf>
    <xf numFmtId="164" fontId="8" fillId="0" borderId="4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1" fillId="0" borderId="1" xfId="0" applyFont="1" applyBorder="1" applyAlignment="1">
      <alignment horizontal="center" vertical="center" wrapText="1"/>
    </xf>
    <xf numFmtId="164" fontId="2" fillId="0" borderId="0" xfId="0" applyFont="1" applyAlignment="1">
      <alignment horizontal="center" vertical="center"/>
    </xf>
    <xf numFmtId="164" fontId="12" fillId="0" borderId="0" xfId="0" applyFont="1" applyAlignment="1">
      <alignment horizontal="center" vertical="center" wrapText="1"/>
    </xf>
    <xf numFmtId="164" fontId="11" fillId="0" borderId="0" xfId="0" applyFont="1" applyAlignment="1">
      <alignment horizontal="center" vertical="center" wrapText="1"/>
    </xf>
    <xf numFmtId="164" fontId="1" fillId="0" borderId="0" xfId="0" applyFont="1" applyAlignment="1">
      <alignment horizontal="center" vertical="center"/>
    </xf>
    <xf numFmtId="164" fontId="5" fillId="0" borderId="1" xfId="0" applyFont="1" applyBorder="1" applyAlignment="1">
      <alignment horizontal="center" vertical="center"/>
    </xf>
    <xf numFmtId="164" fontId="3" fillId="0" borderId="7" xfId="0" applyFont="1" applyBorder="1" applyAlignment="1">
      <alignment horizontal="center" vertical="center" wrapText="1"/>
    </xf>
    <xf numFmtId="164" fontId="3" fillId="0" borderId="8" xfId="0" applyFont="1" applyBorder="1" applyAlignment="1">
      <alignment horizontal="center" vertical="center" wrapText="1"/>
    </xf>
    <xf numFmtId="164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6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34" workbookViewId="0">
      <selection activeCell="F53" sqref="F53"/>
    </sheetView>
  </sheetViews>
  <sheetFormatPr defaultColWidth="9.140625" defaultRowHeight="16.5" x14ac:dyDescent="0.25"/>
  <cols>
    <col min="1" max="1" width="39.42578125" style="11" bestFit="1" customWidth="1"/>
    <col min="2" max="6" width="17.28515625" style="11" customWidth="1"/>
    <col min="7" max="7" width="12.42578125" style="11" customWidth="1"/>
    <col min="8" max="8" width="11.7109375" style="11" customWidth="1"/>
    <col min="9" max="9" width="11.5703125" style="11" customWidth="1"/>
    <col min="10" max="10" width="11.85546875" style="11" bestFit="1" customWidth="1"/>
    <col min="11" max="11" width="11.7109375" style="11" bestFit="1" customWidth="1"/>
    <col min="12" max="15" width="9.140625" style="11"/>
    <col min="16" max="16" width="10.42578125" style="11" bestFit="1" customWidth="1"/>
    <col min="17" max="16384" width="9.140625" style="11"/>
  </cols>
  <sheetData>
    <row r="1" spans="1:16" x14ac:dyDescent="0.25">
      <c r="E1" s="2" t="s">
        <v>0</v>
      </c>
      <c r="F1" s="2"/>
    </row>
    <row r="2" spans="1:16" x14ac:dyDescent="0.25">
      <c r="E2" s="38">
        <v>46252</v>
      </c>
      <c r="F2" s="12"/>
      <c r="J2" s="34"/>
    </row>
    <row r="3" spans="1:16" x14ac:dyDescent="0.25">
      <c r="A3" s="1" t="s">
        <v>40</v>
      </c>
      <c r="B3" s="53" t="s">
        <v>1</v>
      </c>
      <c r="C3" s="53"/>
      <c r="D3" s="53"/>
      <c r="E3" s="53"/>
      <c r="F3" s="53"/>
      <c r="G3" s="53"/>
    </row>
    <row r="4" spans="1:16" x14ac:dyDescent="0.25">
      <c r="A4" s="2" t="s">
        <v>32</v>
      </c>
      <c r="B4" s="53" t="s">
        <v>3</v>
      </c>
      <c r="C4" s="53"/>
      <c r="D4" s="53"/>
      <c r="E4" s="53"/>
      <c r="F4" s="53"/>
      <c r="G4" s="53"/>
    </row>
    <row r="5" spans="1:16" x14ac:dyDescent="0.25">
      <c r="A5" s="2" t="s">
        <v>2</v>
      </c>
    </row>
    <row r="6" spans="1:16" ht="18.75" customHeight="1" x14ac:dyDescent="0.25">
      <c r="A6" s="1" t="str">
        <f>CONCATENATE("Số: ", ($E$2-DATE(2025,12,23))/7,"-TUAN-BTS/DBQG-DBTV")</f>
        <v>Số: 34-TUAN-BTS/DBQG-DBTV</v>
      </c>
      <c r="B6" s="54" t="s">
        <v>36</v>
      </c>
      <c r="C6" s="54"/>
      <c r="D6" s="54"/>
      <c r="E6" s="54"/>
      <c r="F6" s="54"/>
      <c r="G6" s="54"/>
      <c r="H6" s="54"/>
    </row>
    <row r="7" spans="1:16" ht="19.5" x14ac:dyDescent="0.25">
      <c r="B7" s="55"/>
      <c r="C7" s="55"/>
      <c r="D7" s="55"/>
      <c r="E7" s="55"/>
      <c r="F7" s="55"/>
      <c r="G7" s="55"/>
    </row>
    <row r="8" spans="1:16" x14ac:dyDescent="0.25">
      <c r="B8" s="56" t="str">
        <f>"Hà Nội,  ngày " &amp; TEXT($E$2, "dd/MM/yyyy")</f>
        <v>Hà Nội,  ngày 18/08/2026</v>
      </c>
      <c r="C8" s="56"/>
      <c r="D8" s="56"/>
      <c r="E8" s="56"/>
      <c r="F8" s="56"/>
      <c r="G8" s="56"/>
    </row>
    <row r="9" spans="1:16" x14ac:dyDescent="0.25">
      <c r="A9" s="6" t="s">
        <v>4</v>
      </c>
      <c r="B9" s="7"/>
      <c r="C9" s="7"/>
      <c r="D9" s="7"/>
      <c r="E9" s="13"/>
      <c r="F9" s="13"/>
      <c r="G9" s="13"/>
    </row>
    <row r="10" spans="1:16" x14ac:dyDescent="0.25">
      <c r="A10" s="8" t="s">
        <v>5</v>
      </c>
      <c r="B10" s="9"/>
      <c r="C10" s="9"/>
      <c r="D10" s="9"/>
    </row>
    <row r="11" spans="1:16" ht="22.5" customHeight="1" x14ac:dyDescent="0.25">
      <c r="A11" s="45" t="s">
        <v>45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</row>
    <row r="13" spans="1:16" x14ac:dyDescent="0.25">
      <c r="A13" s="13" t="s">
        <v>6</v>
      </c>
    </row>
    <row r="14" spans="1:16" x14ac:dyDescent="0.25">
      <c r="A14" s="57" t="s">
        <v>0</v>
      </c>
      <c r="B14" s="57" t="s">
        <v>17</v>
      </c>
      <c r="C14" s="32" t="s">
        <v>37</v>
      </c>
      <c r="D14" s="32" t="s">
        <v>37</v>
      </c>
      <c r="L14" s="14"/>
      <c r="M14" s="14"/>
      <c r="N14" s="14"/>
      <c r="O14" s="14"/>
      <c r="P14" s="14"/>
    </row>
    <row r="15" spans="1:16" ht="15" customHeight="1" x14ac:dyDescent="0.25">
      <c r="A15" s="57"/>
      <c r="B15" s="57"/>
      <c r="C15" s="3" t="s">
        <v>34</v>
      </c>
      <c r="D15" s="3" t="s">
        <v>39</v>
      </c>
    </row>
    <row r="16" spans="1:16" x14ac:dyDescent="0.25">
      <c r="A16" s="48" t="str">
        <f>TEXT($E$2+1, "dd/MM/yyyy")</f>
        <v>19/08/2026</v>
      </c>
      <c r="B16" s="15" t="s">
        <v>7</v>
      </c>
      <c r="C16" s="46">
        <v>15</v>
      </c>
      <c r="D16" s="46">
        <v>10</v>
      </c>
    </row>
    <row r="17" spans="1:5" x14ac:dyDescent="0.25">
      <c r="A17" s="49"/>
      <c r="B17" s="15" t="s">
        <v>8</v>
      </c>
      <c r="C17" s="46">
        <v>30</v>
      </c>
      <c r="D17" s="46">
        <v>20</v>
      </c>
    </row>
    <row r="18" spans="1:5" x14ac:dyDescent="0.25">
      <c r="A18" s="48" t="str">
        <f>TEXT($E$2+2, "dd/MM/yyyy")</f>
        <v>20/08/2026</v>
      </c>
      <c r="B18" s="15" t="s">
        <v>7</v>
      </c>
      <c r="C18" s="46">
        <v>10</v>
      </c>
      <c r="D18" s="46">
        <v>5</v>
      </c>
    </row>
    <row r="19" spans="1:5" x14ac:dyDescent="0.25">
      <c r="A19" s="49"/>
      <c r="B19" s="15" t="s">
        <v>8</v>
      </c>
      <c r="C19" s="46">
        <v>20</v>
      </c>
      <c r="D19" s="46">
        <v>15</v>
      </c>
    </row>
    <row r="20" spans="1:5" x14ac:dyDescent="0.25">
      <c r="A20" s="48" t="str">
        <f>TEXT($E$2+3, "dd/MM/yyyy")</f>
        <v>21/08/2026</v>
      </c>
      <c r="B20" s="15" t="s">
        <v>7</v>
      </c>
      <c r="C20" s="46">
        <v>5</v>
      </c>
      <c r="D20" s="46">
        <v>5</v>
      </c>
    </row>
    <row r="21" spans="1:5" x14ac:dyDescent="0.25">
      <c r="A21" s="49"/>
      <c r="B21" s="15" t="s">
        <v>8</v>
      </c>
      <c r="C21" s="46">
        <v>10</v>
      </c>
      <c r="D21" s="46">
        <v>10</v>
      </c>
    </row>
    <row r="22" spans="1:5" x14ac:dyDescent="0.25">
      <c r="A22" s="48" t="str">
        <f>TEXT($E$2+4, "dd/MM/yyyy")</f>
        <v>22/08/2026</v>
      </c>
      <c r="B22" s="15" t="s">
        <v>7</v>
      </c>
      <c r="C22" s="46">
        <v>5</v>
      </c>
      <c r="D22" s="46">
        <v>5</v>
      </c>
    </row>
    <row r="23" spans="1:5" x14ac:dyDescent="0.25">
      <c r="A23" s="49"/>
      <c r="B23" s="15" t="s">
        <v>8</v>
      </c>
      <c r="C23" s="46">
        <v>15</v>
      </c>
      <c r="D23" s="46">
        <v>15</v>
      </c>
    </row>
    <row r="24" spans="1:5" x14ac:dyDescent="0.25">
      <c r="A24" s="48" t="str">
        <f>TEXT($E$2+5, "dd/MM/yyyy")</f>
        <v>23/08/2026</v>
      </c>
      <c r="B24" s="15" t="s">
        <v>7</v>
      </c>
      <c r="C24" s="46">
        <v>10</v>
      </c>
      <c r="D24" s="46">
        <v>5</v>
      </c>
    </row>
    <row r="25" spans="1:5" x14ac:dyDescent="0.25">
      <c r="A25" s="49"/>
      <c r="B25" s="15" t="s">
        <v>8</v>
      </c>
      <c r="C25" s="46">
        <v>20</v>
      </c>
      <c r="D25" s="46">
        <v>15</v>
      </c>
    </row>
    <row r="26" spans="1:5" x14ac:dyDescent="0.25">
      <c r="A26" s="48" t="s">
        <v>9</v>
      </c>
      <c r="B26" s="15" t="s">
        <v>7</v>
      </c>
      <c r="C26" s="46">
        <v>40</v>
      </c>
      <c r="D26" s="46">
        <v>50</v>
      </c>
    </row>
    <row r="27" spans="1:5" x14ac:dyDescent="0.25">
      <c r="A27" s="49"/>
      <c r="B27" s="15" t="s">
        <v>8</v>
      </c>
      <c r="C27" s="46">
        <v>70</v>
      </c>
      <c r="D27" s="46">
        <v>90</v>
      </c>
    </row>
    <row r="28" spans="1:5" x14ac:dyDescent="0.25">
      <c r="A28" s="2"/>
      <c r="B28" s="2"/>
      <c r="C28" s="13"/>
      <c r="D28" s="13"/>
    </row>
    <row r="29" spans="1:5" x14ac:dyDescent="0.25">
      <c r="A29" s="6" t="s">
        <v>10</v>
      </c>
      <c r="B29" s="10"/>
      <c r="C29" s="10"/>
      <c r="D29" s="10"/>
      <c r="E29" s="10"/>
    </row>
    <row r="30" spans="1:5" ht="34.5" customHeight="1" x14ac:dyDescent="0.25">
      <c r="A30" s="4" t="s">
        <v>11</v>
      </c>
      <c r="B30" s="4"/>
      <c r="C30" s="4"/>
      <c r="D30" s="7"/>
      <c r="E30" s="7"/>
    </row>
    <row r="31" spans="1:5" x14ac:dyDescent="0.25">
      <c r="A31" s="10" t="s">
        <v>44</v>
      </c>
      <c r="B31" s="10"/>
      <c r="C31" s="10"/>
      <c r="D31" s="10"/>
      <c r="E31" s="10"/>
    </row>
    <row r="32" spans="1:5" x14ac:dyDescent="0.25">
      <c r="A32" s="42"/>
      <c r="B32" s="10"/>
      <c r="C32" s="10"/>
      <c r="D32" s="10"/>
      <c r="E32" s="10"/>
    </row>
    <row r="33" spans="1:16" x14ac:dyDescent="0.25">
      <c r="A33" s="10"/>
      <c r="B33" s="10"/>
      <c r="C33" s="10"/>
      <c r="D33" s="10"/>
      <c r="E33" s="10"/>
    </row>
    <row r="34" spans="1:16" x14ac:dyDescent="0.25">
      <c r="A34" s="4" t="s">
        <v>12</v>
      </c>
      <c r="B34" s="4"/>
      <c r="C34" s="4" t="s">
        <v>41</v>
      </c>
      <c r="D34" s="7"/>
      <c r="E34" s="7"/>
      <c r="F34" s="13"/>
      <c r="G34" s="13"/>
    </row>
    <row r="38" spans="1:16" x14ac:dyDescent="0.25">
      <c r="A38" s="13" t="s">
        <v>13</v>
      </c>
      <c r="F38" s="30"/>
    </row>
    <row r="39" spans="1:16" ht="24.75" customHeight="1" x14ac:dyDescent="0.25">
      <c r="A39" s="58" t="s">
        <v>14</v>
      </c>
      <c r="B39" s="58" t="s">
        <v>15</v>
      </c>
      <c r="C39" s="58" t="s">
        <v>16</v>
      </c>
      <c r="D39" s="58" t="s">
        <v>17</v>
      </c>
      <c r="E39" s="33" t="s">
        <v>38</v>
      </c>
      <c r="F39" s="60" t="s">
        <v>18</v>
      </c>
    </row>
    <row r="40" spans="1:16" ht="27.75" customHeight="1" x14ac:dyDescent="0.25">
      <c r="A40" s="59"/>
      <c r="B40" s="59"/>
      <c r="C40" s="59"/>
      <c r="D40" s="59"/>
      <c r="E40" s="5" t="s">
        <v>35</v>
      </c>
      <c r="F40" s="60"/>
      <c r="H40" s="35"/>
      <c r="I40" s="35"/>
      <c r="P40" s="34"/>
    </row>
    <row r="41" spans="1:16" ht="16.5" customHeight="1" x14ac:dyDescent="0.25">
      <c r="A41" s="19" t="s">
        <v>19</v>
      </c>
      <c r="B41" s="16" t="str">
        <f>TEXT($E$2-8, "dd/MM/yyyy")</f>
        <v>10/08/2026</v>
      </c>
      <c r="C41" s="17" t="str">
        <f>TEXT($E$2-2, "dd/MM/yyyy")</f>
        <v>16/08/2026</v>
      </c>
      <c r="D41" s="24" t="s">
        <v>20</v>
      </c>
      <c r="E41" s="39">
        <v>66</v>
      </c>
      <c r="F41" s="50" t="s">
        <v>21</v>
      </c>
      <c r="G41" s="40"/>
      <c r="H41" s="35"/>
      <c r="I41" s="34"/>
      <c r="J41" s="34"/>
    </row>
    <row r="42" spans="1:16" ht="33" x14ac:dyDescent="0.25">
      <c r="A42" s="23" t="s">
        <v>22</v>
      </c>
      <c r="B42" s="18" t="str">
        <f>"00:00:00 " &amp; TEXT($E$2, "dd/MM/yyyy")</f>
        <v>00:00:00 18/08/2026</v>
      </c>
      <c r="C42" s="18" t="str">
        <f>"12:00:00 " &amp; TEXT($E$2, "dd/MM/yyyy")</f>
        <v>12:00:00 18/08/2026</v>
      </c>
      <c r="D42" s="25" t="s">
        <v>20</v>
      </c>
      <c r="E42" s="41">
        <v>88.454545454545453</v>
      </c>
      <c r="F42" s="51"/>
    </row>
    <row r="43" spans="1:16" ht="16.5" customHeight="1" x14ac:dyDescent="0.25">
      <c r="A43" s="19" t="s">
        <v>22</v>
      </c>
      <c r="B43" s="16" t="str">
        <f>TEXT($E$2+1, "dd/MM/yyyy")</f>
        <v>19/08/2026</v>
      </c>
      <c r="C43" s="19" t="str">
        <f>TEXT($E$2+5, "dd/MM/yyyy")</f>
        <v>23/08/2026</v>
      </c>
      <c r="D43" s="26" t="s">
        <v>23</v>
      </c>
      <c r="E43" s="36">
        <v>130</v>
      </c>
      <c r="F43" s="52" t="s">
        <v>24</v>
      </c>
      <c r="G43" s="40"/>
      <c r="H43" s="35"/>
      <c r="I43" s="34"/>
    </row>
    <row r="44" spans="1:16" x14ac:dyDescent="0.25">
      <c r="A44" s="21" t="s">
        <v>22</v>
      </c>
      <c r="B44" s="20" t="str">
        <f>TEXT($E$2+1, "dd/MM/yyyy")</f>
        <v>19/08/2026</v>
      </c>
      <c r="C44" s="21" t="str">
        <f>TEXT($E$2+5, "dd/MM/yyyy")</f>
        <v>23/08/2026</v>
      </c>
      <c r="D44" s="27" t="s">
        <v>20</v>
      </c>
      <c r="E44" s="44">
        <v>69.8</v>
      </c>
      <c r="F44" s="52"/>
      <c r="G44" s="40"/>
      <c r="H44" s="35"/>
      <c r="I44" s="34"/>
    </row>
    <row r="45" spans="1:16" x14ac:dyDescent="0.25">
      <c r="A45" s="23" t="s">
        <v>22</v>
      </c>
      <c r="B45" s="22" t="str">
        <f>TEXT($E$2+1, "dd/MM/yyyy")</f>
        <v>19/08/2026</v>
      </c>
      <c r="C45" s="23" t="str">
        <f>TEXT($E$2+5, "dd/MM/yyyy")</f>
        <v>23/08/2026</v>
      </c>
      <c r="D45" s="28" t="s">
        <v>25</v>
      </c>
      <c r="E45" s="37">
        <v>22</v>
      </c>
      <c r="F45" s="52"/>
      <c r="G45" s="40"/>
      <c r="H45" s="35"/>
      <c r="I45" s="34"/>
    </row>
    <row r="46" spans="1:16" x14ac:dyDescent="0.25">
      <c r="A46" s="19" t="s">
        <v>26</v>
      </c>
      <c r="B46" s="16" t="str">
        <f>TEXT($E$2+6, "dd/MM/yyyy")</f>
        <v>24/08/2026</v>
      </c>
      <c r="C46" s="19" t="str">
        <f>TEXT($E$2+12, "dd/MM/yyyy")</f>
        <v>30/08/2026</v>
      </c>
      <c r="D46" s="26" t="s">
        <v>23</v>
      </c>
      <c r="E46" s="36">
        <v>140</v>
      </c>
      <c r="F46" s="52"/>
      <c r="G46" s="40"/>
      <c r="H46" s="35"/>
      <c r="I46" s="34"/>
    </row>
    <row r="47" spans="1:16" ht="17.25" customHeight="1" x14ac:dyDescent="0.25">
      <c r="A47" s="21" t="s">
        <v>26</v>
      </c>
      <c r="B47" s="20" t="str">
        <f>TEXT($E$2+6, "dd/MM/yyyy")</f>
        <v>24/08/2026</v>
      </c>
      <c r="C47" s="21" t="str">
        <f>TEXT($E$2+12, "dd/MM/yyyy")</f>
        <v>30/08/2026</v>
      </c>
      <c r="D47" s="27" t="s">
        <v>20</v>
      </c>
      <c r="E47" s="44">
        <v>75</v>
      </c>
      <c r="F47" s="52"/>
      <c r="G47" s="40"/>
      <c r="H47" s="35"/>
      <c r="I47" s="34"/>
    </row>
    <row r="48" spans="1:16" ht="16.5" customHeight="1" x14ac:dyDescent="0.25">
      <c r="A48" s="23" t="s">
        <v>26</v>
      </c>
      <c r="B48" s="22" t="str">
        <f>TEXT($E$2+6, "dd/MM/yyyy")</f>
        <v>24/08/2026</v>
      </c>
      <c r="C48" s="23" t="str">
        <f>TEXT($E$2+12, "dd/MM/yyyy")</f>
        <v>30/08/2026</v>
      </c>
      <c r="D48" s="28" t="s">
        <v>25</v>
      </c>
      <c r="E48" s="37">
        <v>25</v>
      </c>
      <c r="F48" s="52"/>
      <c r="G48" s="40"/>
      <c r="H48" s="35"/>
      <c r="I48" s="34"/>
    </row>
    <row r="49" spans="1:11" x14ac:dyDescent="0.25">
      <c r="A49" s="13"/>
      <c r="H49" s="35"/>
      <c r="I49" s="35"/>
    </row>
    <row r="50" spans="1:11" x14ac:dyDescent="0.25">
      <c r="E50" s="35"/>
      <c r="H50" s="35"/>
      <c r="I50" s="35"/>
    </row>
    <row r="51" spans="1:11" x14ac:dyDescent="0.25">
      <c r="A51" s="13" t="s">
        <v>27</v>
      </c>
      <c r="B51" s="13"/>
      <c r="E51" s="34"/>
      <c r="G51" s="53" t="str">
        <f>"Hà nội ngày  " &amp; TEXT($E$2, "dd/MM/yyyy")</f>
        <v>Hà nội ngày  18/08/2026</v>
      </c>
      <c r="H51" s="53"/>
      <c r="I51" s="53"/>
      <c r="J51" s="53"/>
    </row>
    <row r="52" spans="1:11" x14ac:dyDescent="0.25">
      <c r="A52" s="13" t="s">
        <v>28</v>
      </c>
      <c r="B52" s="47" t="s">
        <v>43</v>
      </c>
      <c r="E52" s="34"/>
      <c r="G52" s="53" t="s">
        <v>29</v>
      </c>
      <c r="H52" s="53"/>
      <c r="I52" s="53"/>
      <c r="J52" s="53"/>
    </row>
    <row r="53" spans="1:11" x14ac:dyDescent="0.25">
      <c r="A53" s="13" t="s">
        <v>30</v>
      </c>
      <c r="B53" s="13" t="s">
        <v>42</v>
      </c>
      <c r="G53" s="13"/>
      <c r="H53" s="13"/>
      <c r="I53" s="13"/>
      <c r="J53" s="13"/>
    </row>
    <row r="54" spans="1:11" x14ac:dyDescent="0.25">
      <c r="G54" s="13"/>
      <c r="H54" s="13"/>
      <c r="I54" s="13"/>
      <c r="J54" s="13"/>
    </row>
    <row r="55" spans="1:11" x14ac:dyDescent="0.25">
      <c r="G55" s="13"/>
      <c r="H55" s="13"/>
      <c r="I55" s="13"/>
      <c r="J55" s="13"/>
      <c r="K55" s="34"/>
    </row>
    <row r="56" spans="1:11" x14ac:dyDescent="0.25">
      <c r="G56" s="13"/>
      <c r="H56" s="13"/>
      <c r="I56" s="13"/>
      <c r="J56" s="13"/>
    </row>
    <row r="57" spans="1:11" x14ac:dyDescent="0.25">
      <c r="G57" s="53" t="s">
        <v>33</v>
      </c>
      <c r="H57" s="53"/>
      <c r="I57" s="53"/>
      <c r="J57" s="53"/>
    </row>
    <row r="63" spans="1:11" x14ac:dyDescent="0.25">
      <c r="A63" s="11" t="s">
        <v>31</v>
      </c>
      <c r="H63" s="34"/>
    </row>
    <row r="64" spans="1:11" s="29" customFormat="1" x14ac:dyDescent="0.25">
      <c r="A64"/>
      <c r="B64"/>
      <c r="C64"/>
      <c r="D64"/>
      <c r="E64"/>
    </row>
    <row r="65" spans="1:5" x14ac:dyDescent="0.25">
      <c r="A65"/>
      <c r="B65"/>
      <c r="C65"/>
      <c r="D65"/>
      <c r="E65"/>
    </row>
    <row r="66" spans="1:5" x14ac:dyDescent="0.25">
      <c r="A66"/>
      <c r="B66" s="31"/>
      <c r="C66" s="31"/>
      <c r="D66"/>
      <c r="E66" s="31"/>
    </row>
    <row r="67" spans="1:5" x14ac:dyDescent="0.25">
      <c r="A67"/>
      <c r="B67"/>
      <c r="C67"/>
      <c r="D67"/>
      <c r="E67"/>
    </row>
    <row r="68" spans="1:5" x14ac:dyDescent="0.25">
      <c r="A68"/>
      <c r="B68"/>
      <c r="C68"/>
      <c r="D68"/>
      <c r="E68"/>
    </row>
  </sheetData>
  <mergeCells count="23">
    <mergeCell ref="G51:J51"/>
    <mergeCell ref="G52:J52"/>
    <mergeCell ref="G57:J57"/>
    <mergeCell ref="A18:A19"/>
    <mergeCell ref="A20:A21"/>
    <mergeCell ref="A22:A23"/>
    <mergeCell ref="A24:A25"/>
    <mergeCell ref="A26:A27"/>
    <mergeCell ref="A16:A17"/>
    <mergeCell ref="F41:F42"/>
    <mergeCell ref="F43:F48"/>
    <mergeCell ref="B3:G3"/>
    <mergeCell ref="B4:G4"/>
    <mergeCell ref="B6:H6"/>
    <mergeCell ref="B7:G7"/>
    <mergeCell ref="B8:G8"/>
    <mergeCell ref="A14:A15"/>
    <mergeCell ref="B14:B15"/>
    <mergeCell ref="A39:A40"/>
    <mergeCell ref="B39:B40"/>
    <mergeCell ref="C39:C40"/>
    <mergeCell ref="D39:D40"/>
    <mergeCell ref="F39:F4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TuyetNhung2036</dc:creator>
  <cp:lastModifiedBy>Administrator</cp:lastModifiedBy>
  <dcterms:created xsi:type="dcterms:W3CDTF">2018-04-26T03:36:37Z</dcterms:created>
  <dcterms:modified xsi:type="dcterms:W3CDTF">2026-08-18T05:05:20Z</dcterms:modified>
</cp:coreProperties>
</file>