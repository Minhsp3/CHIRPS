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codeName="ThisWorkbook"/>
  <mc:AlternateContent xmlns:mc="http://schemas.openxmlformats.org/markup-compatibility/2006">
    <mc:Choice Requires="x15">
      <x15ac:absPath xmlns:x15ac="http://schemas.microsoft.com/office/spreadsheetml/2010/11/ac" url="Z:\03. BantinHochua2026\01.Hochua_NSMO&amp;EPTC\5. Tây Nguyên\Truot5ngay\Buôn Tua Srah\"/>
    </mc:Choice>
  </mc:AlternateContent>
  <xr:revisionPtr revIDLastSave="0" documentId="13_ncr:1_{801533B4-3AAE-4B17-BF32-FAE522BE8658}" xr6:coauthVersionLast="45"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4" i="1" l="1"/>
  <c r="C49" i="1" l="1"/>
  <c r="A6" i="1" l="1"/>
  <c r="A47" i="1" l="1"/>
  <c r="A46" i="1"/>
  <c r="A45" i="1"/>
  <c r="A44" i="1"/>
  <c r="A43" i="1"/>
  <c r="A42" i="1"/>
  <c r="A41" i="1"/>
  <c r="A40" i="1"/>
  <c r="A39" i="1"/>
  <c r="A38" i="1"/>
  <c r="A37" i="1"/>
  <c r="A27" i="1"/>
  <c r="A26" i="1"/>
  <c r="A25" i="1"/>
  <c r="A24" i="1"/>
  <c r="A23" i="1"/>
  <c r="A22" i="1"/>
  <c r="A21" i="1"/>
  <c r="A20" i="1"/>
  <c r="A19" i="1"/>
  <c r="A18" i="1"/>
  <c r="F2" i="1"/>
  <c r="A29" i="1" s="1"/>
  <c r="A9" i="1" l="1"/>
  <c r="B8" i="1"/>
</calcChain>
</file>

<file path=xl/sharedStrings.xml><?xml version="1.0" encoding="utf-8"?>
<sst xmlns="http://schemas.openxmlformats.org/spreadsheetml/2006/main" count="57" uniqueCount="42">
  <si>
    <t>Tư ngày</t>
  </si>
  <si>
    <t>Đến ngày</t>
  </si>
  <si>
    <t>CỘNG HÒA XÃ HỘI CHỦ NGHĨA VIỆT NAM</t>
  </si>
  <si>
    <t>TRUNG TÂM DỰ BÁO</t>
  </si>
  <si>
    <t>Độc lập - Tự do - Hạnh phúc</t>
  </si>
  <si>
    <t>KHÍ TƯỢNG THỦY VĂN QUỐC GIA</t>
  </si>
  <si>
    <t>Lượng mưa (mm):</t>
  </si>
  <si>
    <t>Ngày</t>
  </si>
  <si>
    <t>Loại</t>
  </si>
  <si>
    <t>Ngưỡng cao</t>
  </si>
  <si>
    <t>Ngưỡng thấp</t>
  </si>
  <si>
    <t>Quá khứ</t>
  </si>
  <si>
    <t>Dự báo</t>
  </si>
  <si>
    <t>Đặc trưng dự báo Q (m3/s):</t>
  </si>
  <si>
    <t>Thời gian (h)</t>
  </si>
  <si>
    <t>Hồ</t>
  </si>
  <si>
    <t>Ghi chú</t>
  </si>
  <si>
    <t>Buôn Tua Sarh</t>
  </si>
  <si>
    <t>Thực đo</t>
  </si>
  <si>
    <t>Đặc trưng 
5 ngày</t>
  </si>
  <si>
    <t>Max</t>
  </si>
  <si>
    <t>TB</t>
  </si>
  <si>
    <t>Min</t>
  </si>
  <si>
    <t>Ghi chú:</t>
  </si>
  <si>
    <t>Người dự báo</t>
  </si>
  <si>
    <t>Dự báo khí tượng:</t>
  </si>
  <si>
    <t>Duyệt bản tin</t>
  </si>
  <si>
    <t>Dự báo thủy văn:</t>
  </si>
  <si>
    <t>…</t>
  </si>
  <si>
    <t xml:space="preserve">Tên thư mục: </t>
  </si>
  <si>
    <t>Vị trí các cell không được thay đổi trên mẫu</t>
  </si>
  <si>
    <t>Trạm</t>
  </si>
  <si>
    <t>BẢN TIN DỰ BÁO THUỶ VĂN 5 NGÀY DÒNG CHẢY ĐẾN HỒ THỦY ĐIỆN BUÔN TUA SRAH</t>
  </si>
  <si>
    <t>Đăk Mil</t>
  </si>
  <si>
    <t>Lăk</t>
  </si>
  <si>
    <t>Phùng Tiến Dũng</t>
  </si>
  <si>
    <t>CỤC KHÍ TƯỢNG THỦY VĂN</t>
  </si>
  <si>
    <t xml:space="preserve"> </t>
  </si>
  <si>
    <t>Hằng, Nhật</t>
  </si>
  <si>
    <t>Trong những tới, dòng chảy đến hồ ít biến đổi</t>
  </si>
  <si>
    <t>Trịnh Thùy Nguyên</t>
  </si>
  <si>
    <t>Trong thời kỳ dự báo khu vực có mưa rào và rải rác có dông, cục bộ có nơi mưa to, thời gian mưa tập trung về chiều tối và tối.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</si>
</sst>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3"/>
      <color theme="1"/>
      <name val="Times New Roman"/>
      <family val="1"/>
    </font>
    <font>
      <b/>
      <sz val="13"/>
      <color theme="1"/>
      <name val="Times New Roman"/>
      <family val="1"/>
    </font>
    <font>
      <sz val="13"/>
      <color rgb="FFFF0000"/>
      <name val="Times New Roman"/>
      <family val="1"/>
    </font>
    <font>
      <b/>
      <sz val="13"/>
      <color theme="1"/>
      <name val="Times New Roman"/>
      <family val="1"/>
      <charset val="163"/>
    </font>
    <font>
      <sz val="12"/>
      <name val="Times New Roman"/>
      <family val="1"/>
    </font>
    <font>
      <sz val="10"/>
      <name val="Arial"/>
      <family val="2"/>
    </font>
    <font>
      <b/>
      <sz val="13"/>
      <name val="Times New Roman"/>
      <family val="1"/>
    </font>
    <font>
      <b/>
      <sz val="12"/>
      <color theme="1"/>
      <name val="Times New Roman"/>
      <family val="1"/>
    </font>
    <font>
      <i/>
      <sz val="13"/>
      <color indexed="8"/>
      <name val="Times New Roman"/>
      <family val="1"/>
    </font>
    <font>
      <b/>
      <sz val="11.5"/>
      <color theme="1"/>
      <name val="Times New Roman"/>
      <family val="1"/>
    </font>
    <font>
      <sz val="11"/>
      <color theme="1"/>
      <name val="Calibri"/>
      <family val="2"/>
      <scheme val="minor"/>
    </font>
    <font>
      <sz val="13"/>
      <name val="Times New Roman"/>
      <family val="1"/>
    </font>
    <font>
      <b/>
      <sz val="13"/>
      <color rgb="FFFF0000"/>
      <name val="Times New Roman"/>
      <family val="1"/>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3">
    <xf numFmtId="0" fontId="0" fillId="0" borderId="0"/>
    <xf numFmtId="0" fontId="6" fillId="0" borderId="0"/>
    <xf numFmtId="0" fontId="11" fillId="0" borderId="0"/>
  </cellStyleXfs>
  <cellXfs count="61">
    <xf numFmtId="0" fontId="0" fillId="0" borderId="0" xfId="0"/>
    <xf numFmtId="0" fontId="1" fillId="0" borderId="0" xfId="0" applyFont="1" applyAlignment="1">
      <alignment vertical="center"/>
    </xf>
    <xf numFmtId="0" fontId="1" fillId="0" borderId="0" xfId="0" applyFont="1"/>
    <xf numFmtId="14" fontId="1" fillId="0" borderId="0" xfId="0" applyNumberFormat="1"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6" fillId="0" borderId="0" xfId="1"/>
    <xf numFmtId="0" fontId="7" fillId="0" borderId="1" xfId="0" applyFont="1" applyBorder="1" applyAlignment="1">
      <alignment horizontal="center" vertical="center" wrapText="1"/>
    </xf>
    <xf numFmtId="0" fontId="8" fillId="0" borderId="2" xfId="0" applyFont="1" applyBorder="1" applyAlignment="1">
      <alignment horizontal="center"/>
    </xf>
    <xf numFmtId="0" fontId="7" fillId="0" borderId="9" xfId="0" applyFont="1" applyBorder="1" applyAlignment="1">
      <alignment horizontal="center" vertical="center" wrapText="1"/>
    </xf>
    <xf numFmtId="0" fontId="8" fillId="0" borderId="10" xfId="0" applyFont="1" applyBorder="1" applyAlignment="1">
      <alignment horizontal="center"/>
    </xf>
    <xf numFmtId="0" fontId="7" fillId="0" borderId="10" xfId="0" applyFont="1" applyBorder="1" applyAlignment="1">
      <alignment horizontal="center" vertical="center" wrapText="1"/>
    </xf>
    <xf numFmtId="1" fontId="1" fillId="0" borderId="0" xfId="0" applyNumberFormat="1" applyFont="1" applyAlignment="1">
      <alignment vertical="center"/>
    </xf>
    <xf numFmtId="0" fontId="7" fillId="0" borderId="11" xfId="0" applyFont="1" applyBorder="1" applyAlignment="1">
      <alignment horizontal="center" vertical="center" wrapText="1"/>
    </xf>
    <xf numFmtId="0" fontId="8" fillId="0" borderId="12" xfId="0" applyFont="1" applyBorder="1" applyAlignment="1">
      <alignment horizontal="center"/>
    </xf>
    <xf numFmtId="0" fontId="7" fillId="0" borderId="12" xfId="0" applyFont="1" applyBorder="1" applyAlignment="1">
      <alignment horizontal="center" vertical="center" wrapText="1"/>
    </xf>
    <xf numFmtId="0" fontId="8" fillId="0" borderId="13" xfId="0" applyFont="1" applyBorder="1" applyAlignment="1">
      <alignment horizontal="center"/>
    </xf>
    <xf numFmtId="1" fontId="1" fillId="0" borderId="0" xfId="0" applyNumberFormat="1" applyFont="1"/>
    <xf numFmtId="0" fontId="8" fillId="0" borderId="3" xfId="0" applyFont="1" applyBorder="1" applyAlignment="1">
      <alignment horizontal="center"/>
    </xf>
    <xf numFmtId="0" fontId="2" fillId="0" borderId="0" xfId="0" applyFont="1" applyAlignment="1">
      <alignment vertical="center"/>
    </xf>
    <xf numFmtId="0" fontId="9" fillId="0" borderId="0" xfId="0" applyFont="1" applyAlignment="1">
      <alignment horizontal="left" vertical="center"/>
    </xf>
    <xf numFmtId="14" fontId="2" fillId="0" borderId="0" xfId="0" applyNumberFormat="1" applyFont="1" applyAlignment="1">
      <alignment vertical="center"/>
    </xf>
    <xf numFmtId="0" fontId="7" fillId="0" borderId="8" xfId="0" applyFont="1" applyBorder="1" applyAlignment="1">
      <alignment horizontal="center" vertical="center" wrapText="1"/>
    </xf>
    <xf numFmtId="0" fontId="12" fillId="0" borderId="9" xfId="0" applyFont="1" applyBorder="1" applyAlignment="1">
      <alignment horizontal="center" vertical="center" wrapText="1"/>
    </xf>
    <xf numFmtId="1" fontId="12" fillId="0" borderId="10"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0" fontId="12"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13" fillId="0" borderId="1" xfId="0" applyFont="1" applyBorder="1" applyAlignment="1">
      <alignment horizontal="center" vertical="center"/>
    </xf>
    <xf numFmtId="1" fontId="13" fillId="0" borderId="1" xfId="0" applyNumberFormat="1" applyFont="1" applyBorder="1" applyAlignment="1">
      <alignment horizontal="center" vertical="center"/>
    </xf>
    <xf numFmtId="14" fontId="3" fillId="2" borderId="0" xfId="0" applyNumberFormat="1" applyFont="1" applyFill="1" applyAlignment="1">
      <alignment horizontal="center" vertical="center"/>
    </xf>
    <xf numFmtId="49" fontId="5" fillId="0" borderId="1" xfId="0" applyNumberFormat="1" applyFont="1" applyBorder="1" applyAlignment="1" applyProtection="1">
      <alignment horizontal="center" vertical="center" wrapText="1"/>
      <protection hidden="1"/>
    </xf>
    <xf numFmtId="0" fontId="8" fillId="0" borderId="0" xfId="0" applyFont="1" applyProtection="1">
      <protection locked="0"/>
    </xf>
    <xf numFmtId="0" fontId="2" fillId="0" borderId="1"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10"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xf>
    <xf numFmtId="0" fontId="2" fillId="0" borderId="0" xfId="0" applyFont="1" applyAlignment="1">
      <alignment horizontal="left" vertical="center"/>
    </xf>
    <xf numFmtId="0" fontId="5" fillId="0" borderId="0" xfId="2" applyFont="1" applyAlignment="1" applyProtection="1">
      <alignment horizontal="left" vertical="center" wrapText="1"/>
      <protection hidden="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textRotation="180" wrapText="1"/>
    </xf>
    <xf numFmtId="0" fontId="7" fillId="0" borderId="4" xfId="0" applyFont="1" applyBorder="1" applyAlignment="1">
      <alignment horizontal="center" vertical="center" textRotation="180" wrapText="1"/>
    </xf>
    <xf numFmtId="0" fontId="7" fillId="0" borderId="3" xfId="0" applyFont="1" applyBorder="1" applyAlignment="1">
      <alignment horizontal="center" vertical="center" textRotation="180"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14" fontId="2" fillId="0" borderId="0" xfId="0" applyNumberFormat="1" applyFont="1" applyAlignment="1">
      <alignment horizontal="center"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68"/>
  <sheetViews>
    <sheetView tabSelected="1" topLeftCell="A26" workbookViewId="0">
      <selection activeCell="E43" sqref="E43:F51"/>
    </sheetView>
  </sheetViews>
  <sheetFormatPr defaultRowHeight="16.5" x14ac:dyDescent="0.25"/>
  <cols>
    <col min="1" max="1" width="39.42578125" style="2" bestFit="1" customWidth="1"/>
    <col min="2" max="4" width="18.140625" style="2" customWidth="1"/>
    <col min="5" max="6" width="13.85546875" style="2" customWidth="1"/>
    <col min="7" max="7" width="15.42578125" style="2" customWidth="1"/>
    <col min="8" max="8" width="11.5703125" style="2" bestFit="1" customWidth="1"/>
    <col min="9" max="9" width="12.85546875" style="2" bestFit="1" customWidth="1"/>
    <col min="10" max="10" width="11.85546875" style="2" bestFit="1" customWidth="1"/>
    <col min="11" max="11" width="12.85546875" style="2" bestFit="1" customWidth="1"/>
    <col min="12" max="12" width="11.85546875" style="2" bestFit="1" customWidth="1"/>
    <col min="13" max="13" width="12.85546875" style="2" bestFit="1" customWidth="1"/>
    <col min="14" max="14" width="12.5703125" style="2" customWidth="1"/>
    <col min="15" max="15" width="12.85546875" style="2" bestFit="1" customWidth="1"/>
    <col min="16" max="16" width="11.85546875" style="2" bestFit="1" customWidth="1"/>
    <col min="17" max="17" width="12.85546875" style="2" bestFit="1" customWidth="1"/>
    <col min="18" max="18" width="11.85546875" style="2" bestFit="1" customWidth="1"/>
    <col min="19" max="19" width="12.85546875" style="2" bestFit="1" customWidth="1"/>
    <col min="20" max="20" width="11.85546875" style="2" bestFit="1" customWidth="1"/>
    <col min="21" max="21" width="12.85546875" style="2" bestFit="1" customWidth="1"/>
    <col min="22" max="22" width="11.85546875" style="2" bestFit="1" customWidth="1"/>
    <col min="23" max="16384" width="9.140625" style="2"/>
  </cols>
  <sheetData>
    <row r="1" spans="1:14" x14ac:dyDescent="0.25">
      <c r="A1" s="1"/>
      <c r="B1" s="1"/>
      <c r="C1" s="1"/>
      <c r="D1" s="1"/>
      <c r="E1" s="5" t="s">
        <v>0</v>
      </c>
      <c r="F1" s="5" t="s">
        <v>1</v>
      </c>
      <c r="G1" s="1"/>
    </row>
    <row r="2" spans="1:14" x14ac:dyDescent="0.25">
      <c r="A2" s="1"/>
      <c r="B2" s="1"/>
      <c r="C2" s="1"/>
      <c r="D2" s="1"/>
      <c r="E2" s="34">
        <v>46248</v>
      </c>
      <c r="F2" s="3">
        <f>+E2+4</f>
        <v>46252</v>
      </c>
      <c r="G2" s="1"/>
    </row>
    <row r="3" spans="1:14" x14ac:dyDescent="0.25">
      <c r="A3" s="4" t="s">
        <v>36</v>
      </c>
      <c r="B3" s="42" t="s">
        <v>2</v>
      </c>
      <c r="C3" s="42"/>
      <c r="D3" s="42"/>
      <c r="E3" s="42"/>
      <c r="F3" s="42"/>
      <c r="G3" s="42"/>
    </row>
    <row r="4" spans="1:14" x14ac:dyDescent="0.25">
      <c r="A4" s="5" t="s">
        <v>3</v>
      </c>
      <c r="B4" s="42" t="s">
        <v>4</v>
      </c>
      <c r="C4" s="42"/>
      <c r="D4" s="42"/>
      <c r="E4" s="42"/>
      <c r="F4" s="42"/>
      <c r="G4" s="42"/>
    </row>
    <row r="5" spans="1:14" x14ac:dyDescent="0.25">
      <c r="A5" s="5" t="s">
        <v>5</v>
      </c>
      <c r="B5" s="1"/>
      <c r="C5" s="1"/>
      <c r="D5" s="1"/>
      <c r="E5" s="1"/>
      <c r="F5" s="1"/>
      <c r="G5" s="1"/>
    </row>
    <row r="6" spans="1:14" ht="18.75" customHeight="1" x14ac:dyDescent="0.25">
      <c r="A6" s="4" t="str">
        <f>CONCATENATE("Số: ", ($E$2-DATE(2026,6,30)),"-BTS/DBQG-DBTV")</f>
        <v>Số: 45-BTS/DBQG-DBTV</v>
      </c>
      <c r="B6" s="43" t="s">
        <v>32</v>
      </c>
      <c r="C6" s="43"/>
      <c r="D6" s="43"/>
      <c r="E6" s="43"/>
      <c r="F6" s="43"/>
      <c r="G6" s="43"/>
    </row>
    <row r="7" spans="1:14" ht="18.75" customHeight="1" x14ac:dyDescent="0.25">
      <c r="A7" s="1"/>
      <c r="B7" s="43"/>
      <c r="C7" s="43"/>
      <c r="D7" s="43"/>
      <c r="E7" s="43"/>
      <c r="F7" s="43"/>
      <c r="G7" s="43"/>
    </row>
    <row r="8" spans="1:14" x14ac:dyDescent="0.25">
      <c r="B8" s="44" t="str">
        <f>"(Từ ngày "&amp;TEXT($E$2,"dd/MM/yyyy") &amp; " đến ngày " &amp;TEXT($F$2,"dd/MM/yyyy")&amp;" )"</f>
        <v>(Từ ngày 14/08/2026 đến ngày 18/08/2026 )</v>
      </c>
      <c r="C8" s="44"/>
      <c r="D8" s="44"/>
      <c r="E8" s="44"/>
      <c r="F8" s="44"/>
      <c r="G8" s="44"/>
    </row>
    <row r="9" spans="1:14" x14ac:dyDescent="0.25">
      <c r="A9" s="45" t="str">
        <f xml:space="preserve"> "I. Dự báo thời tiết khu vực  các  hồ Thủy điện trên sông Srêpôk từ ngày " &amp; TEXT($E$2, "dd/MM/yyyy")&amp;" đến ngày "&amp; TEXT($F$2, "dd/MM/yyyy")</f>
        <v>I. Dự báo thời tiết khu vực  các  hồ Thủy điện trên sông Srêpôk từ ngày 14/08/2026 đến ngày 18/08/2026</v>
      </c>
      <c r="B9" s="45"/>
      <c r="C9" s="45"/>
      <c r="D9" s="45"/>
      <c r="E9" s="45"/>
      <c r="F9" s="45"/>
      <c r="G9" s="45"/>
    </row>
    <row r="10" spans="1:14" ht="22.5" customHeight="1" x14ac:dyDescent="0.25">
      <c r="A10" s="46" t="s">
        <v>41</v>
      </c>
      <c r="B10" s="46"/>
      <c r="C10" s="46"/>
      <c r="D10" s="46"/>
      <c r="E10" s="46"/>
      <c r="F10" s="46"/>
      <c r="G10" s="46"/>
      <c r="H10" s="46"/>
      <c r="I10" s="46"/>
      <c r="J10" s="46"/>
      <c r="K10" s="46"/>
      <c r="L10" s="46"/>
      <c r="M10" s="46"/>
      <c r="N10" s="46"/>
    </row>
    <row r="11" spans="1:14" ht="16.5" customHeight="1" x14ac:dyDescent="0.25">
      <c r="A11" s="2" t="s">
        <v>28</v>
      </c>
    </row>
    <row r="12" spans="1:14" x14ac:dyDescent="0.25">
      <c r="A12" s="2" t="s">
        <v>28</v>
      </c>
    </row>
    <row r="13" spans="1:14" x14ac:dyDescent="0.25">
      <c r="A13" s="2" t="s">
        <v>28</v>
      </c>
    </row>
    <row r="14" spans="1:14" x14ac:dyDescent="0.25">
      <c r="A14" s="6" t="s">
        <v>6</v>
      </c>
    </row>
    <row r="15" spans="1:14" x14ac:dyDescent="0.25">
      <c r="A15" s="37" t="s">
        <v>7</v>
      </c>
      <c r="B15" s="38" t="s">
        <v>8</v>
      </c>
      <c r="C15" s="41" t="s">
        <v>31</v>
      </c>
      <c r="D15" s="41"/>
      <c r="E15" s="41" t="s">
        <v>31</v>
      </c>
      <c r="F15" s="41"/>
    </row>
    <row r="16" spans="1:14" x14ac:dyDescent="0.25">
      <c r="A16" s="37"/>
      <c r="B16" s="39"/>
      <c r="C16" s="37" t="s">
        <v>33</v>
      </c>
      <c r="D16" s="37"/>
      <c r="E16" s="37" t="s">
        <v>34</v>
      </c>
      <c r="F16" s="37"/>
    </row>
    <row r="17" spans="1:7" x14ac:dyDescent="0.25">
      <c r="A17" s="37"/>
      <c r="B17" s="40"/>
      <c r="C17" s="7" t="s">
        <v>9</v>
      </c>
      <c r="D17" s="7" t="s">
        <v>10</v>
      </c>
      <c r="E17" s="7" t="s">
        <v>9</v>
      </c>
      <c r="F17" s="7" t="s">
        <v>10</v>
      </c>
    </row>
    <row r="18" spans="1:7" hidden="1" x14ac:dyDescent="0.25">
      <c r="A18" s="8" t="str">
        <f>TEXT($E$2-5, "dd/MM/yyyy")</f>
        <v>09/08/2026</v>
      </c>
      <c r="B18" s="47" t="s">
        <v>11</v>
      </c>
      <c r="C18" s="7"/>
      <c r="D18" s="7"/>
      <c r="E18" s="7"/>
      <c r="F18" s="7"/>
    </row>
    <row r="19" spans="1:7" hidden="1" x14ac:dyDescent="0.25">
      <c r="A19" s="8" t="str">
        <f>TEXT($E$2-4, "dd/MM/yyyy")</f>
        <v>10/08/2026</v>
      </c>
      <c r="B19" s="48"/>
      <c r="C19" s="7"/>
      <c r="D19" s="7"/>
      <c r="E19" s="7"/>
      <c r="F19" s="7"/>
    </row>
    <row r="20" spans="1:7" hidden="1" x14ac:dyDescent="0.25">
      <c r="A20" s="8" t="str">
        <f>TEXT($E$2-3, "dd/MM/yyyy")</f>
        <v>11/08/2026</v>
      </c>
      <c r="B20" s="48"/>
      <c r="C20" s="7"/>
      <c r="D20" s="7"/>
      <c r="E20" s="7"/>
      <c r="F20" s="7"/>
    </row>
    <row r="21" spans="1:7" hidden="1" x14ac:dyDescent="0.25">
      <c r="A21" s="8" t="str">
        <f>TEXT($E$2-2, "dd/MM/yyyy")</f>
        <v>12/08/2026</v>
      </c>
      <c r="B21" s="48"/>
      <c r="C21" s="7"/>
      <c r="D21" s="7"/>
      <c r="E21" s="7"/>
      <c r="F21" s="7"/>
    </row>
    <row r="22" spans="1:7" hidden="1" x14ac:dyDescent="0.25">
      <c r="A22" s="8" t="str">
        <f>TEXT($E$2-1, "dd/MM/yyyy")</f>
        <v>13/08/2026</v>
      </c>
      <c r="B22" s="49"/>
      <c r="C22" s="9"/>
      <c r="D22" s="9"/>
      <c r="E22" s="9"/>
      <c r="F22" s="9"/>
    </row>
    <row r="23" spans="1:7" x14ac:dyDescent="0.25">
      <c r="A23" s="8" t="str">
        <f>TEXT($E$2, "dd/MM/yyyy")</f>
        <v>14/08/2026</v>
      </c>
      <c r="B23" s="50" t="s">
        <v>12</v>
      </c>
      <c r="C23" s="35">
        <v>10</v>
      </c>
      <c r="D23" s="35">
        <v>5</v>
      </c>
      <c r="E23" s="35">
        <v>10</v>
      </c>
      <c r="F23" s="35">
        <v>5</v>
      </c>
    </row>
    <row r="24" spans="1:7" x14ac:dyDescent="0.25">
      <c r="A24" s="8" t="str">
        <f>TEXT($E$2+1, "dd/MM/yyyy")</f>
        <v>15/08/2026</v>
      </c>
      <c r="B24" s="51"/>
      <c r="C24" s="35">
        <v>10</v>
      </c>
      <c r="D24" s="35">
        <v>5</v>
      </c>
      <c r="E24" s="35">
        <v>20</v>
      </c>
      <c r="F24" s="35">
        <v>10</v>
      </c>
    </row>
    <row r="25" spans="1:7" x14ac:dyDescent="0.25">
      <c r="A25" s="8" t="str">
        <f>TEXT($E$2+2, "dd/MM/yyyy")</f>
        <v>16/08/2026</v>
      </c>
      <c r="B25" s="51"/>
      <c r="C25" s="35">
        <v>15</v>
      </c>
      <c r="D25" s="35">
        <v>5</v>
      </c>
      <c r="E25" s="35">
        <v>20</v>
      </c>
      <c r="F25" s="35">
        <v>10</v>
      </c>
    </row>
    <row r="26" spans="1:7" x14ac:dyDescent="0.25">
      <c r="A26" s="8" t="str">
        <f>TEXT($E$2+3, "dd/MM/yyyy")</f>
        <v>17/08/2026</v>
      </c>
      <c r="B26" s="51"/>
      <c r="C26" s="35">
        <v>10</v>
      </c>
      <c r="D26" s="35">
        <v>5</v>
      </c>
      <c r="E26" s="35">
        <v>15</v>
      </c>
      <c r="F26" s="35">
        <v>5</v>
      </c>
    </row>
    <row r="27" spans="1:7" x14ac:dyDescent="0.25">
      <c r="A27" s="8" t="str">
        <f>TEXT($E$2+4, "dd/MM/yyyy")</f>
        <v>18/08/2026</v>
      </c>
      <c r="B27" s="52"/>
      <c r="C27" s="35">
        <v>10</v>
      </c>
      <c r="D27" s="35">
        <v>5</v>
      </c>
      <c r="E27" s="35">
        <v>20</v>
      </c>
      <c r="F27" s="35">
        <v>10</v>
      </c>
    </row>
    <row r="28" spans="1:7" x14ac:dyDescent="0.25">
      <c r="B28" s="6"/>
      <c r="C28"/>
      <c r="D28"/>
      <c r="E28"/>
      <c r="F28"/>
    </row>
    <row r="29" spans="1:7" x14ac:dyDescent="0.25">
      <c r="A29" s="45" t="str">
        <f>"II. Dự báo lưu lượng đến hồ Thủy điện Buôn Tua Srah từ ngày " &amp; TEXT($E$2, "dd/MM/yyyy")&amp;" đến ngày "&amp; TEXT($F$2, "dd/MM/yyyy")</f>
        <v>II. Dự báo lưu lượng đến hồ Thủy điện Buôn Tua Srah từ ngày 14/08/2026 đến ngày 18/08/2026</v>
      </c>
      <c r="B29" s="45"/>
      <c r="C29" s="45"/>
      <c r="D29" s="45"/>
      <c r="E29" s="45"/>
      <c r="F29" s="45"/>
      <c r="G29" s="45"/>
    </row>
    <row r="30" spans="1:7" x14ac:dyDescent="0.25">
      <c r="A30" s="2" t="s">
        <v>39</v>
      </c>
    </row>
    <row r="31" spans="1:7" x14ac:dyDescent="0.25">
      <c r="A31" s="2" t="s">
        <v>28</v>
      </c>
    </row>
    <row r="32" spans="1:7" x14ac:dyDescent="0.25">
      <c r="A32" s="2" t="s">
        <v>28</v>
      </c>
      <c r="F32" s="2" t="s">
        <v>37</v>
      </c>
    </row>
    <row r="33" spans="1:15" x14ac:dyDescent="0.25">
      <c r="A33" s="2" t="s">
        <v>28</v>
      </c>
      <c r="M33" s="10"/>
      <c r="N33" s="10"/>
      <c r="O33" s="10"/>
    </row>
    <row r="34" spans="1:15" x14ac:dyDescent="0.25">
      <c r="A34" s="6" t="s">
        <v>13</v>
      </c>
      <c r="M34" s="10"/>
      <c r="N34" s="10"/>
      <c r="O34" s="10"/>
    </row>
    <row r="35" spans="1:15" x14ac:dyDescent="0.25">
      <c r="A35" s="53" t="s">
        <v>7</v>
      </c>
      <c r="B35" s="53" t="s">
        <v>14</v>
      </c>
      <c r="C35" s="26" t="s">
        <v>15</v>
      </c>
      <c r="D35" s="53" t="s">
        <v>16</v>
      </c>
    </row>
    <row r="36" spans="1:15" ht="31.5" customHeight="1" x14ac:dyDescent="0.25">
      <c r="A36" s="53"/>
      <c r="B36" s="53"/>
      <c r="C36" s="11" t="s">
        <v>17</v>
      </c>
      <c r="D36" s="53"/>
    </row>
    <row r="37" spans="1:15" ht="15.75" customHeight="1" x14ac:dyDescent="0.25">
      <c r="A37" s="12" t="str">
        <f>TEXT($E$2-2, "dd/MM/yyyy")</f>
        <v>12/08/2026</v>
      </c>
      <c r="B37" s="13">
        <v>13</v>
      </c>
      <c r="C37" s="27">
        <v>41</v>
      </c>
      <c r="D37" s="54" t="s">
        <v>18</v>
      </c>
      <c r="E37" s="1"/>
      <c r="F37" s="1"/>
      <c r="G37" s="1"/>
      <c r="H37" s="1"/>
    </row>
    <row r="38" spans="1:15" x14ac:dyDescent="0.25">
      <c r="A38" s="14" t="str">
        <f>TEXT($E$2-2, "dd/MM/yyyy")</f>
        <v>12/08/2026</v>
      </c>
      <c r="B38" s="15">
        <v>19</v>
      </c>
      <c r="C38" s="28">
        <v>49</v>
      </c>
      <c r="D38" s="55"/>
      <c r="E38" s="16"/>
      <c r="F38" s="16"/>
      <c r="G38" s="1"/>
      <c r="H38" s="1"/>
    </row>
    <row r="39" spans="1:15" x14ac:dyDescent="0.25">
      <c r="A39" s="14" t="str">
        <f>TEXT($E$2-1, "dd/MM/yyyy")</f>
        <v>13/08/2026</v>
      </c>
      <c r="B39" s="15">
        <v>1</v>
      </c>
      <c r="C39" s="28">
        <v>85</v>
      </c>
      <c r="D39" s="55"/>
      <c r="E39" s="16"/>
      <c r="F39" s="16"/>
      <c r="G39" s="1"/>
      <c r="H39" s="1"/>
    </row>
    <row r="40" spans="1:15" x14ac:dyDescent="0.25">
      <c r="A40" s="14" t="str">
        <f>TEXT($E$2-1, "dd/MM/yyyy")</f>
        <v>13/08/2026</v>
      </c>
      <c r="B40" s="17">
        <v>7</v>
      </c>
      <c r="C40" s="29">
        <v>62</v>
      </c>
      <c r="D40" s="55"/>
      <c r="E40" s="16"/>
      <c r="F40" s="16"/>
      <c r="G40" s="1"/>
      <c r="H40" s="1"/>
    </row>
    <row r="41" spans="1:15" x14ac:dyDescent="0.25">
      <c r="A41" s="18" t="str">
        <f>TEXT($E$2-1, "dd/MM/yyyy")</f>
        <v>13/08/2026</v>
      </c>
      <c r="B41" s="19">
        <v>13</v>
      </c>
      <c r="C41" s="30"/>
      <c r="D41" s="56"/>
      <c r="E41" s="16"/>
      <c r="F41" s="16"/>
      <c r="G41" s="1"/>
    </row>
    <row r="42" spans="1:15" ht="15.75" customHeight="1" x14ac:dyDescent="0.25">
      <c r="A42" s="20" t="str">
        <f>TEXT($E$2-1, "dd/MM/yyyy")</f>
        <v>13/08/2026</v>
      </c>
      <c r="B42" s="13">
        <v>19</v>
      </c>
      <c r="C42" s="27"/>
      <c r="D42" s="54" t="s">
        <v>12</v>
      </c>
      <c r="E42" s="1"/>
      <c r="G42" s="1"/>
      <c r="H42" s="1"/>
      <c r="I42" s="21"/>
    </row>
    <row r="43" spans="1:15" x14ac:dyDescent="0.25">
      <c r="A43" s="14" t="str">
        <f>TEXT($E$2, "dd/MM/yyyy")</f>
        <v>14/08/2026</v>
      </c>
      <c r="B43" s="15" t="s">
        <v>7</v>
      </c>
      <c r="C43" s="31">
        <v>68</v>
      </c>
      <c r="D43" s="55"/>
      <c r="E43" s="1"/>
    </row>
    <row r="44" spans="1:15" x14ac:dyDescent="0.25">
      <c r="A44" s="14" t="str">
        <f>TEXT($E$2+1, "dd/MM/yyyy")</f>
        <v>15/08/2026</v>
      </c>
      <c r="B44" s="15" t="s">
        <v>7</v>
      </c>
      <c r="C44" s="31">
        <v>65</v>
      </c>
      <c r="D44" s="55"/>
      <c r="E44" s="1"/>
    </row>
    <row r="45" spans="1:15" x14ac:dyDescent="0.25">
      <c r="A45" s="14" t="str">
        <f>TEXT($E$2+2, "dd/MM/yyyy")</f>
        <v>16/08/2026</v>
      </c>
      <c r="B45" s="15" t="s">
        <v>7</v>
      </c>
      <c r="C45" s="31">
        <v>60</v>
      </c>
      <c r="D45" s="55"/>
      <c r="E45" s="1"/>
    </row>
    <row r="46" spans="1:15" x14ac:dyDescent="0.25">
      <c r="A46" s="14" t="str">
        <f>TEXT($E$2+3, "dd/MM/yyyy")</f>
        <v>17/08/2026</v>
      </c>
      <c r="B46" s="15" t="s">
        <v>7</v>
      </c>
      <c r="C46" s="31">
        <v>62</v>
      </c>
      <c r="D46" s="55"/>
      <c r="E46" s="1"/>
    </row>
    <row r="47" spans="1:15" x14ac:dyDescent="0.25">
      <c r="A47" s="22" t="str">
        <f>TEXT($E$2+4, "dd/MM/yyyy")</f>
        <v>18/08/2026</v>
      </c>
      <c r="B47" s="19" t="s">
        <v>7</v>
      </c>
      <c r="C47" s="31">
        <v>64</v>
      </c>
      <c r="D47" s="55"/>
      <c r="E47" s="1"/>
    </row>
    <row r="48" spans="1:15" ht="15.75" customHeight="1" x14ac:dyDescent="0.25">
      <c r="A48" s="57" t="s">
        <v>19</v>
      </c>
      <c r="B48" s="11" t="s">
        <v>20</v>
      </c>
      <c r="C48" s="32">
        <v>120</v>
      </c>
      <c r="D48" s="55"/>
      <c r="E48" s="1"/>
    </row>
    <row r="49" spans="1:10" x14ac:dyDescent="0.25">
      <c r="A49" s="58"/>
      <c r="B49" s="11" t="s">
        <v>21</v>
      </c>
      <c r="C49" s="33">
        <f>+AVERAGE(C43:C47)</f>
        <v>63.8</v>
      </c>
      <c r="D49" s="55"/>
      <c r="E49" s="1"/>
    </row>
    <row r="50" spans="1:10" x14ac:dyDescent="0.25">
      <c r="A50" s="59"/>
      <c r="B50" s="11" t="s">
        <v>22</v>
      </c>
      <c r="C50" s="32">
        <v>38</v>
      </c>
      <c r="D50" s="56"/>
      <c r="E50" s="1"/>
    </row>
    <row r="51" spans="1:10" x14ac:dyDescent="0.25">
      <c r="A51" s="23"/>
      <c r="B51" s="1"/>
      <c r="C51" s="1"/>
      <c r="D51" s="1"/>
      <c r="E51" s="1"/>
      <c r="F51" s="1"/>
      <c r="G51" s="1"/>
      <c r="H51" s="1"/>
      <c r="I51" s="1"/>
      <c r="J51" s="1"/>
    </row>
    <row r="52" spans="1:10" x14ac:dyDescent="0.25">
      <c r="A52" s="24"/>
      <c r="B52" s="23"/>
      <c r="C52" s="23"/>
      <c r="D52" s="23"/>
      <c r="E52" s="23"/>
      <c r="F52" s="23"/>
      <c r="G52" s="23"/>
      <c r="H52" s="23"/>
      <c r="I52" s="23"/>
      <c r="J52" s="23"/>
    </row>
    <row r="53" spans="1:10" x14ac:dyDescent="0.25">
      <c r="A53" s="24"/>
      <c r="B53" s="1"/>
      <c r="C53" s="1"/>
      <c r="D53" s="1"/>
      <c r="E53" s="1"/>
      <c r="F53" s="1"/>
      <c r="G53" s="1"/>
      <c r="H53" s="1"/>
      <c r="I53" s="1"/>
      <c r="J53" s="1"/>
    </row>
    <row r="54" spans="1:10" x14ac:dyDescent="0.25">
      <c r="A54" s="23" t="s">
        <v>24</v>
      </c>
      <c r="B54" s="23"/>
      <c r="C54" s="25"/>
      <c r="D54" s="25"/>
      <c r="E54" s="60" t="str">
        <f>"Hà Nội, ngày "&amp;TEXT($E$2-1,"dd/MM/yyyy")</f>
        <v>Hà Nội, ngày 13/08/2026</v>
      </c>
      <c r="F54" s="60"/>
      <c r="G54" s="60"/>
      <c r="H54" s="25"/>
      <c r="I54" s="25"/>
      <c r="J54" s="25"/>
    </row>
    <row r="55" spans="1:10" x14ac:dyDescent="0.25">
      <c r="A55" s="23" t="s">
        <v>25</v>
      </c>
      <c r="B55" s="36" t="s">
        <v>40</v>
      </c>
      <c r="C55" s="23"/>
      <c r="D55" s="23"/>
      <c r="E55" s="42" t="s">
        <v>26</v>
      </c>
      <c r="F55" s="42"/>
      <c r="G55" s="42"/>
      <c r="H55" s="23"/>
      <c r="I55" s="25"/>
      <c r="J55" s="25"/>
    </row>
    <row r="56" spans="1:10" x14ac:dyDescent="0.25">
      <c r="A56" s="23" t="s">
        <v>27</v>
      </c>
      <c r="B56" s="23" t="s">
        <v>38</v>
      </c>
      <c r="C56" s="23"/>
      <c r="D56" s="23"/>
      <c r="E56" s="23"/>
      <c r="F56" s="23"/>
      <c r="G56" s="23"/>
      <c r="H56" s="23"/>
      <c r="I56" s="25"/>
      <c r="J56" s="25"/>
    </row>
    <row r="57" spans="1:10" x14ac:dyDescent="0.25">
      <c r="A57" s="1"/>
      <c r="B57" s="1"/>
      <c r="C57" s="23"/>
      <c r="D57" s="23"/>
      <c r="E57" s="23"/>
      <c r="F57" s="23"/>
      <c r="G57" s="23"/>
      <c r="H57" s="23"/>
      <c r="I57" s="25"/>
      <c r="J57" s="25"/>
    </row>
    <row r="58" spans="1:10" x14ac:dyDescent="0.25">
      <c r="A58" s="1"/>
      <c r="B58" s="1"/>
      <c r="C58" s="23"/>
      <c r="D58" s="23"/>
      <c r="E58" s="23"/>
      <c r="F58" s="23"/>
      <c r="G58" s="23"/>
      <c r="H58" s="23"/>
      <c r="I58" s="25"/>
      <c r="J58" s="25"/>
    </row>
    <row r="59" spans="1:10" x14ac:dyDescent="0.25">
      <c r="A59" s="1"/>
      <c r="B59" s="1"/>
      <c r="C59" s="23"/>
      <c r="D59" s="23"/>
      <c r="E59" s="23"/>
      <c r="F59" s="23"/>
      <c r="G59" s="23"/>
      <c r="H59" s="23"/>
      <c r="I59" s="25"/>
      <c r="J59" s="25"/>
    </row>
    <row r="60" spans="1:10" x14ac:dyDescent="0.25">
      <c r="A60" s="1"/>
      <c r="B60" s="1"/>
      <c r="C60" s="23"/>
      <c r="D60" s="23"/>
      <c r="E60" s="42" t="s">
        <v>35</v>
      </c>
      <c r="F60" s="42"/>
      <c r="G60" s="42"/>
      <c r="H60" s="23"/>
      <c r="I60" s="25"/>
      <c r="J60" s="25"/>
    </row>
    <row r="61" spans="1:10" x14ac:dyDescent="0.25">
      <c r="A61" s="1"/>
      <c r="B61" s="1"/>
      <c r="C61" s="1"/>
      <c r="D61" s="1"/>
      <c r="E61" s="1"/>
      <c r="F61" s="1"/>
      <c r="G61" s="1"/>
      <c r="H61" s="1"/>
      <c r="I61" s="1"/>
      <c r="J61" s="1"/>
    </row>
    <row r="66" spans="1:1" x14ac:dyDescent="0.25">
      <c r="A66" s="2" t="s">
        <v>23</v>
      </c>
    </row>
    <row r="67" spans="1:1" x14ac:dyDescent="0.25">
      <c r="A67" s="2" t="s">
        <v>29</v>
      </c>
    </row>
    <row r="68" spans="1:1" x14ac:dyDescent="0.25">
      <c r="A68" s="2" t="s">
        <v>30</v>
      </c>
    </row>
  </sheetData>
  <mergeCells count="24">
    <mergeCell ref="E60:G60"/>
    <mergeCell ref="B18:B22"/>
    <mergeCell ref="B23:B27"/>
    <mergeCell ref="A29:G29"/>
    <mergeCell ref="A35:A36"/>
    <mergeCell ref="B35:B36"/>
    <mergeCell ref="D35:D36"/>
    <mergeCell ref="D37:D41"/>
    <mergeCell ref="D42:D50"/>
    <mergeCell ref="A48:A50"/>
    <mergeCell ref="E54:G54"/>
    <mergeCell ref="E55:G55"/>
    <mergeCell ref="A15:A17"/>
    <mergeCell ref="B15:B17"/>
    <mergeCell ref="C15:D15"/>
    <mergeCell ref="E15:F15"/>
    <mergeCell ref="B3:G3"/>
    <mergeCell ref="B4:G4"/>
    <mergeCell ref="B6:G7"/>
    <mergeCell ref="B8:G8"/>
    <mergeCell ref="A9:G9"/>
    <mergeCell ref="C16:D16"/>
    <mergeCell ref="E16:F16"/>
    <mergeCell ref="A10:N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Anh</dc:creator>
  <cp:lastModifiedBy>Administrator</cp:lastModifiedBy>
  <dcterms:created xsi:type="dcterms:W3CDTF">2019-02-25T03:06:54Z</dcterms:created>
  <dcterms:modified xsi:type="dcterms:W3CDTF">2026-08-13T03:28:24Z</dcterms:modified>
</cp:coreProperties>
</file>