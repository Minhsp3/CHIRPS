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3FA7A43E-458E-49A8-B61C-8C5219DA2C3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<sst xmlns="http://schemas.openxmlformats.org/spreadsheetml/2006/main" count="59" uniqueCount="43">
  <si>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</si>
  <si>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</si>
  <si>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</si>
  <si>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</si>
  <si>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</si>
  <si>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</si>
  <si>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</si>
  <si>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</si>
  <si>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</si>
  <si>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</si>
  <si>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</si>
  <si>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</si>
  <si>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</si>
  <si>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</si>
  <si>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</si>
  <si>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</si>
  <si>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</si>
  <si>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</si>
  <si>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</si>
  <si>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</si>
  <si>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</si>
  <si>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</si>
  <si>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</si>
  <si>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</si>
  <si>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</si>
  <si>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</si>
  <si>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</si>
  <si>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</si>
  <si>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</si>
  <si>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</si>
  <si>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</si>
  <si>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</si>
  <si>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</si>
  <si>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</si>
  <si>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</si>
  <si>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</si>
  <si>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</si>
  <si>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</si>
  <si>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</si>
  <si>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</si>
  <si>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Trịnh Thùy Nguyên</t>
  </si>
  <si>
    <t>Khu vực phổ biến có mưa rào và dông vài nơi, riêng chiều và tối có mưa rào và dông rải rác, cục bộ có nơi mưa to.</t>
  </si>
  <si>
    <t>Trong những ngày tới, dòng chảy đến hồ biến đổi theo xu thế tăng nhẹ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</si>
</sst>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7" workbookViewId="0">
      <selection activeCell="N36" sqref="N36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46246</v>
      </c>
      <c r="F2" s="3">
        <f>+E2+4</f>
        <v>46250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43-BK/DBQG-DBTV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12/08/2026 đến ngày 16/08/2026 )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12/08/2026 đến ngày 16/08/2026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41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07/08/2026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08/08/2026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09/08/2026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10/08/2026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11/08/2026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12/08/2026</v>
      </c>
      <c r="B23" s="50" t="s">
        <v>12</v>
      </c>
      <c r="C23" s="36">
        <v>10</v>
      </c>
      <c r="D23" s="36">
        <v>5</v>
      </c>
      <c r="E23" s="36">
        <v>15</v>
      </c>
      <c r="F23" s="36">
        <v>5</v>
      </c>
    </row>
    <row r="24" spans="1:7" x14ac:dyDescent="0.25">
      <c r="A24" s="8" t="str">
        <f>TEXT($E$2+1, "dd/MM/yyyy")</f>
        <v>13/08/2026</v>
      </c>
      <c r="B24" s="51"/>
      <c r="C24" s="36">
        <v>10</v>
      </c>
      <c r="D24" s="36">
        <v>5</v>
      </c>
      <c r="E24" s="36">
        <v>15</v>
      </c>
      <c r="F24" s="36">
        <v>5</v>
      </c>
    </row>
    <row r="25" spans="1:7" x14ac:dyDescent="0.25">
      <c r="A25" s="8" t="str">
        <f>TEXT($E$2+2, "dd/MM/yyyy")</f>
        <v>14/08/2026</v>
      </c>
      <c r="B25" s="51"/>
      <c r="C25" s="36">
        <v>10</v>
      </c>
      <c r="D25" s="36">
        <v>5</v>
      </c>
      <c r="E25" s="36">
        <v>15</v>
      </c>
      <c r="F25" s="36">
        <v>5</v>
      </c>
    </row>
    <row r="26" spans="1:7" x14ac:dyDescent="0.25">
      <c r="A26" s="8" t="str">
        <f>TEXT($E$2+3, "dd/MM/yyyy")</f>
        <v>15/08/2026</v>
      </c>
      <c r="B26" s="51"/>
      <c r="C26" s="36">
        <v>10</v>
      </c>
      <c r="D26" s="36">
        <v>5</v>
      </c>
      <c r="E26" s="36">
        <v>20</v>
      </c>
      <c r="F26" s="36">
        <v>10</v>
      </c>
    </row>
    <row r="27" spans="1:7" x14ac:dyDescent="0.25">
      <c r="A27" s="8" t="str">
        <f>TEXT($E$2+4, "dd/MM/yyyy")</f>
        <v>16/08/2026</v>
      </c>
      <c r="B27" s="52"/>
      <c r="C27" s="36">
        <v>15</v>
      </c>
      <c r="D27" s="36">
        <v>5</v>
      </c>
      <c r="E27" s="36">
        <v>20</v>
      </c>
      <c r="F27" s="36">
        <v>10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12/08/2026 đến ngày 16/08/2026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42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10/08/2026</v>
      </c>
      <c r="B37" s="13">
        <v>13</v>
      </c>
      <c r="C37" s="28"/>
      <c r="D37" s="28">
        <v>76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10/08/2026</v>
      </c>
      <c r="B38" s="15">
        <v>19</v>
      </c>
      <c r="C38" s="29">
        <v>7</v>
      </c>
      <c r="D38" s="29">
        <v>92</v>
      </c>
      <c r="E38" s="55"/>
      <c r="F38" s="16"/>
      <c r="G38" s="16"/>
      <c r="H38" s="1"/>
      <c r="I38" s="1"/>
    </row>
    <row r="39" spans="1:15" x14ac:dyDescent="0.25">
      <c r="A39" s="14" t="str">
        <f>TEXT($E$2-1, "dd/MM/yyyy")</f>
        <v>11/08/2026</v>
      </c>
      <c r="B39" s="15">
        <v>1</v>
      </c>
      <c r="C39" s="29">
        <v>22</v>
      </c>
      <c r="D39" s="29">
        <v>107</v>
      </c>
      <c r="E39" s="55"/>
      <c r="F39" s="16"/>
      <c r="G39" s="16"/>
      <c r="H39" s="1"/>
      <c r="I39" s="1"/>
    </row>
    <row r="40" spans="1:15" x14ac:dyDescent="0.25">
      <c r="A40" s="14" t="str">
        <f>TEXT($E$2-1, "dd/MM/yyyy")</f>
        <v>11/08/2026</v>
      </c>
      <c r="B40" s="17">
        <v>7</v>
      </c>
      <c r="C40" s="30">
        <v>34</v>
      </c>
      <c r="D40" s="30">
        <v>119</v>
      </c>
      <c r="E40" s="55"/>
      <c r="F40" s="16"/>
      <c r="G40" s="16"/>
      <c r="H40" s="1"/>
      <c r="I40" s="1"/>
    </row>
    <row r="41" spans="1:15" x14ac:dyDescent="0.25">
      <c r="A41" s="18" t="str">
        <f>TEXT($E$2-1, "dd/MM/yyyy")</f>
        <v>11/08/2026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11/08/2026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12/08/2026</v>
      </c>
      <c r="B43" s="15" t="s">
        <v>7</v>
      </c>
      <c r="C43" s="29">
        <v>35</v>
      </c>
      <c r="D43" s="32">
        <v>108</v>
      </c>
      <c r="E43" s="55"/>
      <c r="F43" s="1"/>
      <c r="G43" s="1"/>
      <c r="I43" s="1"/>
      <c r="J43" s="1"/>
      <c r="K43" s="1"/>
      <c r="L43" s="1"/>
    </row>
    <row r="44" spans="1:15" x14ac:dyDescent="0.25">
      <c r="A44" s="14" t="str">
        <f>TEXT($E$2+1, "dd/MM/yyyy")</f>
        <v>13/08/2026</v>
      </c>
      <c r="B44" s="15" t="s">
        <v>7</v>
      </c>
      <c r="C44" s="29">
        <v>45</v>
      </c>
      <c r="D44" s="32">
        <v>115</v>
      </c>
      <c r="E44" s="55"/>
      <c r="F44" s="1"/>
      <c r="G44" s="1"/>
      <c r="I44" s="1"/>
      <c r="J44" s="1"/>
      <c r="K44" s="1"/>
      <c r="L44" s="1"/>
    </row>
    <row r="45" spans="1:15" x14ac:dyDescent="0.25">
      <c r="A45" s="14" t="str">
        <f>TEXT($E$2+2, "dd/MM/yyyy")</f>
        <v>14/08/2026</v>
      </c>
      <c r="B45" s="15" t="s">
        <v>7</v>
      </c>
      <c r="C45" s="29">
        <v>37</v>
      </c>
      <c r="D45" s="32">
        <v>122</v>
      </c>
      <c r="E45" s="55"/>
      <c r="F45" s="1"/>
      <c r="G45" s="1"/>
      <c r="I45" s="1"/>
      <c r="J45" s="1"/>
      <c r="K45" s="1"/>
      <c r="L45" s="1"/>
    </row>
    <row r="46" spans="1:15" x14ac:dyDescent="0.25">
      <c r="A46" s="14" t="str">
        <f>TEXT($E$2+3, "dd/MM/yyyy")</f>
        <v>15/08/2026</v>
      </c>
      <c r="B46" s="15" t="s">
        <v>7</v>
      </c>
      <c r="C46" s="29">
        <v>55</v>
      </c>
      <c r="D46" s="32">
        <v>135</v>
      </c>
      <c r="E46" s="55"/>
      <c r="F46" s="1"/>
      <c r="G46" s="1"/>
      <c r="I46" s="1"/>
      <c r="J46" s="1"/>
      <c r="K46" s="1"/>
      <c r="L46" s="1"/>
    </row>
    <row r="47" spans="1:15" x14ac:dyDescent="0.25">
      <c r="A47" s="22" t="str">
        <f>TEXT($E$2+4, "dd/MM/yyyy")</f>
        <v>16/08/2026</v>
      </c>
      <c r="B47" s="19" t="s">
        <v>7</v>
      </c>
      <c r="C47" s="29">
        <v>50</v>
      </c>
      <c r="D47" s="32">
        <v>145</v>
      </c>
      <c r="E47" s="55"/>
      <c r="F47" s="1"/>
      <c r="G47" s="1"/>
      <c r="I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180</v>
      </c>
      <c r="E48" s="55"/>
      <c r="F48" s="1"/>
      <c r="G48" s="1"/>
      <c r="I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44.4</v>
      </c>
      <c r="D49" s="34">
        <f>+AVERAGE(D43:D47)</f>
        <v>125</v>
      </c>
      <c r="E49" s="55"/>
      <c r="F49" s="1"/>
      <c r="G49" s="1"/>
      <c r="I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65</v>
      </c>
      <c r="E50" s="56"/>
      <c r="F50" s="1"/>
      <c r="G50" s="1"/>
      <c r="I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11/08/2026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7" t="s">
        <v>40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2026-08-11T04:16:19Z</dcterms:modified>
</cp:coreProperties>
</file>