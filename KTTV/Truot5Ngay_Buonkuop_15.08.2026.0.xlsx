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10.151.0.23\Bantin\03. BantinHochua2026\01.Hochua_NSMO&amp;EPTC\5. Tây Nguyên\Truot5ngay\Buôn Kuôp\"/>
    </mc:Choice>
  </mc:AlternateContent>
  <xr:revisionPtr revIDLastSave="0" documentId="13_ncr:1_{B6127F0A-80EB-41F4-A3EA-895DAD6208C4}" xr6:coauthVersionLast="4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<sst xmlns="http://schemas.openxmlformats.org/spreadsheetml/2006/main" count="59" uniqueCount="43">
  <si>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</si>
  <si>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</si>
  <si>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</si>
  <si>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</si>
  <si>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</si>
  <si>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</si>
  <si>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</si>
  <si>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</si>
  <si>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</si>
  <si>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</si>
  <si>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</si>
  <si>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</si>
  <si>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</si>
  <si>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</si>
  <si>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</si>
  <si>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</si>
  <si>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</si>
  <si>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</si>
  <si>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</si>
  <si>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</si>
  <si>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</si>
  <si>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</si>
  <si>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</si>
  <si>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</si>
  <si>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</si>
  <si>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</si>
  <si>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</si>
  <si>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</si>
  <si>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</si>
  <si>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</si>
  <si>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</si>
  <si>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</si>
  <si>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</si>
  <si>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</si>
  <si>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</si>
  <si>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</si>
  <si>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</si>
  <si>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</si>
  <si>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</si>
  <si>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</si>
  <si>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</si>
  <si>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 xml:space="preserve">Khu vực có mưa rào dông rải rác, cục bộ có nơi mưa to, thời điểm mưa tập trung chính vào chiều và tối. </t>
  </si>
  <si>
    <t>Hoàng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</si>
</sst>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7" workbookViewId="0">
      <selection activeCell="L50" sqref="L50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46250</v>
      </c>
      <c r="F2" s="3">
        <f>+E2+4</f>
        <v>46254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47-BK/DBQG-DBTV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16/08/2026 đến ngày 20/08/2026 )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16/08/2026 đến ngày 20/08/2026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41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11/08/2026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12/08/2026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13/08/2026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14/08/2026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15/08/2026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16/08/2026</v>
      </c>
      <c r="B23" s="50" t="s">
        <v>12</v>
      </c>
      <c r="C23" s="37">
        <v>20</v>
      </c>
      <c r="D23" s="37">
        <v>10</v>
      </c>
      <c r="E23" s="37">
        <v>20</v>
      </c>
      <c r="F23" s="37">
        <v>10</v>
      </c>
    </row>
    <row r="24" spans="1:7" x14ac:dyDescent="0.25">
      <c r="A24" s="8" t="str">
        <f>TEXT($E$2+1, "dd/MM/yyyy")</f>
        <v>17/08/2026</v>
      </c>
      <c r="B24" s="51"/>
      <c r="C24" s="37">
        <v>15</v>
      </c>
      <c r="D24" s="37">
        <v>5</v>
      </c>
      <c r="E24" s="37">
        <v>20</v>
      </c>
      <c r="F24" s="37">
        <v>10</v>
      </c>
    </row>
    <row r="25" spans="1:7" x14ac:dyDescent="0.25">
      <c r="A25" s="8" t="str">
        <f>TEXT($E$2+2, "dd/MM/yyyy")</f>
        <v>18/08/2026</v>
      </c>
      <c r="B25" s="51"/>
      <c r="C25" s="37">
        <v>15</v>
      </c>
      <c r="D25" s="37">
        <v>5</v>
      </c>
      <c r="E25" s="37">
        <v>30</v>
      </c>
      <c r="F25" s="37">
        <v>15</v>
      </c>
    </row>
    <row r="26" spans="1:7" x14ac:dyDescent="0.25">
      <c r="A26" s="8" t="str">
        <f>TEXT($E$2+3, "dd/MM/yyyy")</f>
        <v>19/08/2026</v>
      </c>
      <c r="B26" s="51"/>
      <c r="C26" s="37">
        <v>4</v>
      </c>
      <c r="D26" s="37">
        <v>1</v>
      </c>
      <c r="E26" s="37">
        <v>20</v>
      </c>
      <c r="F26" s="37">
        <v>10</v>
      </c>
    </row>
    <row r="27" spans="1:7" x14ac:dyDescent="0.25">
      <c r="A27" s="8" t="str">
        <f>TEXT($E$2+4, "dd/MM/yyyy")</f>
        <v>20/08/2026</v>
      </c>
      <c r="B27" s="52"/>
      <c r="C27" s="37">
        <v>15</v>
      </c>
      <c r="D27" s="37">
        <v>5</v>
      </c>
      <c r="E27" s="37">
        <v>40</v>
      </c>
      <c r="F27" s="37">
        <v>20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16/08/2026 đến ngày 20/08/2026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14/08/2026</v>
      </c>
      <c r="B37" s="13">
        <v>13</v>
      </c>
      <c r="C37" s="28">
        <v>111</v>
      </c>
      <c r="D37" s="28">
        <v>112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14/08/2026</v>
      </c>
      <c r="B38" s="15">
        <v>19</v>
      </c>
      <c r="C38" s="29"/>
      <c r="D38" s="29">
        <v>78</v>
      </c>
      <c r="E38" s="55"/>
      <c r="F38" s="16"/>
      <c r="G38" s="1"/>
      <c r="H38" s="1"/>
      <c r="I38" s="1"/>
    </row>
    <row r="39" spans="1:15" x14ac:dyDescent="0.25">
      <c r="A39" s="14" t="str">
        <f>TEXT($E$2-1, "dd/MM/yyyy")</f>
        <v>15/08/2026</v>
      </c>
      <c r="B39" s="15">
        <v>1</v>
      </c>
      <c r="C39" s="29">
        <v>88</v>
      </c>
      <c r="D39" s="29">
        <v>128</v>
      </c>
      <c r="E39" s="55"/>
      <c r="F39" s="16"/>
      <c r="G39" s="1"/>
      <c r="H39" s="1"/>
      <c r="I39" s="1"/>
    </row>
    <row r="40" spans="1:15" x14ac:dyDescent="0.25">
      <c r="A40" s="14" t="str">
        <f>TEXT($E$2-1, "dd/MM/yyyy")</f>
        <v>15/08/2026</v>
      </c>
      <c r="B40" s="17">
        <v>7</v>
      </c>
      <c r="C40" s="30">
        <v>92</v>
      </c>
      <c r="D40" s="30">
        <v>132</v>
      </c>
      <c r="E40" s="55"/>
      <c r="F40" s="16"/>
      <c r="G40" s="1"/>
      <c r="H40" s="1"/>
      <c r="I40" s="1"/>
    </row>
    <row r="41" spans="1:15" x14ac:dyDescent="0.25">
      <c r="A41" s="18" t="str">
        <f>TEXT($E$2-1, "dd/MM/yyyy")</f>
        <v>15/08/2026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15/08/2026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16/08/2026</v>
      </c>
      <c r="B43" s="15" t="s">
        <v>7</v>
      </c>
      <c r="C43" s="29">
        <v>48</v>
      </c>
      <c r="D43" s="32">
        <v>120</v>
      </c>
      <c r="E43" s="55"/>
      <c r="F43" s="1"/>
      <c r="H43" s="1"/>
      <c r="J43" s="1"/>
      <c r="K43" s="1"/>
      <c r="L43" s="1"/>
    </row>
    <row r="44" spans="1:15" x14ac:dyDescent="0.25">
      <c r="A44" s="14" t="str">
        <f>TEXT($E$2+1, "dd/MM/yyyy")</f>
        <v>17/08/2026</v>
      </c>
      <c r="B44" s="15" t="s">
        <v>7</v>
      </c>
      <c r="C44" s="29">
        <v>52</v>
      </c>
      <c r="D44" s="32">
        <v>135</v>
      </c>
      <c r="E44" s="55"/>
      <c r="F44" s="1"/>
      <c r="H44" s="1"/>
      <c r="J44" s="1"/>
      <c r="K44" s="1"/>
      <c r="L44" s="1"/>
    </row>
    <row r="45" spans="1:15" x14ac:dyDescent="0.25">
      <c r="A45" s="14" t="str">
        <f>TEXT($E$2+2, "dd/MM/yyyy")</f>
        <v>18/08/2026</v>
      </c>
      <c r="B45" s="15" t="s">
        <v>7</v>
      </c>
      <c r="C45" s="29">
        <v>57</v>
      </c>
      <c r="D45" s="32">
        <v>150</v>
      </c>
      <c r="E45" s="55"/>
      <c r="F45" s="1"/>
      <c r="H45" s="1"/>
      <c r="J45" s="1"/>
      <c r="K45" s="1"/>
      <c r="L45" s="1"/>
    </row>
    <row r="46" spans="1:15" x14ac:dyDescent="0.25">
      <c r="A46" s="14" t="str">
        <f>TEXT($E$2+3, "dd/MM/yyyy")</f>
        <v>19/08/2026</v>
      </c>
      <c r="B46" s="15" t="s">
        <v>7</v>
      </c>
      <c r="C46" s="29">
        <v>61</v>
      </c>
      <c r="D46" s="32">
        <v>170</v>
      </c>
      <c r="E46" s="55"/>
      <c r="F46" s="1"/>
      <c r="H46" s="1"/>
      <c r="J46" s="1"/>
      <c r="K46" s="1"/>
      <c r="L46" s="1"/>
    </row>
    <row r="47" spans="1:15" x14ac:dyDescent="0.25">
      <c r="A47" s="22" t="str">
        <f>TEXT($E$2+4, "dd/MM/yyyy")</f>
        <v>20/08/2026</v>
      </c>
      <c r="B47" s="19" t="s">
        <v>7</v>
      </c>
      <c r="C47" s="29">
        <v>65</v>
      </c>
      <c r="D47" s="32">
        <v>190</v>
      </c>
      <c r="E47" s="55"/>
      <c r="F47" s="1"/>
      <c r="H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220</v>
      </c>
      <c r="E48" s="55"/>
      <c r="F48" s="1"/>
      <c r="H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56.6</v>
      </c>
      <c r="D49" s="34">
        <f>+AVERAGE(D43:D47)</f>
        <v>153</v>
      </c>
      <c r="E49" s="55"/>
      <c r="F49" s="1"/>
      <c r="H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75</v>
      </c>
      <c r="E50" s="56"/>
      <c r="F50" s="1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15/08/2026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6" t="s">
        <v>42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NPC</cp:lastModifiedBy>
  <dcterms:created xsi:type="dcterms:W3CDTF">2019-02-25T03:06:54Z</dcterms:created>
  <dcterms:modified xsi:type="dcterms:W3CDTF">2026-08-15T02:42:48Z</dcterms:modified>
</cp:coreProperties>
</file>