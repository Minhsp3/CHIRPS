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991D8C43-8EC9-49E2-A1E7-4B6100B5A56A}" xr6:coauthVersionLast="45" xr6:coauthVersionMax="47" xr10:uidLastSave="{00000000-0000-0000-0000-000000000000}"/>
  <bookViews>
    <workbookView xWindow="-20610" yWindow="91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<sst xmlns="http://schemas.openxmlformats.org/spreadsheetml/2006/main" count="57" uniqueCount="42">
  <si>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</si>
  <si>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</si>
  <si>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</si>
  <si>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</si>
  <si>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</si>
  <si>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</si>
  <si>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</si>
  <si>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</si>
  <si>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</si>
  <si>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</si>
  <si>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</si>
  <si>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</si>
  <si>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</si>
  <si>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</si>
  <si>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</si>
  <si>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</si>
  <si>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</si>
  <si>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</si>
  <si>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</si>
  <si>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</si>
  <si>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</si>
  <si>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</si>
  <si>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</si>
  <si>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</si>
  <si>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</si>
  <si>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</si>
  <si>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</si>
  <si>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</si>
  <si>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</si>
  <si>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</si>
  <si>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</si>
  <si>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</si>
  <si>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</si>
  <si>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</si>
  <si>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</si>
  <si>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</si>
  <si>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</si>
  <si>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</si>
  <si>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</si>
  <si>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</si>
  <si>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Trịnh Thùy Nguyên</t>
  </si>
  <si>
    <t>Khu vực có mưa rào và dông vài nơi, riêng chiều và tối có mưa rào và rải rác có dông,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</si>
</sst>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35" workbookViewId="0">
      <selection activeCell="H37" sqref="H37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46253</v>
      </c>
      <c r="F2" s="3">
        <f>+E2+4</f>
        <v>46257</v>
      </c>
      <c r="G2" s="1"/>
    </row>
    <row r="3" spans="1:14" x14ac:dyDescent="0.25">
      <c r="A3" s="4" t="s">
        <v>36</v>
      </c>
      <c r="B3" s="43" t="s">
        <v>2</v>
      </c>
      <c r="C3" s="43"/>
      <c r="D3" s="43"/>
      <c r="E3" s="43"/>
      <c r="F3" s="43"/>
      <c r="G3" s="43"/>
    </row>
    <row r="4" spans="1:14" x14ac:dyDescent="0.25">
      <c r="A4" s="5" t="s">
        <v>3</v>
      </c>
      <c r="B4" s="43" t="s">
        <v>4</v>
      </c>
      <c r="C4" s="43"/>
      <c r="D4" s="43"/>
      <c r="E4" s="43"/>
      <c r="F4" s="43"/>
      <c r="G4" s="43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50-BTS/DBQG-DBTV</v>
      </c>
      <c r="B6" s="44" t="s">
        <v>32</v>
      </c>
      <c r="C6" s="44"/>
      <c r="D6" s="44"/>
      <c r="E6" s="44"/>
      <c r="F6" s="44"/>
      <c r="G6" s="44"/>
    </row>
    <row r="7" spans="1:14" ht="18.75" customHeight="1" x14ac:dyDescent="0.25">
      <c r="A7" s="1"/>
      <c r="B7" s="44"/>
      <c r="C7" s="44"/>
      <c r="D7" s="44"/>
      <c r="E7" s="44"/>
      <c r="F7" s="44"/>
      <c r="G7" s="44"/>
    </row>
    <row r="8" spans="1:14" x14ac:dyDescent="0.25">
      <c r="B8" s="45" t="str">
        <f>"(Từ ngày "&amp;TEXT($E$2,"dd/MM/yyyy") &amp; " đến ngày " &amp;TEXT($F$2,"dd/MM/yyyy")&amp;" )"</f>
        <v>(Từ ngày 19/08/2026 đến ngày 23/08/2026 )</v>
      </c>
      <c r="C8" s="45"/>
      <c r="D8" s="45"/>
      <c r="E8" s="45"/>
      <c r="F8" s="45"/>
      <c r="G8" s="45"/>
    </row>
    <row r="9" spans="1:14" x14ac:dyDescent="0.25">
      <c r="A9" s="46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19/08/2026 đến ngày 23/08/2026</v>
      </c>
      <c r="B9" s="46"/>
      <c r="C9" s="46"/>
      <c r="D9" s="46"/>
      <c r="E9" s="46"/>
      <c r="F9" s="46"/>
      <c r="G9" s="46"/>
    </row>
    <row r="10" spans="1:14" ht="22.5" customHeight="1" x14ac:dyDescent="0.25">
      <c r="A10" s="47" t="s">
        <v>41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42" t="s">
        <v>31</v>
      </c>
      <c r="D15" s="42"/>
      <c r="E15" s="42" t="s">
        <v>31</v>
      </c>
      <c r="F15" s="42"/>
    </row>
    <row r="16" spans="1:14" x14ac:dyDescent="0.25">
      <c r="A16" s="38"/>
      <c r="B16" s="40"/>
      <c r="C16" s="38" t="s">
        <v>33</v>
      </c>
      <c r="D16" s="38"/>
      <c r="E16" s="38" t="s">
        <v>34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14/08/2026</v>
      </c>
      <c r="B18" s="4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15/08/2026</v>
      </c>
      <c r="B19" s="49"/>
      <c r="C19" s="7"/>
      <c r="D19" s="7"/>
      <c r="E19" s="7"/>
      <c r="F19" s="7"/>
    </row>
    <row r="20" spans="1:7" hidden="1" x14ac:dyDescent="0.25">
      <c r="A20" s="8" t="str">
        <f>TEXT($E$2-3, "dd/MM/yyyy")</f>
        <v>16/08/2026</v>
      </c>
      <c r="B20" s="49"/>
      <c r="C20" s="7"/>
      <c r="D20" s="7"/>
      <c r="E20" s="7"/>
      <c r="F20" s="7"/>
    </row>
    <row r="21" spans="1:7" hidden="1" x14ac:dyDescent="0.25">
      <c r="A21" s="8" t="str">
        <f>TEXT($E$2-2, "dd/MM/yyyy")</f>
        <v>17/08/2026</v>
      </c>
      <c r="B21" s="49"/>
      <c r="C21" s="7"/>
      <c r="D21" s="7"/>
      <c r="E21" s="7"/>
      <c r="F21" s="7"/>
    </row>
    <row r="22" spans="1:7" hidden="1" x14ac:dyDescent="0.25">
      <c r="A22" s="8" t="str">
        <f>TEXT($E$2-1, "dd/MM/yyyy")</f>
        <v>18/08/2026</v>
      </c>
      <c r="B22" s="50"/>
      <c r="C22" s="9"/>
      <c r="D22" s="9"/>
      <c r="E22" s="9"/>
      <c r="F22" s="9"/>
    </row>
    <row r="23" spans="1:7" x14ac:dyDescent="0.25">
      <c r="A23" s="8" t="str">
        <f>TEXT($E$2, "dd/MM/yyyy")</f>
        <v>19/08/2026</v>
      </c>
      <c r="B23" s="51" t="s">
        <v>12</v>
      </c>
      <c r="C23" s="35">
        <v>20</v>
      </c>
      <c r="D23" s="35">
        <v>10</v>
      </c>
      <c r="E23" s="35">
        <v>30</v>
      </c>
      <c r="F23" s="35">
        <v>15</v>
      </c>
    </row>
    <row r="24" spans="1:7" x14ac:dyDescent="0.25">
      <c r="A24" s="8" t="str">
        <f>TEXT($E$2+1, "dd/MM/yyyy")</f>
        <v>20/08/2026</v>
      </c>
      <c r="B24" s="52"/>
      <c r="C24" s="35">
        <v>15</v>
      </c>
      <c r="D24" s="35">
        <v>5</v>
      </c>
      <c r="E24" s="35">
        <v>20</v>
      </c>
      <c r="F24" s="35">
        <v>10</v>
      </c>
    </row>
    <row r="25" spans="1:7" x14ac:dyDescent="0.25">
      <c r="A25" s="8" t="str">
        <f>TEXT($E$2+2, "dd/MM/yyyy")</f>
        <v>21/08/2026</v>
      </c>
      <c r="B25" s="52"/>
      <c r="C25" s="35">
        <v>10</v>
      </c>
      <c r="D25" s="35">
        <v>5</v>
      </c>
      <c r="E25" s="35">
        <v>10</v>
      </c>
      <c r="F25" s="35">
        <v>5</v>
      </c>
    </row>
    <row r="26" spans="1:7" x14ac:dyDescent="0.25">
      <c r="A26" s="8" t="str">
        <f>TEXT($E$2+3, "dd/MM/yyyy")</f>
        <v>22/08/2026</v>
      </c>
      <c r="B26" s="52"/>
      <c r="C26" s="35">
        <v>15</v>
      </c>
      <c r="D26" s="35">
        <v>5</v>
      </c>
      <c r="E26" s="35">
        <v>15</v>
      </c>
      <c r="F26" s="35">
        <v>5</v>
      </c>
    </row>
    <row r="27" spans="1:7" x14ac:dyDescent="0.25">
      <c r="A27" s="8" t="str">
        <f>TEXT($E$2+4, "dd/MM/yyyy")</f>
        <v>23/08/2026</v>
      </c>
      <c r="B27" s="53"/>
      <c r="C27" s="35">
        <v>15</v>
      </c>
      <c r="D27" s="35">
        <v>5</v>
      </c>
      <c r="E27" s="35">
        <v>20</v>
      </c>
      <c r="F27" s="35">
        <v>10</v>
      </c>
    </row>
    <row r="28" spans="1:7" x14ac:dyDescent="0.25">
      <c r="B28" s="6"/>
      <c r="C28"/>
      <c r="D28"/>
      <c r="E28"/>
      <c r="F28"/>
    </row>
    <row r="29" spans="1:7" x14ac:dyDescent="0.25">
      <c r="A29" s="46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19/08/2026 đến ngày 23/08/2026</v>
      </c>
      <c r="B29" s="46"/>
      <c r="C29" s="46"/>
      <c r="D29" s="46"/>
      <c r="E29" s="46"/>
      <c r="F29" s="46"/>
      <c r="G29" s="46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4" t="s">
        <v>7</v>
      </c>
      <c r="B35" s="54" t="s">
        <v>14</v>
      </c>
      <c r="C35" s="26" t="s">
        <v>15</v>
      </c>
      <c r="D35" s="54" t="s">
        <v>16</v>
      </c>
    </row>
    <row r="36" spans="1:15" ht="31.5" customHeight="1" x14ac:dyDescent="0.25">
      <c r="A36" s="54"/>
      <c r="B36" s="54"/>
      <c r="C36" s="11" t="s">
        <v>17</v>
      </c>
      <c r="D36" s="54"/>
    </row>
    <row r="37" spans="1:15" ht="15.75" customHeight="1" x14ac:dyDescent="0.25">
      <c r="A37" s="12" t="str">
        <f>TEXT($E$2-2, "dd/MM/yyyy")</f>
        <v>17/08/2026</v>
      </c>
      <c r="B37" s="13">
        <v>13</v>
      </c>
      <c r="C37" s="27">
        <v>33</v>
      </c>
      <c r="D37" s="55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17/08/2026</v>
      </c>
      <c r="B38" s="15">
        <v>19</v>
      </c>
      <c r="C38" s="28">
        <v>97</v>
      </c>
      <c r="D38" s="56"/>
      <c r="E38" s="16"/>
      <c r="F38" s="16"/>
      <c r="G38" s="1"/>
      <c r="H38" s="1"/>
    </row>
    <row r="39" spans="1:15" x14ac:dyDescent="0.25">
      <c r="A39" s="14" t="str">
        <f>TEXT($E$2-1, "dd/MM/yyyy")</f>
        <v>18/08/2026</v>
      </c>
      <c r="B39" s="15">
        <v>1</v>
      </c>
      <c r="C39" s="28">
        <v>58</v>
      </c>
      <c r="D39" s="56"/>
      <c r="E39" s="16"/>
      <c r="F39" s="16"/>
      <c r="G39" s="1"/>
      <c r="H39" s="1"/>
    </row>
    <row r="40" spans="1:15" x14ac:dyDescent="0.25">
      <c r="A40" s="14" t="str">
        <f>TEXT($E$2-1, "dd/MM/yyyy")</f>
        <v>18/08/2026</v>
      </c>
      <c r="B40" s="17">
        <v>7</v>
      </c>
      <c r="C40" s="29">
        <v>96</v>
      </c>
      <c r="D40" s="56"/>
      <c r="E40" s="16"/>
      <c r="F40" s="16"/>
      <c r="G40" s="1"/>
      <c r="H40" s="1"/>
    </row>
    <row r="41" spans="1:15" x14ac:dyDescent="0.25">
      <c r="A41" s="18" t="str">
        <f>TEXT($E$2-1, "dd/MM/yyyy")</f>
        <v>18/08/2026</v>
      </c>
      <c r="B41" s="19">
        <v>13</v>
      </c>
      <c r="C41" s="30"/>
      <c r="D41" s="57"/>
      <c r="E41" s="16"/>
      <c r="F41" s="16"/>
      <c r="G41" s="1"/>
    </row>
    <row r="42" spans="1:15" ht="15.75" customHeight="1" x14ac:dyDescent="0.25">
      <c r="A42" s="20" t="str">
        <f>TEXT($E$2-1, "dd/MM/yyyy")</f>
        <v>18/08/2026</v>
      </c>
      <c r="B42" s="13">
        <v>19</v>
      </c>
      <c r="C42" s="27"/>
      <c r="D42" s="55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19/08/2026</v>
      </c>
      <c r="B43" s="15" t="s">
        <v>7</v>
      </c>
      <c r="C43" s="31">
        <v>70</v>
      </c>
      <c r="D43" s="56"/>
      <c r="E43" s="1"/>
      <c r="F43" s="36"/>
    </row>
    <row r="44" spans="1:15" x14ac:dyDescent="0.25">
      <c r="A44" s="14" t="str">
        <f>TEXT($E$2+1, "dd/MM/yyyy")</f>
        <v>20/08/2026</v>
      </c>
      <c r="B44" s="15" t="s">
        <v>7</v>
      </c>
      <c r="C44" s="31">
        <v>75</v>
      </c>
      <c r="D44" s="56"/>
      <c r="E44" s="1"/>
      <c r="F44" s="36"/>
    </row>
    <row r="45" spans="1:15" x14ac:dyDescent="0.25">
      <c r="A45" s="14" t="str">
        <f>TEXT($E$2+2, "dd/MM/yyyy")</f>
        <v>21/08/2026</v>
      </c>
      <c r="B45" s="15" t="s">
        <v>7</v>
      </c>
      <c r="C45" s="31">
        <v>72</v>
      </c>
      <c r="D45" s="56"/>
      <c r="E45" s="1"/>
      <c r="F45" s="36"/>
    </row>
    <row r="46" spans="1:15" x14ac:dyDescent="0.25">
      <c r="A46" s="14" t="str">
        <f>TEXT($E$2+3, "dd/MM/yyyy")</f>
        <v>22/08/2026</v>
      </c>
      <c r="B46" s="15" t="s">
        <v>7</v>
      </c>
      <c r="C46" s="31">
        <v>67</v>
      </c>
      <c r="D46" s="56"/>
      <c r="E46" s="1"/>
      <c r="F46" s="36"/>
    </row>
    <row r="47" spans="1:15" x14ac:dyDescent="0.25">
      <c r="A47" s="22" t="str">
        <f>TEXT($E$2+4, "dd/MM/yyyy")</f>
        <v>23/08/2026</v>
      </c>
      <c r="B47" s="19" t="s">
        <v>7</v>
      </c>
      <c r="C47" s="31">
        <v>65</v>
      </c>
      <c r="D47" s="56"/>
      <c r="E47" s="1"/>
      <c r="F47" s="36"/>
    </row>
    <row r="48" spans="1:15" ht="15.75" customHeight="1" x14ac:dyDescent="0.25">
      <c r="A48" s="58" t="s">
        <v>19</v>
      </c>
      <c r="B48" s="11" t="s">
        <v>20</v>
      </c>
      <c r="C48" s="32">
        <v>130</v>
      </c>
      <c r="D48" s="56"/>
      <c r="E48" s="1"/>
      <c r="F48" s="36"/>
    </row>
    <row r="49" spans="1:10" x14ac:dyDescent="0.25">
      <c r="A49" s="59"/>
      <c r="B49" s="11" t="s">
        <v>21</v>
      </c>
      <c r="C49" s="33">
        <f>+AVERAGE(C43:C47)</f>
        <v>69.8</v>
      </c>
      <c r="D49" s="56"/>
      <c r="E49" s="1"/>
      <c r="F49" s="36"/>
    </row>
    <row r="50" spans="1:10" x14ac:dyDescent="0.25">
      <c r="A50" s="60"/>
      <c r="B50" s="11" t="s">
        <v>22</v>
      </c>
      <c r="C50" s="32">
        <v>22</v>
      </c>
      <c r="D50" s="57"/>
      <c r="E50" s="1"/>
      <c r="F50" s="36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61" t="str">
        <f>"Hà Nội, ngày "&amp;TEXT($E$2-1,"dd/MM/yyyy")</f>
        <v>Hà Nội, ngày 18/08/2026</v>
      </c>
      <c r="F54" s="61"/>
      <c r="G54" s="61"/>
      <c r="H54" s="25"/>
      <c r="I54" s="25"/>
      <c r="J54" s="25"/>
    </row>
    <row r="55" spans="1:10" x14ac:dyDescent="0.25">
      <c r="A55" s="23" t="s">
        <v>25</v>
      </c>
      <c r="B55" s="37" t="s">
        <v>40</v>
      </c>
      <c r="C55" s="23"/>
      <c r="D55" s="23"/>
      <c r="E55" s="43" t="s">
        <v>26</v>
      </c>
      <c r="F55" s="43"/>
      <c r="G55" s="43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3" t="s">
        <v>35</v>
      </c>
      <c r="F60" s="43"/>
      <c r="G60" s="43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2026-08-18T05:05:44Z</dcterms:modified>
</cp:coreProperties>
</file>