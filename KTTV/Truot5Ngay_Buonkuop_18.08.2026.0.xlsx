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F46313EB-E889-4858-B317-577C9D3D74C2}" xr6:coauthVersionLast="45" xr6:coauthVersionMax="47" xr10:uidLastSave="{00000000-0000-0000-0000-000000000000}"/>
  <bookViews>
    <workbookView xWindow="-20610" yWindow="915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  <c r="D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<sst xmlns="http://schemas.openxmlformats.org/spreadsheetml/2006/main" count="59" uniqueCount="43">
  <si>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</si>
  <si>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</si>
  <si>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</si>
  <si>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</si>
  <si>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</si>
  <si>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</si>
  <si>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</si>
  <si>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</si>
  <si>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</si>
  <si>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</si>
  <si>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</si>
  <si>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</si>
  <si>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</si>
  <si>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</si>
  <si>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</si>
  <si>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</si>
  <si>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</si>
  <si>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</si>
  <si>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</si>
  <si>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</si>
  <si>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</si>
  <si>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</si>
  <si>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</si>
  <si>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</si>
  <si>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</si>
  <si>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</si>
  <si>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</si>
  <si>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</si>
  <si>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</si>
  <si>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</si>
  <si>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</si>
  <si>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</si>
  <si>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</si>
  <si>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</si>
  <si>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</si>
  <si>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</si>
  <si>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</si>
  <si>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</si>
  <si>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</si>
  <si>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</si>
  <si>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Trong những ngày tới, dòng chảy đến hồ ít biến đổi</t>
  </si>
  <si>
    <t>Trịnh Thùy Nguyên</t>
  </si>
  <si>
    <t>Khu vực có mưa rào và dông vài nơi, riêng chiều và tối có mưa rào và rải rác có dông, cục bộ có nơi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</si>
</sst>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29" workbookViewId="0">
      <selection activeCell="I37" sqref="H36:I37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46253</v>
      </c>
      <c r="F2" s="3">
        <f>+E2+4</f>
        <v>46257</v>
      </c>
      <c r="G2" s="1"/>
    </row>
    <row r="3" spans="1:14" x14ac:dyDescent="0.25">
      <c r="A3" s="4" t="s">
        <v>38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50-BK/DBQG-DBTV</v>
      </c>
      <c r="B6" s="43" t="s">
        <v>34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19/08/2026 đến ngày 23/08/2026 )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19/08/2026 đến ngày 23/08/2026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46" t="s">
        <v>42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38" t="s">
        <v>7</v>
      </c>
      <c r="B15" s="39" t="s">
        <v>8</v>
      </c>
      <c r="C15" s="38" t="s">
        <v>30</v>
      </c>
      <c r="D15" s="38"/>
      <c r="E15" s="38" t="s">
        <v>30</v>
      </c>
      <c r="F15" s="38"/>
    </row>
    <row r="16" spans="1:14" x14ac:dyDescent="0.25">
      <c r="A16" s="38"/>
      <c r="B16" s="40"/>
      <c r="C16" s="38" t="s">
        <v>32</v>
      </c>
      <c r="D16" s="38"/>
      <c r="E16" s="38" t="s">
        <v>33</v>
      </c>
      <c r="F16" s="38"/>
    </row>
    <row r="17" spans="1:7" x14ac:dyDescent="0.25">
      <c r="A17" s="38"/>
      <c r="B17" s="41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14/08/2026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15/08/2026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16/08/2026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17/08/2026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18/08/2026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19/08/2026</v>
      </c>
      <c r="B23" s="50" t="s">
        <v>12</v>
      </c>
      <c r="C23" s="37">
        <v>20</v>
      </c>
      <c r="D23" s="37">
        <v>10</v>
      </c>
      <c r="E23" s="37">
        <v>30</v>
      </c>
      <c r="F23" s="37">
        <v>15</v>
      </c>
    </row>
    <row r="24" spans="1:7" x14ac:dyDescent="0.25">
      <c r="A24" s="8" t="str">
        <f>TEXT($E$2+1, "dd/MM/yyyy")</f>
        <v>20/08/2026</v>
      </c>
      <c r="B24" s="51"/>
      <c r="C24" s="37">
        <v>15</v>
      </c>
      <c r="D24" s="37">
        <v>5</v>
      </c>
      <c r="E24" s="37">
        <v>20</v>
      </c>
      <c r="F24" s="37">
        <v>10</v>
      </c>
    </row>
    <row r="25" spans="1:7" x14ac:dyDescent="0.25">
      <c r="A25" s="8" t="str">
        <f>TEXT($E$2+2, "dd/MM/yyyy")</f>
        <v>21/08/2026</v>
      </c>
      <c r="B25" s="51"/>
      <c r="C25" s="37">
        <v>10</v>
      </c>
      <c r="D25" s="37">
        <v>5</v>
      </c>
      <c r="E25" s="37">
        <v>10</v>
      </c>
      <c r="F25" s="37">
        <v>5</v>
      </c>
    </row>
    <row r="26" spans="1:7" x14ac:dyDescent="0.25">
      <c r="A26" s="8" t="str">
        <f>TEXT($E$2+3, "dd/MM/yyyy")</f>
        <v>22/08/2026</v>
      </c>
      <c r="B26" s="51"/>
      <c r="C26" s="37">
        <v>15</v>
      </c>
      <c r="D26" s="37">
        <v>5</v>
      </c>
      <c r="E26" s="37">
        <v>15</v>
      </c>
      <c r="F26" s="37">
        <v>5</v>
      </c>
    </row>
    <row r="27" spans="1:7" x14ac:dyDescent="0.25">
      <c r="A27" s="8" t="str">
        <f>TEXT($E$2+4, "dd/MM/yyyy")</f>
        <v>23/08/2026</v>
      </c>
      <c r="B27" s="52"/>
      <c r="C27" s="37">
        <v>15</v>
      </c>
      <c r="D27" s="37">
        <v>5</v>
      </c>
      <c r="E27" s="37">
        <v>20</v>
      </c>
      <c r="F27" s="37">
        <v>10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19/08/2026 đến ngày 23/08/2026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40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11" t="s">
        <v>31</v>
      </c>
      <c r="D35" s="11" t="s">
        <v>15</v>
      </c>
      <c r="E35" s="53" t="s">
        <v>16</v>
      </c>
    </row>
    <row r="36" spans="1:15" ht="31.5" customHeight="1" x14ac:dyDescent="0.25">
      <c r="A36" s="53"/>
      <c r="B36" s="53"/>
      <c r="C36" s="26" t="s">
        <v>36</v>
      </c>
      <c r="D36" s="27" t="s">
        <v>35</v>
      </c>
      <c r="E36" s="53"/>
    </row>
    <row r="37" spans="1:15" ht="15.75" customHeight="1" x14ac:dyDescent="0.25">
      <c r="A37" s="12" t="str">
        <f>TEXT($E$2-2, "dd/MM/yyyy")</f>
        <v>17/08/2026</v>
      </c>
      <c r="B37" s="13">
        <v>13</v>
      </c>
      <c r="C37" s="28">
        <v>106</v>
      </c>
      <c r="D37" s="28">
        <v>112</v>
      </c>
      <c r="E37" s="54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17/08/2026</v>
      </c>
      <c r="B38" s="15">
        <v>19</v>
      </c>
      <c r="C38" s="29">
        <v>10</v>
      </c>
      <c r="D38" s="29">
        <v>116</v>
      </c>
      <c r="E38" s="55"/>
      <c r="F38" s="16"/>
      <c r="G38" s="1"/>
      <c r="H38" s="1"/>
      <c r="I38" s="1"/>
    </row>
    <row r="39" spans="1:15" x14ac:dyDescent="0.25">
      <c r="A39" s="14" t="str">
        <f>TEXT($E$2-1, "dd/MM/yyyy")</f>
        <v>18/08/2026</v>
      </c>
      <c r="B39" s="15">
        <v>1</v>
      </c>
      <c r="C39" s="29">
        <v>47</v>
      </c>
      <c r="D39" s="29">
        <v>132</v>
      </c>
      <c r="E39" s="55"/>
      <c r="F39" s="16"/>
      <c r="G39" s="1"/>
      <c r="H39" s="1"/>
      <c r="I39" s="1"/>
    </row>
    <row r="40" spans="1:15" x14ac:dyDescent="0.25">
      <c r="A40" s="14" t="str">
        <f>TEXT($E$2-1, "dd/MM/yyyy")</f>
        <v>18/08/2026</v>
      </c>
      <c r="B40" s="17">
        <v>7</v>
      </c>
      <c r="C40" s="30">
        <v>91</v>
      </c>
      <c r="D40" s="30">
        <v>160</v>
      </c>
      <c r="E40" s="55"/>
      <c r="F40" s="16"/>
      <c r="G40" s="1"/>
      <c r="H40" s="1"/>
      <c r="I40" s="1"/>
    </row>
    <row r="41" spans="1:15" x14ac:dyDescent="0.25">
      <c r="A41" s="18" t="str">
        <f>TEXT($E$2-1, "dd/MM/yyyy")</f>
        <v>18/08/2026</v>
      </c>
      <c r="B41" s="19">
        <v>13</v>
      </c>
      <c r="C41" s="31"/>
      <c r="D41" s="31"/>
      <c r="E41" s="56"/>
      <c r="F41" s="16"/>
      <c r="G41" s="16"/>
      <c r="H41" s="1"/>
    </row>
    <row r="42" spans="1:15" ht="15.75" customHeight="1" x14ac:dyDescent="0.25">
      <c r="A42" s="20" t="str">
        <f>TEXT($E$2-1, "dd/MM/yyyy")</f>
        <v>18/08/2026</v>
      </c>
      <c r="B42" s="13">
        <v>19</v>
      </c>
      <c r="C42" s="28"/>
      <c r="D42" s="28"/>
      <c r="E42" s="54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19/08/2026</v>
      </c>
      <c r="B43" s="15" t="s">
        <v>7</v>
      </c>
      <c r="C43" s="29">
        <v>48</v>
      </c>
      <c r="D43" s="32">
        <v>140</v>
      </c>
      <c r="E43" s="55"/>
      <c r="F43" s="1"/>
      <c r="H43" s="1"/>
      <c r="J43" s="1"/>
      <c r="K43" s="1"/>
      <c r="L43" s="1"/>
    </row>
    <row r="44" spans="1:15" x14ac:dyDescent="0.25">
      <c r="A44" s="14" t="str">
        <f>TEXT($E$2+1, "dd/MM/yyyy")</f>
        <v>20/08/2026</v>
      </c>
      <c r="B44" s="15" t="s">
        <v>7</v>
      </c>
      <c r="C44" s="29">
        <v>32</v>
      </c>
      <c r="D44" s="32">
        <v>130</v>
      </c>
      <c r="E44" s="55"/>
      <c r="F44" s="1"/>
      <c r="H44" s="1"/>
      <c r="J44" s="1"/>
      <c r="K44" s="1"/>
      <c r="L44" s="1"/>
    </row>
    <row r="45" spans="1:15" x14ac:dyDescent="0.25">
      <c r="A45" s="14" t="str">
        <f>TEXT($E$2+2, "dd/MM/yyyy")</f>
        <v>21/08/2026</v>
      </c>
      <c r="B45" s="15" t="s">
        <v>7</v>
      </c>
      <c r="C45" s="29">
        <v>50</v>
      </c>
      <c r="D45" s="32">
        <v>125</v>
      </c>
      <c r="E45" s="55"/>
      <c r="F45" s="1"/>
      <c r="H45" s="1"/>
      <c r="J45" s="1"/>
      <c r="K45" s="1"/>
      <c r="L45" s="1"/>
    </row>
    <row r="46" spans="1:15" x14ac:dyDescent="0.25">
      <c r="A46" s="14" t="str">
        <f>TEXT($E$2+3, "dd/MM/yyyy")</f>
        <v>22/08/2026</v>
      </c>
      <c r="B46" s="15" t="s">
        <v>7</v>
      </c>
      <c r="C46" s="29">
        <v>55</v>
      </c>
      <c r="D46" s="32">
        <v>140</v>
      </c>
      <c r="E46" s="55"/>
      <c r="F46" s="1"/>
      <c r="H46" s="1"/>
      <c r="J46" s="1"/>
      <c r="K46" s="1"/>
      <c r="L46" s="1"/>
    </row>
    <row r="47" spans="1:15" x14ac:dyDescent="0.25">
      <c r="A47" s="22" t="str">
        <f>TEXT($E$2+4, "dd/MM/yyyy")</f>
        <v>23/08/2026</v>
      </c>
      <c r="B47" s="19" t="s">
        <v>7</v>
      </c>
      <c r="C47" s="29">
        <v>52</v>
      </c>
      <c r="D47" s="32">
        <v>145</v>
      </c>
      <c r="E47" s="55"/>
      <c r="F47" s="1"/>
      <c r="H47" s="1"/>
      <c r="J47" s="1"/>
      <c r="K47" s="1"/>
      <c r="L47" s="1"/>
    </row>
    <row r="48" spans="1:15" ht="15.75" customHeight="1" x14ac:dyDescent="0.25">
      <c r="A48" s="57" t="s">
        <v>18</v>
      </c>
      <c r="B48" s="11" t="s">
        <v>19</v>
      </c>
      <c r="C48" s="33"/>
      <c r="D48" s="33">
        <v>190</v>
      </c>
      <c r="E48" s="55"/>
      <c r="F48" s="1"/>
      <c r="H48" s="1"/>
      <c r="J48" s="1"/>
      <c r="K48" s="1"/>
      <c r="L48" s="1"/>
    </row>
    <row r="49" spans="1:12" x14ac:dyDescent="0.25">
      <c r="A49" s="58"/>
      <c r="B49" s="11" t="s">
        <v>20</v>
      </c>
      <c r="C49" s="34">
        <f>+AVERAGE(C43:C47)</f>
        <v>47.4</v>
      </c>
      <c r="D49" s="34">
        <f>+AVERAGE(D43:D47)</f>
        <v>136</v>
      </c>
      <c r="E49" s="55"/>
      <c r="F49" s="1"/>
      <c r="H49" s="1"/>
      <c r="J49" s="1"/>
      <c r="K49" s="1"/>
      <c r="L49" s="1"/>
    </row>
    <row r="50" spans="1:12" x14ac:dyDescent="0.25">
      <c r="A50" s="59"/>
      <c r="B50" s="11" t="s">
        <v>21</v>
      </c>
      <c r="C50" s="33"/>
      <c r="D50" s="33">
        <v>62</v>
      </c>
      <c r="E50" s="56"/>
      <c r="F50" s="1"/>
      <c r="H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60" t="str">
        <f>"Hà Nội, ngày "&amp;TEXT($E$2-1,"dd/MM/yyyy")</f>
        <v>Hà Nội, ngày 18/08/2026</v>
      </c>
      <c r="F54" s="60"/>
      <c r="G54" s="60"/>
      <c r="H54" s="25"/>
      <c r="I54" s="25"/>
      <c r="J54" s="25"/>
    </row>
    <row r="55" spans="1:12" x14ac:dyDescent="0.25">
      <c r="A55" s="23" t="s">
        <v>24</v>
      </c>
      <c r="B55" s="36" t="s">
        <v>41</v>
      </c>
      <c r="C55" s="23"/>
      <c r="D55" s="23"/>
      <c r="E55" s="42" t="s">
        <v>25</v>
      </c>
      <c r="F55" s="42"/>
      <c r="G55" s="42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42" t="s">
        <v>37</v>
      </c>
      <c r="F60" s="42"/>
      <c r="G60" s="42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2026-08-18T05:16:14Z</dcterms:modified>
</cp:coreProperties>
</file>