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Du lieu truy van chuoi dong dang\"/>
    </mc:Choice>
  </mc:AlternateContent>
  <xr:revisionPtr revIDLastSave="0" documentId="13_ncr:1_{B0A2A15D-8446-43A9-87DF-9122B97B2359}" xr6:coauthVersionLast="47" xr6:coauthVersionMax="47" xr10:uidLastSave="{00000000-0000-0000-0000-000000000000}"/>
  <bookViews>
    <workbookView xWindow="-120" yWindow="-120" windowWidth="20730" windowHeight="11280" xr2:uid="{659022F3-9776-4CE8-9441-3FE9697E9AF5}"/>
  </bookViews>
  <sheets>
    <sheet name="SP3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2" l="1"/>
  <c r="O3" i="2" s="1"/>
  <c r="D3" i="2"/>
  <c r="E3" i="2"/>
  <c r="F3" i="2"/>
  <c r="G3" i="2"/>
  <c r="H3" i="2"/>
  <c r="I3" i="2"/>
  <c r="J3" i="2"/>
  <c r="K3" i="2"/>
  <c r="L3" i="2"/>
  <c r="M3" i="2"/>
  <c r="N3" i="2"/>
  <c r="C4" i="2"/>
  <c r="D4" i="2"/>
  <c r="E4" i="2"/>
  <c r="O4" i="2" s="1"/>
  <c r="F4" i="2"/>
  <c r="G4" i="2"/>
  <c r="H4" i="2"/>
  <c r="I4" i="2"/>
  <c r="J4" i="2"/>
  <c r="K4" i="2"/>
  <c r="L4" i="2"/>
  <c r="M4" i="2"/>
  <c r="N4" i="2"/>
  <c r="C5" i="2"/>
  <c r="D5" i="2"/>
  <c r="O5" i="2" s="1"/>
  <c r="E5" i="2"/>
  <c r="F5" i="2"/>
  <c r="G5" i="2"/>
  <c r="H5" i="2"/>
  <c r="I5" i="2"/>
  <c r="J5" i="2"/>
  <c r="K5" i="2"/>
  <c r="L5" i="2"/>
  <c r="M5" i="2"/>
  <c r="N5" i="2"/>
  <c r="C6" i="2"/>
  <c r="O6" i="2" s="1"/>
  <c r="D6" i="2"/>
  <c r="E6" i="2"/>
  <c r="F6" i="2"/>
  <c r="G6" i="2"/>
  <c r="H6" i="2"/>
  <c r="I6" i="2"/>
  <c r="J6" i="2"/>
  <c r="K6" i="2"/>
  <c r="L6" i="2"/>
  <c r="M6" i="2"/>
  <c r="N6" i="2"/>
  <c r="C7" i="2"/>
  <c r="D7" i="2"/>
  <c r="E7" i="2"/>
  <c r="F7" i="2"/>
  <c r="O7" i="2" s="1"/>
  <c r="G7" i="2"/>
  <c r="H7" i="2"/>
  <c r="I7" i="2"/>
  <c r="J7" i="2"/>
  <c r="K7" i="2"/>
  <c r="L7" i="2"/>
  <c r="M7" i="2"/>
  <c r="N7" i="2"/>
  <c r="C8" i="2"/>
  <c r="D8" i="2"/>
  <c r="E8" i="2"/>
  <c r="O8" i="2" s="1"/>
  <c r="F8" i="2"/>
  <c r="G8" i="2"/>
  <c r="H8" i="2"/>
  <c r="I8" i="2"/>
  <c r="J8" i="2"/>
  <c r="K8" i="2"/>
  <c r="L8" i="2"/>
  <c r="M8" i="2"/>
  <c r="N8" i="2"/>
  <c r="C9" i="2"/>
  <c r="O9" i="2" s="1"/>
  <c r="D9" i="2"/>
  <c r="E9" i="2"/>
  <c r="F9" i="2"/>
  <c r="G9" i="2"/>
  <c r="H9" i="2"/>
  <c r="I9" i="2"/>
  <c r="J9" i="2"/>
  <c r="K9" i="2"/>
  <c r="L9" i="2"/>
  <c r="M9" i="2"/>
  <c r="N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C11" i="2"/>
  <c r="O11" i="2" s="1"/>
  <c r="D11" i="2"/>
  <c r="E11" i="2"/>
  <c r="F11" i="2"/>
  <c r="G11" i="2"/>
  <c r="H11" i="2"/>
  <c r="I11" i="2"/>
  <c r="J11" i="2"/>
  <c r="K11" i="2"/>
  <c r="L11" i="2"/>
  <c r="M11" i="2"/>
  <c r="N11" i="2"/>
  <c r="C12" i="2"/>
  <c r="O12" i="2" s="1"/>
  <c r="D12" i="2"/>
  <c r="E12" i="2"/>
  <c r="F12" i="2"/>
  <c r="G12" i="2"/>
  <c r="H12" i="2"/>
  <c r="I12" i="2"/>
  <c r="J12" i="2"/>
  <c r="K12" i="2"/>
  <c r="L12" i="2"/>
  <c r="M12" i="2"/>
  <c r="N12" i="2"/>
  <c r="C13" i="2"/>
  <c r="D13" i="2"/>
  <c r="O13" i="2" s="1"/>
  <c r="E13" i="2"/>
  <c r="F13" i="2"/>
  <c r="G13" i="2"/>
  <c r="H13" i="2"/>
  <c r="I13" i="2"/>
  <c r="J13" i="2"/>
  <c r="K13" i="2"/>
  <c r="L13" i="2"/>
  <c r="M13" i="2"/>
  <c r="N13" i="2"/>
  <c r="C14" i="2"/>
  <c r="O14" i="2" s="1"/>
  <c r="D14" i="2"/>
  <c r="E14" i="2"/>
  <c r="F14" i="2"/>
  <c r="G14" i="2"/>
  <c r="H14" i="2"/>
  <c r="I14" i="2"/>
  <c r="J14" i="2"/>
  <c r="K14" i="2"/>
  <c r="L14" i="2"/>
  <c r="M14" i="2"/>
  <c r="N14" i="2"/>
  <c r="C15" i="2"/>
  <c r="D15" i="2"/>
  <c r="E15" i="2"/>
  <c r="F15" i="2"/>
  <c r="O15" i="2" s="1"/>
  <c r="G15" i="2"/>
  <c r="H15" i="2"/>
  <c r="I15" i="2"/>
  <c r="J15" i="2"/>
  <c r="K15" i="2"/>
  <c r="L15" i="2"/>
  <c r="M15" i="2"/>
  <c r="N15" i="2"/>
  <c r="C16" i="2"/>
  <c r="O16" i="2" s="1"/>
  <c r="D16" i="2"/>
  <c r="E16" i="2"/>
  <c r="F16" i="2"/>
  <c r="G16" i="2"/>
  <c r="H16" i="2"/>
  <c r="I16" i="2"/>
  <c r="J16" i="2"/>
  <c r="K16" i="2"/>
  <c r="L16" i="2"/>
  <c r="M16" i="2"/>
  <c r="N16" i="2"/>
  <c r="C17" i="2"/>
  <c r="O17" i="2" s="1"/>
  <c r="D17" i="2"/>
  <c r="E17" i="2"/>
  <c r="F17" i="2"/>
  <c r="G17" i="2"/>
  <c r="H17" i="2"/>
  <c r="I17" i="2"/>
  <c r="J17" i="2"/>
  <c r="K17" i="2"/>
  <c r="L17" i="2"/>
  <c r="M17" i="2"/>
  <c r="N17" i="2"/>
  <c r="C18" i="2"/>
  <c r="O18" i="2" s="1"/>
  <c r="D18" i="2"/>
  <c r="E18" i="2"/>
  <c r="F18" i="2"/>
  <c r="G18" i="2"/>
  <c r="H18" i="2"/>
  <c r="I18" i="2"/>
  <c r="J18" i="2"/>
  <c r="K18" i="2"/>
  <c r="L18" i="2"/>
  <c r="M18" i="2"/>
  <c r="N18" i="2"/>
  <c r="C19" i="2"/>
  <c r="O19" i="2" s="1"/>
  <c r="D19" i="2"/>
  <c r="E19" i="2"/>
  <c r="F19" i="2"/>
  <c r="G19" i="2"/>
  <c r="H19" i="2"/>
  <c r="I19" i="2"/>
  <c r="J19" i="2"/>
  <c r="K19" i="2"/>
  <c r="L19" i="2"/>
  <c r="M19" i="2"/>
  <c r="N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C21" i="2"/>
  <c r="D21" i="2"/>
  <c r="E21" i="2"/>
  <c r="F21" i="2"/>
  <c r="G21" i="2"/>
  <c r="H21" i="2"/>
  <c r="I21" i="2"/>
  <c r="O21" i="2" s="1"/>
  <c r="J21" i="2"/>
  <c r="K21" i="2"/>
  <c r="L21" i="2"/>
  <c r="M21" i="2"/>
  <c r="N21" i="2"/>
  <c r="C22" i="2"/>
  <c r="O22" i="2" s="1"/>
  <c r="D22" i="2"/>
  <c r="E22" i="2"/>
  <c r="F22" i="2"/>
  <c r="G22" i="2"/>
  <c r="H22" i="2"/>
  <c r="I22" i="2"/>
  <c r="J22" i="2"/>
  <c r="K22" i="2"/>
  <c r="L22" i="2"/>
  <c r="M22" i="2"/>
  <c r="N22" i="2"/>
  <c r="C23" i="2"/>
  <c r="D23" i="2"/>
  <c r="E23" i="2"/>
  <c r="F23" i="2"/>
  <c r="O23" i="2" s="1"/>
  <c r="G23" i="2"/>
  <c r="H23" i="2"/>
  <c r="I23" i="2"/>
  <c r="J23" i="2"/>
  <c r="K23" i="2"/>
  <c r="L23" i="2"/>
  <c r="M23" i="2"/>
  <c r="N23" i="2"/>
  <c r="C24" i="2"/>
  <c r="D24" i="2"/>
  <c r="E24" i="2"/>
  <c r="O24" i="2" s="1"/>
  <c r="F24" i="2"/>
  <c r="G24" i="2"/>
  <c r="H24" i="2"/>
  <c r="I24" i="2"/>
  <c r="J24" i="2"/>
  <c r="K24" i="2"/>
  <c r="L24" i="2"/>
  <c r="M24" i="2"/>
  <c r="N24" i="2"/>
  <c r="C25" i="2"/>
  <c r="O25" i="2" s="1"/>
  <c r="D25" i="2"/>
  <c r="E25" i="2"/>
  <c r="F25" i="2"/>
  <c r="G25" i="2"/>
  <c r="H25" i="2"/>
  <c r="I25" i="2"/>
  <c r="J25" i="2"/>
  <c r="K25" i="2"/>
  <c r="L25" i="2"/>
  <c r="M25" i="2"/>
  <c r="N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C27" i="2"/>
  <c r="D27" i="2"/>
  <c r="O27" i="2" s="1"/>
  <c r="E27" i="2"/>
  <c r="F27" i="2"/>
  <c r="G27" i="2"/>
  <c r="H27" i="2"/>
  <c r="I27" i="2"/>
  <c r="J27" i="2"/>
  <c r="K27" i="2"/>
  <c r="L27" i="2"/>
  <c r="M27" i="2"/>
  <c r="N27" i="2"/>
  <c r="C28" i="2"/>
  <c r="D28" i="2"/>
  <c r="O28" i="2" s="1"/>
  <c r="E28" i="2"/>
  <c r="F28" i="2"/>
  <c r="G28" i="2"/>
  <c r="H28" i="2"/>
  <c r="I28" i="2"/>
  <c r="J28" i="2"/>
  <c r="K28" i="2"/>
  <c r="L28" i="2"/>
  <c r="M28" i="2"/>
  <c r="N28" i="2"/>
  <c r="C29" i="2"/>
  <c r="D29" i="2"/>
  <c r="O29" i="2" s="1"/>
  <c r="E29" i="2"/>
  <c r="F29" i="2"/>
  <c r="G29" i="2"/>
  <c r="H29" i="2"/>
  <c r="I29" i="2"/>
  <c r="J29" i="2"/>
  <c r="K29" i="2"/>
  <c r="L29" i="2"/>
  <c r="M29" i="2"/>
  <c r="N29" i="2"/>
  <c r="C30" i="2"/>
  <c r="O30" i="2" s="1"/>
  <c r="D30" i="2"/>
  <c r="E30" i="2"/>
  <c r="F30" i="2"/>
  <c r="G30" i="2"/>
  <c r="H30" i="2"/>
  <c r="I30" i="2"/>
  <c r="J30" i="2"/>
  <c r="K30" i="2"/>
  <c r="L30" i="2"/>
  <c r="M30" i="2"/>
  <c r="N30" i="2"/>
  <c r="C31" i="2"/>
  <c r="D31" i="2"/>
  <c r="E31" i="2"/>
  <c r="F31" i="2"/>
  <c r="O31" i="2" s="1"/>
  <c r="G31" i="2"/>
  <c r="H31" i="2"/>
  <c r="I31" i="2"/>
  <c r="J31" i="2"/>
  <c r="K31" i="2"/>
  <c r="L31" i="2"/>
  <c r="M31" i="2"/>
  <c r="N31" i="2"/>
  <c r="C32" i="2"/>
  <c r="O32" i="2" s="1"/>
  <c r="D32" i="2"/>
  <c r="E32" i="2"/>
  <c r="F32" i="2"/>
  <c r="G32" i="2"/>
  <c r="H32" i="2"/>
  <c r="I32" i="2"/>
  <c r="J32" i="2"/>
  <c r="K32" i="2"/>
  <c r="L32" i="2"/>
  <c r="M32" i="2"/>
  <c r="N32" i="2"/>
  <c r="C33" i="2"/>
  <c r="O33" i="2" s="1"/>
  <c r="D33" i="2"/>
  <c r="E33" i="2"/>
  <c r="F33" i="2"/>
  <c r="G33" i="2"/>
  <c r="H33" i="2"/>
  <c r="I33" i="2"/>
  <c r="J33" i="2"/>
  <c r="K33" i="2"/>
  <c r="L33" i="2"/>
  <c r="M33" i="2"/>
  <c r="N33" i="2"/>
  <c r="C34" i="2"/>
  <c r="O34" i="2" s="1"/>
  <c r="D34" i="2"/>
  <c r="E34" i="2"/>
  <c r="F34" i="2"/>
  <c r="G34" i="2"/>
  <c r="H34" i="2"/>
  <c r="I34" i="2"/>
  <c r="J34" i="2"/>
  <c r="K34" i="2"/>
  <c r="L34" i="2"/>
  <c r="M34" i="2"/>
  <c r="N34" i="2"/>
  <c r="C35" i="2"/>
  <c r="O35" i="2" s="1"/>
  <c r="D35" i="2"/>
  <c r="E35" i="2"/>
  <c r="F35" i="2"/>
  <c r="G35" i="2"/>
  <c r="H35" i="2"/>
  <c r="I35" i="2"/>
  <c r="J35" i="2"/>
  <c r="K35" i="2"/>
  <c r="L35" i="2"/>
  <c r="M35" i="2"/>
  <c r="N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C37" i="2"/>
  <c r="D37" i="2"/>
  <c r="E37" i="2"/>
  <c r="F37" i="2"/>
  <c r="G37" i="2"/>
  <c r="H37" i="2"/>
  <c r="I37" i="2"/>
  <c r="J37" i="2"/>
  <c r="K37" i="2"/>
  <c r="L37" i="2"/>
  <c r="M37" i="2"/>
  <c r="N37" i="2"/>
  <c r="C38" i="2"/>
  <c r="D38" i="2"/>
  <c r="E38" i="2"/>
  <c r="F38" i="2"/>
  <c r="G38" i="2"/>
  <c r="H38" i="2"/>
  <c r="I38" i="2"/>
  <c r="J38" i="2"/>
  <c r="K38" i="2"/>
  <c r="L38" i="2"/>
  <c r="M38" i="2"/>
  <c r="N38" i="2"/>
  <c r="C39" i="2"/>
  <c r="D39" i="2"/>
  <c r="E39" i="2"/>
  <c r="F39" i="2"/>
  <c r="G39" i="2"/>
  <c r="H39" i="2"/>
  <c r="I39" i="2"/>
  <c r="J39" i="2"/>
  <c r="K39" i="2"/>
  <c r="L39" i="2"/>
  <c r="M39" i="2"/>
  <c r="N39" i="2"/>
  <c r="C40" i="2"/>
  <c r="D40" i="2"/>
  <c r="E40" i="2"/>
  <c r="F40" i="2"/>
  <c r="G40" i="2"/>
  <c r="H40" i="2"/>
  <c r="I40" i="2"/>
  <c r="J40" i="2"/>
  <c r="K40" i="2"/>
  <c r="L40" i="2"/>
  <c r="M40" i="2"/>
  <c r="N40" i="2"/>
  <c r="C41" i="2"/>
  <c r="D41" i="2"/>
  <c r="E41" i="2"/>
  <c r="F41" i="2"/>
  <c r="G41" i="2"/>
  <c r="H41" i="2"/>
  <c r="I41" i="2"/>
  <c r="J41" i="2"/>
  <c r="K41" i="2"/>
  <c r="L41" i="2"/>
  <c r="M41" i="2"/>
  <c r="N41" i="2"/>
  <c r="C42" i="2"/>
  <c r="D42" i="2"/>
  <c r="E42" i="2"/>
  <c r="F42" i="2"/>
  <c r="G42" i="2"/>
  <c r="H42" i="2"/>
  <c r="I42" i="2"/>
  <c r="J42" i="2"/>
  <c r="K42" i="2"/>
  <c r="L42" i="2"/>
  <c r="M42" i="2"/>
  <c r="N42" i="2"/>
  <c r="C43" i="2"/>
  <c r="D43" i="2"/>
  <c r="E43" i="2"/>
  <c r="F43" i="2"/>
  <c r="G43" i="2"/>
  <c r="H43" i="2"/>
  <c r="I43" i="2"/>
  <c r="J43" i="2"/>
  <c r="K43" i="2"/>
  <c r="L43" i="2"/>
  <c r="M43" i="2"/>
  <c r="N43" i="2"/>
  <c r="C44" i="2"/>
  <c r="D44" i="2"/>
  <c r="E44" i="2"/>
  <c r="F44" i="2"/>
  <c r="G44" i="2"/>
  <c r="H44" i="2"/>
  <c r="I44" i="2"/>
  <c r="J44" i="2"/>
  <c r="K44" i="2"/>
  <c r="L44" i="2"/>
  <c r="M44" i="2"/>
  <c r="N44" i="2"/>
  <c r="C45" i="2"/>
  <c r="D45" i="2"/>
  <c r="E45" i="2"/>
  <c r="F45" i="2"/>
  <c r="G45" i="2"/>
  <c r="H45" i="2"/>
  <c r="I45" i="2"/>
  <c r="J45" i="2"/>
  <c r="K45" i="2"/>
  <c r="L45" i="2"/>
  <c r="M45" i="2"/>
  <c r="N45" i="2"/>
  <c r="C46" i="2"/>
  <c r="D46" i="2"/>
  <c r="E46" i="2"/>
  <c r="F46" i="2"/>
  <c r="G46" i="2"/>
  <c r="H46" i="2"/>
  <c r="I46" i="2"/>
  <c r="J46" i="2"/>
  <c r="K46" i="2"/>
  <c r="L46" i="2"/>
  <c r="M46" i="2"/>
  <c r="N46" i="2"/>
  <c r="C47" i="2"/>
  <c r="D47" i="2"/>
  <c r="E47" i="2"/>
  <c r="F47" i="2"/>
  <c r="G47" i="2"/>
  <c r="H47" i="2"/>
  <c r="I47" i="2"/>
  <c r="J47" i="2"/>
  <c r="K47" i="2"/>
  <c r="L47" i="2"/>
  <c r="M47" i="2"/>
  <c r="N47" i="2"/>
  <c r="C48" i="2"/>
  <c r="D48" i="2"/>
  <c r="E48" i="2"/>
  <c r="F48" i="2"/>
  <c r="G48" i="2"/>
  <c r="H48" i="2"/>
  <c r="I48" i="2"/>
  <c r="J48" i="2"/>
  <c r="K48" i="2"/>
  <c r="L48" i="2"/>
  <c r="M48" i="2"/>
  <c r="N48" i="2"/>
  <c r="C49" i="2"/>
  <c r="D49" i="2"/>
  <c r="E49" i="2"/>
  <c r="F49" i="2"/>
  <c r="G49" i="2"/>
  <c r="H49" i="2"/>
  <c r="I49" i="2"/>
  <c r="J49" i="2"/>
  <c r="K49" i="2"/>
  <c r="L49" i="2"/>
  <c r="M49" i="2"/>
  <c r="N49" i="2"/>
  <c r="C50" i="2"/>
  <c r="D50" i="2"/>
  <c r="E50" i="2"/>
  <c r="F50" i="2"/>
  <c r="G50" i="2"/>
  <c r="H50" i="2"/>
  <c r="I50" i="2"/>
  <c r="J50" i="2"/>
  <c r="K50" i="2"/>
  <c r="L50" i="2"/>
  <c r="M50" i="2"/>
  <c r="N50" i="2"/>
  <c r="O51" i="2"/>
  <c r="O42" i="2" l="1"/>
  <c r="O45" i="2"/>
  <c r="O50" i="2"/>
  <c r="O47" i="2"/>
  <c r="O46" i="2"/>
  <c r="O41" i="2"/>
  <c r="O43" i="2"/>
  <c r="O44" i="2"/>
  <c r="O49" i="2"/>
  <c r="O48" i="2"/>
  <c r="O40" i="2"/>
  <c r="O38" i="2"/>
  <c r="O39" i="2"/>
  <c r="O37" i="2"/>
</calcChain>
</file>

<file path=xl/sharedStrings.xml><?xml version="1.0" encoding="utf-8"?>
<sst xmlns="http://schemas.openxmlformats.org/spreadsheetml/2006/main" count="7" uniqueCount="7">
  <si>
    <t>tr.kwh</t>
  </si>
  <si>
    <t>A_max</t>
  </si>
  <si>
    <t>m3/khw</t>
  </si>
  <si>
    <t>SHN</t>
  </si>
  <si>
    <t>Tổng</t>
  </si>
  <si>
    <t>Lưu lượng [m3/s]</t>
  </si>
  <si>
    <t>Sản lượng [tr.kWh]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</si>
</sst>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_(* #,##0.0_);_(* \(#,##0.0\);_(* &quot;-&quot;??_);_(@_)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99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name val="Arial"/>
      <family val="2"/>
      <scheme val="minor"/>
    </font>
    <font>
      <sz val="11"/>
      <color rgb="FF00009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5" fontId="0" fillId="0" borderId="0" xfId="0" applyNumberFormat="1"/>
    <xf numFmtId="0" fontId="0" fillId="0" borderId="0" xfId="0" quotePrefix="1"/>
    <xf numFmtId="166" fontId="4" fillId="0" borderId="0" xfId="1" applyNumberFormat="1" applyFont="1"/>
    <xf numFmtId="165" fontId="2" fillId="0" borderId="0" xfId="0" applyNumberFormat="1" applyFont="1"/>
    <xf numFmtId="165" fontId="4" fillId="0" borderId="0" xfId="0" applyNumberFormat="1" applyFont="1"/>
    <xf numFmtId="0" fontId="5" fillId="0" borderId="0" xfId="0" applyFont="1"/>
    <xf numFmtId="166" fontId="0" fillId="0" borderId="0" xfId="1" applyNumberFormat="1" applyFont="1"/>
    <xf numFmtId="0" fontId="6" fillId="0" borderId="0" xfId="0" applyFont="1"/>
    <xf numFmtId="0" fontId="3" fillId="0" borderId="0" xfId="0" applyFont="1"/>
    <xf numFmtId="166" fontId="7" fillId="0" borderId="0" xfId="1" applyNumberFormat="1" applyFont="1" applyAlignment="1">
      <alignment horizontal="right"/>
    </xf>
    <xf numFmtId="165" fontId="7" fillId="0" borderId="0" xfId="0" applyNumberFormat="1" applyFont="1"/>
    <xf numFmtId="0" fontId="3" fillId="0" borderId="0" xfId="0" applyFont="1" applyAlignment="1">
      <alignment horizontal="right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Relationship Id="rId1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BTS"/>
      <sheetName val="SP3"/>
      <sheetName val="BK"/>
      <sheetName val="Gộp"/>
      <sheetName val="Sheet1"/>
      <sheetName val="Sheet2"/>
    </sheetNames>
    <sheetDataSet>
      <sheetData sheetId="0">
        <row r="3">
          <cell r="C3">
            <v>20.360220000000009</v>
          </cell>
        </row>
        <row r="5">
          <cell r="C5">
            <v>45.438943999999999</v>
          </cell>
          <cell r="D5">
            <v>38.327629999999999</v>
          </cell>
          <cell r="E5">
            <v>40.162329999999997</v>
          </cell>
          <cell r="F5">
            <v>47.265079999999998</v>
          </cell>
          <cell r="G5">
            <v>44.839829999999999</v>
          </cell>
          <cell r="H5">
            <v>120.19458</v>
          </cell>
          <cell r="I5">
            <v>109.09842</v>
          </cell>
          <cell r="J5">
            <v>134.28808000000001</v>
          </cell>
          <cell r="K5">
            <v>139.98535999999999</v>
          </cell>
          <cell r="L5">
            <v>153.80945800000001</v>
          </cell>
          <cell r="M5">
            <v>121.84898</v>
          </cell>
          <cell r="N5">
            <v>111.80434</v>
          </cell>
        </row>
      </sheetData>
      <sheetData sheetId="1">
        <row r="3">
          <cell r="C3">
            <v>17.593199999999996</v>
          </cell>
        </row>
        <row r="5">
          <cell r="C5">
            <v>59.674320000000016</v>
          </cell>
          <cell r="D5">
            <v>45.210730000000012</v>
          </cell>
          <cell r="E5">
            <v>53.45089999999994</v>
          </cell>
          <cell r="F5">
            <v>68.856030000000075</v>
          </cell>
          <cell r="G5">
            <v>89.703590000000005</v>
          </cell>
          <cell r="H5">
            <v>59.162539999999971</v>
          </cell>
          <cell r="I5">
            <v>85.503100000000003</v>
          </cell>
          <cell r="J5">
            <v>70.413399999999996</v>
          </cell>
          <cell r="K5">
            <v>128.244</v>
          </cell>
          <cell r="L5">
            <v>162.03149999999999</v>
          </cell>
          <cell r="M5">
            <v>98.273500000000027</v>
          </cell>
          <cell r="N5">
            <v>51.891899999999985</v>
          </cell>
        </row>
      </sheetData>
      <sheetData sheetId="2">
        <row r="3">
          <cell r="C3">
            <v>14.871199999999954</v>
          </cell>
        </row>
        <row r="5">
          <cell r="C5">
            <v>29.3931</v>
          </cell>
          <cell r="D5">
            <v>19.736499999999999</v>
          </cell>
          <cell r="E5">
            <v>34.728999999999999</v>
          </cell>
          <cell r="F5">
            <v>29.226700000000012</v>
          </cell>
          <cell r="G5">
            <v>42.762400000000021</v>
          </cell>
          <cell r="H5">
            <v>95.330377999999982</v>
          </cell>
          <cell r="I5">
            <v>117.224</v>
          </cell>
          <cell r="J5">
            <v>109.45139999999996</v>
          </cell>
          <cell r="K5">
            <v>92.450600000000094</v>
          </cell>
          <cell r="L5">
            <v>144.62429999999995</v>
          </cell>
          <cell r="M5">
            <v>108.65509999999998</v>
          </cell>
          <cell r="N5">
            <v>73.272799999999918</v>
          </cell>
        </row>
      </sheetData>
      <sheetData sheetId="3">
        <row r="3">
          <cell r="C3">
            <v>25.792999999999999</v>
          </cell>
        </row>
        <row r="5">
          <cell r="C5">
            <v>42.385599999999975</v>
          </cell>
          <cell r="D5">
            <v>40.999900000000139</v>
          </cell>
          <cell r="E5">
            <v>41.354299999999931</v>
          </cell>
          <cell r="F5">
            <v>30.1175</v>
          </cell>
          <cell r="G5">
            <v>46.607299999999952</v>
          </cell>
          <cell r="H5">
            <v>74.887100000000089</v>
          </cell>
          <cell r="I5">
            <v>157.55799999999999</v>
          </cell>
          <cell r="J5">
            <v>156.83119999999994</v>
          </cell>
          <cell r="K5">
            <v>126.20710000000021</v>
          </cell>
          <cell r="L5">
            <v>121.09479999999982</v>
          </cell>
          <cell r="M5">
            <v>59.804499999999997</v>
          </cell>
          <cell r="N5">
            <v>38.710599999999857</v>
          </cell>
        </row>
      </sheetData>
      <sheetData sheetId="4">
        <row r="3">
          <cell r="C3">
            <v>19.655700000000071</v>
          </cell>
        </row>
        <row r="5">
          <cell r="C5">
            <v>42.550300000000043</v>
          </cell>
          <cell r="D5">
            <v>28.215899999999905</v>
          </cell>
          <cell r="E5">
            <v>25.004600000000327</v>
          </cell>
          <cell r="F5">
            <v>36.213099999999855</v>
          </cell>
          <cell r="G5">
            <v>26.331800000000044</v>
          </cell>
          <cell r="H5">
            <v>52.941454000000142</v>
          </cell>
          <cell r="I5">
            <v>82.643899999999675</v>
          </cell>
          <cell r="J5">
            <v>94.82080000000029</v>
          </cell>
          <cell r="K5">
            <v>80.047099999999872</v>
          </cell>
          <cell r="L5">
            <v>72.551099999999863</v>
          </cell>
          <cell r="M5">
            <v>43.626400000000132</v>
          </cell>
          <cell r="N5">
            <v>32.681399999999904</v>
          </cell>
        </row>
      </sheetData>
      <sheetData sheetId="5">
        <row r="3">
          <cell r="C3">
            <v>20.582000000000001</v>
          </cell>
        </row>
        <row r="5">
          <cell r="C5">
            <v>40.519900000000142</v>
          </cell>
          <cell r="D5">
            <v>25.088399999999908</v>
          </cell>
          <cell r="E5">
            <v>19.354500000000002</v>
          </cell>
          <cell r="F5">
            <v>18.631800000000045</v>
          </cell>
          <cell r="G5">
            <v>34.095199999999956</v>
          </cell>
          <cell r="H5">
            <v>47.132133000000138</v>
          </cell>
          <cell r="I5">
            <v>78.753672000000009</v>
          </cell>
          <cell r="J5">
            <v>83.396789999999811</v>
          </cell>
          <cell r="K5">
            <v>73.828290000000024</v>
          </cell>
          <cell r="L5">
            <v>132.59153199999989</v>
          </cell>
          <cell r="M5">
            <v>144.76705800000019</v>
          </cell>
          <cell r="N5">
            <v>155.64489400000008</v>
          </cell>
        </row>
      </sheetData>
      <sheetData sheetId="6">
        <row r="3">
          <cell r="C3">
            <v>31.364885999999821</v>
          </cell>
        </row>
        <row r="5">
          <cell r="C5">
            <v>108.60762999999989</v>
          </cell>
          <cell r="D5">
            <v>60.113165999999971</v>
          </cell>
          <cell r="E5">
            <v>46.122814999999939</v>
          </cell>
          <cell r="F5">
            <v>47.596593000000105</v>
          </cell>
          <cell r="G5">
            <v>110.79442499999982</v>
          </cell>
          <cell r="H5">
            <v>147.72678699999997</v>
          </cell>
          <cell r="I5">
            <v>132.76311200000009</v>
          </cell>
          <cell r="J5">
            <v>131.70101400000019</v>
          </cell>
          <cell r="K5">
            <v>140.74008200000006</v>
          </cell>
          <cell r="L5">
            <v>143.57093799999984</v>
          </cell>
          <cell r="M5">
            <v>150.22648000000001</v>
          </cell>
          <cell r="N5">
            <v>154.0835330000003</v>
          </cell>
        </row>
      </sheetData>
      <sheetData sheetId="7">
        <row r="3">
          <cell r="C3">
            <v>29.766293000000065</v>
          </cell>
        </row>
        <row r="5">
          <cell r="C5">
            <v>84.546728999999814</v>
          </cell>
          <cell r="D5">
            <v>51.033550999999974</v>
          </cell>
          <cell r="E5">
            <v>46.668175000000282</v>
          </cell>
          <cell r="F5">
            <v>40.693681999999569</v>
          </cell>
          <cell r="G5">
            <v>41.664416000000202</v>
          </cell>
          <cell r="H5">
            <v>62.748268000000088</v>
          </cell>
          <cell r="I5">
            <v>93.599611000000024</v>
          </cell>
          <cell r="J5">
            <v>113.87151199999987</v>
          </cell>
          <cell r="K5">
            <v>131.2371159999997</v>
          </cell>
          <cell r="L5">
            <v>110.50994200000027</v>
          </cell>
          <cell r="M5">
            <v>56.484308999999655</v>
          </cell>
          <cell r="N5">
            <v>83.636537000000004</v>
          </cell>
        </row>
      </sheetData>
      <sheetData sheetId="8">
        <row r="3">
          <cell r="C3">
            <v>22.552581999999937</v>
          </cell>
        </row>
        <row r="5">
          <cell r="C5">
            <v>91.580513000000266</v>
          </cell>
          <cell r="D5">
            <v>37.416697999999862</v>
          </cell>
          <cell r="E5">
            <v>43.255247999999902</v>
          </cell>
          <cell r="F5">
            <v>33.997204000000139</v>
          </cell>
          <cell r="G5">
            <v>39.573388000000037</v>
          </cell>
          <cell r="H5">
            <v>49.43702899999964</v>
          </cell>
          <cell r="I5">
            <v>43.086667000000133</v>
          </cell>
          <cell r="J5">
            <v>123.83850699999998</v>
          </cell>
          <cell r="K5">
            <v>139.80565200000024</v>
          </cell>
          <cell r="L5">
            <v>110.986784</v>
          </cell>
          <cell r="M5">
            <v>138.42449400000001</v>
          </cell>
          <cell r="N5">
            <v>63.395966000000016</v>
          </cell>
        </row>
      </sheetData>
      <sheetData sheetId="9">
        <row r="3">
          <cell r="C3">
            <v>24.566246999999972</v>
          </cell>
        </row>
        <row r="5">
          <cell r="C5">
            <v>41.345302000000139</v>
          </cell>
          <cell r="D5">
            <v>31.129697999999859</v>
          </cell>
          <cell r="E5">
            <v>32.180595999999902</v>
          </cell>
          <cell r="F5">
            <v>24.479286000000315</v>
          </cell>
          <cell r="G5">
            <v>21.331489000000001</v>
          </cell>
          <cell r="H5">
            <v>59.464098999999926</v>
          </cell>
          <cell r="I5">
            <v>88.018130999999997</v>
          </cell>
          <cell r="J5">
            <v>156.36365299999994</v>
          </cell>
          <cell r="K5">
            <v>144.26588499999977</v>
          </cell>
          <cell r="L5">
            <v>159.092885</v>
          </cell>
          <cell r="M5">
            <v>151.58334699999961</v>
          </cell>
          <cell r="N5">
            <v>154.71383700000078</v>
          </cell>
        </row>
      </sheetData>
      <sheetData sheetId="10">
        <row r="3">
          <cell r="C3">
            <v>29.164321999999927</v>
          </cell>
        </row>
        <row r="5">
          <cell r="C5">
            <v>84.770697999999385</v>
          </cell>
          <cell r="D5">
            <v>51.779504000000657</v>
          </cell>
          <cell r="E5">
            <v>43.542483000000004</v>
          </cell>
          <cell r="F5">
            <v>34.706387999999336</v>
          </cell>
          <cell r="G5">
            <v>42.992444000000134</v>
          </cell>
          <cell r="H5">
            <v>39.461503999999721</v>
          </cell>
          <cell r="I5">
            <v>62.004547000000166</v>
          </cell>
          <cell r="J5">
            <v>69.880805999999865</v>
          </cell>
          <cell r="K5">
            <v>133.2786650000005</v>
          </cell>
          <cell r="L5">
            <v>157.50553899999989</v>
          </cell>
          <cell r="M5">
            <v>157.48852799999995</v>
          </cell>
          <cell r="N5">
            <v>142.26362600000016</v>
          </cell>
        </row>
      </sheetData>
      <sheetData sheetId="11">
        <row r="3">
          <cell r="C3">
            <v>33.846495199999993</v>
          </cell>
        </row>
        <row r="5">
          <cell r="C5">
            <v>88.530286399999994</v>
          </cell>
          <cell r="D5">
            <v>51.253605</v>
          </cell>
          <cell r="E5">
            <v>56.609788600000002</v>
          </cell>
          <cell r="F5">
            <v>56.4993154</v>
          </cell>
          <cell r="G5">
            <v>80.578215700000001</v>
          </cell>
          <cell r="H5">
            <v>99.400854399999986</v>
          </cell>
          <cell r="I5">
            <v>139.00226599999999</v>
          </cell>
          <cell r="J5">
            <v>157.24091799999999</v>
          </cell>
          <cell r="K5">
            <v>155.01225790000001</v>
          </cell>
          <cell r="L5">
            <v>154.3577477</v>
          </cell>
          <cell r="M5">
            <v>124.99818620000001</v>
          </cell>
          <cell r="N5">
            <v>115.0416532</v>
          </cell>
        </row>
      </sheetData>
      <sheetData sheetId="12">
        <row r="3">
          <cell r="C3">
            <v>26.196023199999999</v>
          </cell>
        </row>
        <row r="5">
          <cell r="C5">
            <v>77.740175000000008</v>
          </cell>
          <cell r="D5">
            <v>56.724158600000003</v>
          </cell>
          <cell r="E5">
            <v>48.161090799999997</v>
          </cell>
          <cell r="F5">
            <v>48.283616699999996</v>
          </cell>
          <cell r="G5">
            <v>32.450061300000002</v>
          </cell>
          <cell r="H5">
            <v>71.005335399999993</v>
          </cell>
          <cell r="I5">
            <v>122.0062195</v>
          </cell>
          <cell r="J5">
            <v>136.3989627</v>
          </cell>
          <cell r="K5">
            <v>153.81893869999999</v>
          </cell>
          <cell r="L5">
            <v>154.06884539999999</v>
          </cell>
          <cell r="M5">
            <v>124.3363421</v>
          </cell>
          <cell r="N5">
            <v>94.563951599999996</v>
          </cell>
        </row>
      </sheetData>
      <sheetData sheetId="13">
        <row r="3">
          <cell r="C3">
            <v>27.937671999999999</v>
          </cell>
        </row>
        <row r="5">
          <cell r="C5">
            <v>57.337101000000004</v>
          </cell>
          <cell r="D5">
            <v>34.6663651</v>
          </cell>
          <cell r="E5">
            <v>20.916935600000002</v>
          </cell>
          <cell r="F5">
            <v>29.124926299999998</v>
          </cell>
          <cell r="G5">
            <v>40.0913307</v>
          </cell>
          <cell r="H5">
            <v>59.6659243</v>
          </cell>
          <cell r="I5">
            <v>100.58270630000001</v>
          </cell>
          <cell r="J5">
            <v>135.36586209999999</v>
          </cell>
          <cell r="K5">
            <v>144.5077186</v>
          </cell>
          <cell r="L5">
            <v>141.72220670000002</v>
          </cell>
          <cell r="M5">
            <v>98.1990239</v>
          </cell>
          <cell r="N5">
            <v>93.2850526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E41275D1-C989-428D-A27E-CB9D896EA195}">
  <dimension ref="B1:AF61"/>
  <sheetViews>
    <sheetView tabSelected="1" topLeftCell="L33" workbookViewId="0">
      <selection activeCell="Z53" sqref="Z53"/>
    </sheetView>
  </sheetViews>
  <sheetFormatPr defaultRowHeight="14.25" ns3:dyDescent="0.2"/>
  <cols>
    <col min="3" max="3" width="9.625" bestFit="1" customWidth="1"/>
    <col min="4" max="7" width="8.875" bestFit="1" customWidth="1"/>
    <col min="8" max="14" width="9.125" bestFit="1" customWidth="1"/>
    <col min="15" max="15" width="10.625" bestFit="1" customWidth="1"/>
  </cols>
  <sheetData>
    <row r="1" spans="2:32" ht="15" ns3:dyDescent="0.25">
      <c r="C1" s="16" t="s">
        <v>6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Q1" s="13" t="s">
        <v>5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2:32" ht="15" ns3:dyDescent="0.25"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9">
        <v>12</v>
      </c>
      <c r="O2" s="12" t="s">
        <v>4</v>
      </c>
      <c r="Q2" s="9">
        <v>1</v>
      </c>
      <c r="R2" s="9">
        <v>2</v>
      </c>
      <c r="S2" s="9">
        <v>3</v>
      </c>
      <c r="T2" s="9">
        <v>4</v>
      </c>
      <c r="U2" s="9">
        <v>5</v>
      </c>
      <c r="V2" s="9">
        <v>6</v>
      </c>
      <c r="W2" s="9">
        <v>7</v>
      </c>
      <c r="X2" s="9">
        <v>8</v>
      </c>
      <c r="Y2" s="9">
        <v>9</v>
      </c>
      <c r="Z2" s="9">
        <v>10</v>
      </c>
      <c r="AA2" s="9">
        <v>11</v>
      </c>
      <c r="AB2" s="9">
        <v>12</v>
      </c>
      <c r="AD2" t="s">
        <v>3</v>
      </c>
      <c r="AE2" s="9">
        <v>6.55</v>
      </c>
      <c r="AF2" s="2" t="s">
        <v>2</v>
      </c>
    </row>
    <row r="3" spans="2:32" ns3:dyDescent="0.2">
      <c r="B3">
        <v>1977</v>
      </c>
      <c r="C3" s="11">
        <f t="shared" ref="C3:C36" si="0">IF(Q3*DAY(EOMONTH(DATE($B3,$C$2,1),0))*24*3600/$AE$2/10^6&gt;$AE$3,$AE$3,Q3*DAY(EOMONTH(DATE($B3,$C$2,1),0))*24*3600/$AE$2/10^6)</f>
        <v>32.958632061068698</v>
      </c>
      <c r="D3" s="11">
        <f t="shared" ref="D3:D36" si="1">IF(R3*DAY(EOMONTH(DATE($B3,$D$2,1),0))*24*3600/$AE$2/10^6&gt;$AE$3,$AE$3,R3*DAY(EOMONTH(DATE($B3,$D$2,1),0))*24*3600/$AE$2/10^6)</f>
        <v>20.646302290076338</v>
      </c>
      <c r="E3" s="11">
        <f t="shared" ref="E3:E36" si="2">IF(S3*DAY(EOMONTH(DATE($B3,$E$2,1),0))*24*3600/$AE$2/10^6&gt;$AE$3,$AE$3,S3*DAY(EOMONTH(DATE($B3,$E$2,1),0))*24*3600/$AE$2/10^6)</f>
        <v>15.49791755725191</v>
      </c>
      <c r="F3" s="11">
        <f t="shared" ref="F3:F36" si="3">IF(T3*DAY(EOMONTH(DATE($B3,$F$2,1),0))*24*3600/$AE$2/10^6&gt;$AE$3,$AE$3,T3*DAY(EOMONTH(DATE($B3,$F$2,1),0))*24*3600/$AE$2/10^6)</f>
        <v>10.288854961832062</v>
      </c>
      <c r="G3" s="11">
        <f t="shared" ref="G3:G36" si="4">IF(U3*DAY(EOMONTH(DATE($B3,$G$2,1),0))*24*3600/$AE$2/10^6&gt;$AE$3,$AE$3,U3*DAY(EOMONTH(DATE($B3,$G$2,1),0))*24*3600/$AE$2/10^6)</f>
        <v>12.390155725190841</v>
      </c>
      <c r="H3" s="11">
        <f t="shared" ref="H3:H36" si="5">IF(V3*DAY(EOMONTH(DATE($B3,$H$2,1),0))*24*3600/$AE$2/10^6&gt;$AE$3,$AE$3,V3*DAY(EOMONTH(DATE($B3,$H$2,1),0))*24*3600/$AE$2/10^6)</f>
        <v>14.325251908396947</v>
      </c>
      <c r="I3" s="11">
        <f t="shared" ref="I3:I36" si="6">IF(W3*DAY(EOMONTH(DATE($B3,$I$2,1),0))*24*3600/$AE$2/10^6&gt;$AE$3,$AE$3,W3*DAY(EOMONTH(DATE($B3,$I$2,1),0))*24*3600/$AE$2/10^6)</f>
        <v>41.791218320610689</v>
      </c>
      <c r="J3" s="11">
        <f t="shared" ref="J3:J36" si="7">IF(X3*DAY(EOMONTH(DATE($B3,$J$2,1),0))*24*3600/$AE$2/10^6&gt;$AE$3,$AE$3,X3*DAY(EOMONTH(DATE($B3,$J$2,1),0))*24*3600/$AE$2/10^6)</f>
        <v>42.077459541984737</v>
      </c>
      <c r="K3" s="11">
        <f t="shared" ref="K3:K36" si="8">IF(Y3*DAY(EOMONTH(DATE($B3,$K$2,1),0))*24*3600/$AE$2/10^6&gt;$AE$3,$AE$3,Y3*DAY(EOMONTH(DATE($B3,$K$2,1),0))*24*3600/$AE$2/10^6)</f>
        <v>136.64390839694659</v>
      </c>
      <c r="L3" s="11">
        <f t="shared" ref="L3:L36" si="9">IF(Z3*DAY(EOMONTH(DATE($B3,$L$2,1),0))*24*3600/$AE$2/10^6&gt;$AE$3,$AE$3,Z3*DAY(EOMONTH(DATE($B3,$L$2,1),0))*24*3600/$AE$2/10^6)</f>
        <v>130.85312977099238</v>
      </c>
      <c r="M3" s="11">
        <f t="shared" ref="M3:M36" si="10">IF(AA3*DAY(EOMONTH(DATE($B3,$M$2,1),0))*24*3600/$AE$2/10^6&gt;$AE$3,$AE$3,AA3*DAY(EOMONTH(DATE($B3,$M$2,1),0))*24*3600/$AE$2/10^6)</f>
        <v>72.615572519083983</v>
      </c>
      <c r="N3" s="11">
        <f t="shared" ref="N3:N36" si="11">IF(AB3*DAY(EOMONTH(DATE($B3,$N$2,1),0))*24*3600/$AE$2/10^6&gt;$AE$3,$AE$3,AB3*DAY(EOMONTH(DATE($B3,$N$2,1),0))*24*3600/$AE$2/10^6)</f>
        <v>37.334033587786259</v>
      </c>
      <c r="O3" s="10">
        <f t="shared" ref="O3:O34" si="12">SUM(C3:N3)</f>
        <v>567.42243664122145</v>
      </c>
      <c r="Q3" s="1">
        <v>80.599999999999994</v>
      </c>
      <c r="R3" s="1">
        <v>55.9</v>
      </c>
      <c r="S3" s="1">
        <v>37.9</v>
      </c>
      <c r="T3" s="1">
        <v>26</v>
      </c>
      <c r="U3" s="1">
        <v>30.3</v>
      </c>
      <c r="V3" s="1">
        <v>36.200000000000003</v>
      </c>
      <c r="W3" s="1">
        <v>102.2</v>
      </c>
      <c r="X3" s="1">
        <v>102.9</v>
      </c>
      <c r="Y3" s="1">
        <v>345.3</v>
      </c>
      <c r="Z3" s="1">
        <v>320</v>
      </c>
      <c r="AA3" s="1">
        <v>183.5</v>
      </c>
      <c r="AB3" s="1">
        <v>91.3</v>
      </c>
      <c r="AD3" t="s">
        <v>1</v>
      </c>
      <c r="AE3" s="1">
        <v>154.08000000000001</v>
      </c>
      <c r="AF3" s="2" t="s">
        <v>0</v>
      </c>
    </row>
    <row r="4" spans="2:32" ns3:dyDescent="0.2">
      <c r="B4">
        <v>1978</v>
      </c>
      <c r="C4" s="11">
        <f t="shared" si="0"/>
        <v>21.877007633587784</v>
      </c>
      <c r="D4" s="11">
        <f t="shared" si="1"/>
        <v>13.259432061068702</v>
      </c>
      <c r="E4" s="11">
        <f t="shared" si="2"/>
        <v>13.330662595419849</v>
      </c>
      <c r="F4" s="11">
        <f t="shared" si="3"/>
        <v>11.792610687022901</v>
      </c>
      <c r="G4" s="11">
        <f t="shared" si="4"/>
        <v>29.319279389312978</v>
      </c>
      <c r="H4" s="11">
        <f t="shared" si="5"/>
        <v>32.093312977099238</v>
      </c>
      <c r="I4" s="11">
        <f t="shared" si="6"/>
        <v>69.720183206106867</v>
      </c>
      <c r="J4" s="11">
        <f t="shared" si="7"/>
        <v>108.52631450381678</v>
      </c>
      <c r="K4" s="11">
        <f t="shared" si="8"/>
        <v>154.08000000000001</v>
      </c>
      <c r="L4" s="11">
        <f t="shared" si="9"/>
        <v>154.08000000000001</v>
      </c>
      <c r="M4" s="11">
        <f t="shared" si="10"/>
        <v>144.83541984732824</v>
      </c>
      <c r="N4" s="11">
        <f t="shared" si="11"/>
        <v>68.370760305343509</v>
      </c>
      <c r="O4" s="10">
        <f t="shared" si="12"/>
        <v>821.28498320610697</v>
      </c>
      <c r="Q4" s="1">
        <v>53.5</v>
      </c>
      <c r="R4" s="1">
        <v>35.9</v>
      </c>
      <c r="S4" s="1">
        <v>32.6</v>
      </c>
      <c r="T4" s="1">
        <v>29.8</v>
      </c>
      <c r="U4" s="1">
        <v>71.7</v>
      </c>
      <c r="V4" s="1">
        <v>81.099999999999994</v>
      </c>
      <c r="W4" s="1">
        <v>170.5</v>
      </c>
      <c r="X4" s="1">
        <v>265.39999999999998</v>
      </c>
      <c r="Y4" s="1">
        <v>405.3</v>
      </c>
      <c r="Z4" s="1">
        <v>505.7</v>
      </c>
      <c r="AA4" s="1">
        <v>366</v>
      </c>
      <c r="AB4" s="1">
        <v>167.2</v>
      </c>
    </row>
    <row r="5" spans="2:32" ns3:dyDescent="0.2">
      <c r="B5">
        <v>1979</v>
      </c>
      <c r="C5" s="11">
        <f t="shared" si="0"/>
        <v>38.928806106870226</v>
      </c>
      <c r="D5" s="11">
        <f t="shared" si="1"/>
        <v>20.055352671755728</v>
      </c>
      <c r="E5" s="11">
        <f t="shared" si="2"/>
        <v>14.107603053435115</v>
      </c>
      <c r="F5" s="11">
        <f t="shared" si="3"/>
        <v>14.16696183206107</v>
      </c>
      <c r="G5" s="11">
        <f t="shared" si="4"/>
        <v>25.843493129770994</v>
      </c>
      <c r="H5" s="11">
        <f t="shared" si="5"/>
        <v>58.211175572519089</v>
      </c>
      <c r="I5" s="11">
        <f t="shared" si="6"/>
        <v>121.36627786259542</v>
      </c>
      <c r="J5" s="11">
        <f t="shared" si="7"/>
        <v>142.46634503816793</v>
      </c>
      <c r="K5" s="11">
        <f t="shared" si="8"/>
        <v>88.721587786259548</v>
      </c>
      <c r="L5" s="11">
        <f t="shared" si="9"/>
        <v>154.08000000000001</v>
      </c>
      <c r="M5" s="11">
        <f t="shared" si="10"/>
        <v>126.55291603053436</v>
      </c>
      <c r="N5" s="11">
        <f t="shared" si="11"/>
        <v>98.303413740458012</v>
      </c>
      <c r="O5" s="10">
        <f t="shared" si="12"/>
        <v>902.80393282442753</v>
      </c>
      <c r="Q5" s="1">
        <v>95.2</v>
      </c>
      <c r="R5" s="1">
        <v>54.3</v>
      </c>
      <c r="S5" s="1">
        <v>34.5</v>
      </c>
      <c r="T5" s="1">
        <v>35.799999999999997</v>
      </c>
      <c r="U5" s="1">
        <v>63.2</v>
      </c>
      <c r="V5" s="1">
        <v>147.1</v>
      </c>
      <c r="W5" s="1">
        <v>296.8</v>
      </c>
      <c r="X5" s="1">
        <v>348.4</v>
      </c>
      <c r="Y5" s="1">
        <v>224.2</v>
      </c>
      <c r="Z5" s="1">
        <v>412.7</v>
      </c>
      <c r="AA5" s="1">
        <v>319.8</v>
      </c>
      <c r="AB5" s="1">
        <v>240.4</v>
      </c>
    </row>
    <row r="6" spans="2:32" ns3:dyDescent="0.2">
      <c r="B6">
        <v>1980</v>
      </c>
      <c r="C6" s="11">
        <f t="shared" si="0"/>
        <v>47.5160427480916</v>
      </c>
      <c r="D6" s="11">
        <f t="shared" si="1"/>
        <v>31.406070229007632</v>
      </c>
      <c r="E6" s="11">
        <f t="shared" si="2"/>
        <v>24.412287022900763</v>
      </c>
      <c r="F6" s="11">
        <f t="shared" si="3"/>
        <v>22.516763358778626</v>
      </c>
      <c r="G6" s="11">
        <f t="shared" si="4"/>
        <v>41.259627480916031</v>
      </c>
      <c r="H6" s="11">
        <f t="shared" si="5"/>
        <v>65.967389312977105</v>
      </c>
      <c r="I6" s="11">
        <f t="shared" si="6"/>
        <v>76.549080916030533</v>
      </c>
      <c r="J6" s="11">
        <f t="shared" si="7"/>
        <v>87.01733129770993</v>
      </c>
      <c r="K6" s="11">
        <f t="shared" si="8"/>
        <v>154.08000000000001</v>
      </c>
      <c r="L6" s="11">
        <f t="shared" si="9"/>
        <v>154.08000000000001</v>
      </c>
      <c r="M6" s="11">
        <f t="shared" si="10"/>
        <v>154.08000000000001</v>
      </c>
      <c r="N6" s="11">
        <f t="shared" si="11"/>
        <v>98.180738931297725</v>
      </c>
      <c r="O6" s="10">
        <f t="shared" si="12"/>
        <v>957.06533129771003</v>
      </c>
      <c r="Q6" s="1">
        <v>116.2</v>
      </c>
      <c r="R6" s="1">
        <v>82.1</v>
      </c>
      <c r="S6" s="1">
        <v>59.7</v>
      </c>
      <c r="T6" s="1">
        <v>56.9</v>
      </c>
      <c r="U6" s="1">
        <v>100.9</v>
      </c>
      <c r="V6" s="1">
        <v>166.7</v>
      </c>
      <c r="W6" s="1">
        <v>187.2</v>
      </c>
      <c r="X6" s="1">
        <v>212.8</v>
      </c>
      <c r="Y6" s="1">
        <v>497.1</v>
      </c>
      <c r="Z6" s="1">
        <v>484.8</v>
      </c>
      <c r="AA6" s="1">
        <v>530.5</v>
      </c>
      <c r="AB6" s="1">
        <v>240.1</v>
      </c>
    </row>
    <row r="7" spans="2:32" ns3:dyDescent="0.2">
      <c r="B7">
        <v>1981</v>
      </c>
      <c r="C7" s="11">
        <f t="shared" si="0"/>
        <v>51.196287022900769</v>
      </c>
      <c r="D7" s="11">
        <f t="shared" si="1"/>
        <v>33.093178625954202</v>
      </c>
      <c r="E7" s="11">
        <f t="shared" si="2"/>
        <v>23.308213740458015</v>
      </c>
      <c r="F7" s="11">
        <f t="shared" si="3"/>
        <v>21.764885496183204</v>
      </c>
      <c r="G7" s="11">
        <f t="shared" si="4"/>
        <v>35.493911450381681</v>
      </c>
      <c r="H7" s="11">
        <f t="shared" si="5"/>
        <v>84.764335877862607</v>
      </c>
      <c r="I7" s="11">
        <f t="shared" si="6"/>
        <v>72.787053435114501</v>
      </c>
      <c r="J7" s="11">
        <f t="shared" si="7"/>
        <v>154.08000000000001</v>
      </c>
      <c r="K7" s="11">
        <f t="shared" si="8"/>
        <v>111.47578625954199</v>
      </c>
      <c r="L7" s="11">
        <f t="shared" si="9"/>
        <v>154.08000000000001</v>
      </c>
      <c r="M7" s="11">
        <f t="shared" si="10"/>
        <v>154.08000000000001</v>
      </c>
      <c r="N7" s="11">
        <f t="shared" si="11"/>
        <v>154.08000000000001</v>
      </c>
      <c r="O7" s="10">
        <f t="shared" si="12"/>
        <v>1050.2036519083972</v>
      </c>
      <c r="Q7" s="1">
        <v>125.2</v>
      </c>
      <c r="R7" s="1">
        <v>89.6</v>
      </c>
      <c r="S7" s="1">
        <v>57</v>
      </c>
      <c r="T7" s="1">
        <v>55</v>
      </c>
      <c r="U7" s="1">
        <v>86.8</v>
      </c>
      <c r="V7" s="1">
        <v>214.2</v>
      </c>
      <c r="W7" s="1">
        <v>178</v>
      </c>
      <c r="X7" s="1">
        <v>442</v>
      </c>
      <c r="Y7" s="1">
        <v>281.7</v>
      </c>
      <c r="Z7" s="1">
        <v>675.8</v>
      </c>
      <c r="AA7" s="1">
        <v>784.9</v>
      </c>
      <c r="AB7" s="1">
        <v>441.4</v>
      </c>
    </row>
    <row r="8" spans="2:32" ns3:dyDescent="0.2">
      <c r="B8">
        <v>1982</v>
      </c>
      <c r="C8" s="11">
        <f t="shared" si="0"/>
        <v>72.582595419847323</v>
      </c>
      <c r="D8" s="11">
        <f t="shared" si="1"/>
        <v>35.678583206106872</v>
      </c>
      <c r="E8" s="11">
        <f t="shared" si="2"/>
        <v>27.152024427480921</v>
      </c>
      <c r="F8" s="11">
        <f t="shared" si="3"/>
        <v>27.423755725190841</v>
      </c>
      <c r="G8" s="11">
        <f t="shared" si="4"/>
        <v>30.914051908396946</v>
      </c>
      <c r="H8" s="11">
        <f t="shared" si="5"/>
        <v>70.636946564885491</v>
      </c>
      <c r="I8" s="11">
        <f t="shared" si="6"/>
        <v>80.352000000000004</v>
      </c>
      <c r="J8" s="11">
        <f t="shared" si="7"/>
        <v>67.593819847328263</v>
      </c>
      <c r="K8" s="11">
        <f t="shared" si="8"/>
        <v>154.08000000000001</v>
      </c>
      <c r="L8" s="11">
        <f t="shared" si="9"/>
        <v>110.28465343511451</v>
      </c>
      <c r="M8" s="11">
        <f t="shared" si="10"/>
        <v>63.672183206106872</v>
      </c>
      <c r="N8" s="11">
        <f t="shared" si="11"/>
        <v>38.601673282442754</v>
      </c>
      <c r="O8" s="10">
        <f t="shared" si="12"/>
        <v>778.97228702290079</v>
      </c>
      <c r="Q8" s="1">
        <v>177.5</v>
      </c>
      <c r="R8" s="1">
        <v>96.6</v>
      </c>
      <c r="S8" s="1">
        <v>66.400000000000006</v>
      </c>
      <c r="T8" s="1">
        <v>69.3</v>
      </c>
      <c r="U8" s="1">
        <v>75.599999999999994</v>
      </c>
      <c r="V8" s="1">
        <v>178.5</v>
      </c>
      <c r="W8" s="1">
        <v>196.5</v>
      </c>
      <c r="X8" s="1">
        <v>165.3</v>
      </c>
      <c r="Y8" s="1">
        <v>488.1</v>
      </c>
      <c r="Z8" s="1">
        <v>269.7</v>
      </c>
      <c r="AA8" s="1">
        <v>160.9</v>
      </c>
      <c r="AB8" s="1">
        <v>94.4</v>
      </c>
    </row>
    <row r="9" spans="2:32" ns3:dyDescent="0.2">
      <c r="B9">
        <v>1983</v>
      </c>
      <c r="C9" s="11">
        <f t="shared" si="0"/>
        <v>29.523737404580153</v>
      </c>
      <c r="D9" s="11">
        <f t="shared" si="1"/>
        <v>19.75987786259542</v>
      </c>
      <c r="E9" s="11">
        <f t="shared" si="2"/>
        <v>16.929123664122137</v>
      </c>
      <c r="F9" s="11">
        <f t="shared" si="3"/>
        <v>13.217221374045803</v>
      </c>
      <c r="G9" s="11">
        <f t="shared" si="4"/>
        <v>20.52758473282443</v>
      </c>
      <c r="H9" s="11">
        <f t="shared" si="5"/>
        <v>31.539297709923666</v>
      </c>
      <c r="I9" s="11">
        <f t="shared" si="6"/>
        <v>36.148177099236648</v>
      </c>
      <c r="J9" s="11">
        <f t="shared" si="7"/>
        <v>78.021178625954207</v>
      </c>
      <c r="K9" s="11">
        <f t="shared" si="8"/>
        <v>80.05520610687023</v>
      </c>
      <c r="L9" s="11">
        <f t="shared" si="9"/>
        <v>154.08000000000001</v>
      </c>
      <c r="M9" s="11">
        <f t="shared" si="10"/>
        <v>137.79151145038171</v>
      </c>
      <c r="N9" s="11">
        <f t="shared" si="11"/>
        <v>60.192439694656485</v>
      </c>
      <c r="O9" s="10">
        <f t="shared" si="12"/>
        <v>677.78535572519093</v>
      </c>
      <c r="Q9" s="1">
        <v>72.2</v>
      </c>
      <c r="R9" s="1">
        <v>53.5</v>
      </c>
      <c r="S9" s="1">
        <v>41.4</v>
      </c>
      <c r="T9" s="1">
        <v>33.4</v>
      </c>
      <c r="U9" s="1">
        <v>50.2</v>
      </c>
      <c r="V9" s="1">
        <v>79.7</v>
      </c>
      <c r="W9" s="1">
        <v>88.4</v>
      </c>
      <c r="X9" s="1">
        <v>190.8</v>
      </c>
      <c r="Y9" s="1">
        <v>202.3</v>
      </c>
      <c r="Z9" s="1">
        <v>515</v>
      </c>
      <c r="AA9" s="1">
        <v>348.2</v>
      </c>
      <c r="AB9" s="1">
        <v>147.19999999999999</v>
      </c>
    </row>
    <row r="10" spans="2:32" ns3:dyDescent="0.2">
      <c r="B10">
        <v>1984</v>
      </c>
      <c r="C10" s="11">
        <f t="shared" si="0"/>
        <v>41.545868702290079</v>
      </c>
      <c r="D10" s="11">
        <f t="shared" si="1"/>
        <v>28.881343511450385</v>
      </c>
      <c r="E10" s="11">
        <f t="shared" si="2"/>
        <v>20.936500763358779</v>
      </c>
      <c r="F10" s="11">
        <f t="shared" si="3"/>
        <v>22.912488549618324</v>
      </c>
      <c r="G10" s="11">
        <f t="shared" si="4"/>
        <v>42.772616793893128</v>
      </c>
      <c r="H10" s="11">
        <f t="shared" si="5"/>
        <v>65.215511450381683</v>
      </c>
      <c r="I10" s="11">
        <f t="shared" si="6"/>
        <v>77.857612213740452</v>
      </c>
      <c r="J10" s="11">
        <f t="shared" si="7"/>
        <v>154.08000000000001</v>
      </c>
      <c r="K10" s="11">
        <f t="shared" si="8"/>
        <v>154.08000000000001</v>
      </c>
      <c r="L10" s="11">
        <f t="shared" si="9"/>
        <v>154.08000000000001</v>
      </c>
      <c r="M10" s="11">
        <f t="shared" si="10"/>
        <v>108.19126717557253</v>
      </c>
      <c r="N10" s="11">
        <f t="shared" si="11"/>
        <v>94.2142534351145</v>
      </c>
      <c r="O10" s="10">
        <f t="shared" si="12"/>
        <v>964.76746259541994</v>
      </c>
      <c r="Q10" s="1">
        <v>101.6</v>
      </c>
      <c r="R10" s="1">
        <v>75.5</v>
      </c>
      <c r="S10" s="1">
        <v>51.2</v>
      </c>
      <c r="T10" s="1">
        <v>57.9</v>
      </c>
      <c r="U10" s="1">
        <v>104.6</v>
      </c>
      <c r="V10" s="1">
        <v>164.8</v>
      </c>
      <c r="W10" s="1">
        <v>190.4</v>
      </c>
      <c r="X10" s="1">
        <v>416.5</v>
      </c>
      <c r="Y10" s="1">
        <v>441.9</v>
      </c>
      <c r="Z10" s="1">
        <v>526.4</v>
      </c>
      <c r="AA10" s="1">
        <v>273.39999999999998</v>
      </c>
      <c r="AB10" s="1">
        <v>230.4</v>
      </c>
    </row>
    <row r="11" spans="2:32" ns3:dyDescent="0.2">
      <c r="B11">
        <v>1985</v>
      </c>
      <c r="C11" s="11">
        <f t="shared" si="0"/>
        <v>46.411969465648859</v>
      </c>
      <c r="D11" s="11">
        <f t="shared" si="1"/>
        <v>28.661056488549619</v>
      </c>
      <c r="E11" s="11">
        <f t="shared" si="2"/>
        <v>24.371395419847328</v>
      </c>
      <c r="F11" s="11">
        <f t="shared" si="3"/>
        <v>30.233404580152673</v>
      </c>
      <c r="G11" s="11">
        <f t="shared" si="4"/>
        <v>46.943560305343517</v>
      </c>
      <c r="H11" s="11">
        <f t="shared" si="5"/>
        <v>52.948030534351155</v>
      </c>
      <c r="I11" s="11">
        <f t="shared" si="6"/>
        <v>76.385514503816793</v>
      </c>
      <c r="J11" s="11">
        <f t="shared" si="7"/>
        <v>81.169832061068703</v>
      </c>
      <c r="K11" s="11">
        <f t="shared" si="8"/>
        <v>112.46509923664122</v>
      </c>
      <c r="L11" s="11">
        <f t="shared" si="9"/>
        <v>129.17657404580152</v>
      </c>
      <c r="M11" s="11">
        <f t="shared" si="10"/>
        <v>71.388824427480927</v>
      </c>
      <c r="N11" s="11">
        <f t="shared" si="11"/>
        <v>98.221630534351135</v>
      </c>
      <c r="O11" s="10">
        <f t="shared" si="12"/>
        <v>798.37689160305342</v>
      </c>
      <c r="Q11" s="1">
        <v>113.5</v>
      </c>
      <c r="R11" s="1">
        <v>77.599999999999994</v>
      </c>
      <c r="S11" s="1">
        <v>59.6</v>
      </c>
      <c r="T11" s="1">
        <v>76.400000000000006</v>
      </c>
      <c r="U11" s="1">
        <v>114.8</v>
      </c>
      <c r="V11" s="1">
        <v>133.80000000000001</v>
      </c>
      <c r="W11" s="1">
        <v>186.8</v>
      </c>
      <c r="X11" s="1">
        <v>198.5</v>
      </c>
      <c r="Y11" s="1">
        <v>284.2</v>
      </c>
      <c r="Z11" s="1">
        <v>315.89999999999998</v>
      </c>
      <c r="AA11" s="1">
        <v>180.4</v>
      </c>
      <c r="AB11" s="1">
        <v>240.2</v>
      </c>
    </row>
    <row r="12" spans="2:32" ns3:dyDescent="0.2">
      <c r="B12">
        <v>1986</v>
      </c>
      <c r="C12" s="11">
        <f t="shared" si="0"/>
        <v>41.913893129770997</v>
      </c>
      <c r="D12" s="11">
        <f t="shared" si="1"/>
        <v>26.703535877862596</v>
      </c>
      <c r="E12" s="11">
        <f t="shared" si="2"/>
        <v>23.717129770992369</v>
      </c>
      <c r="F12" s="11">
        <f t="shared" si="3"/>
        <v>19.469679389312979</v>
      </c>
      <c r="G12" s="11">
        <f t="shared" si="4"/>
        <v>26.047951145038169</v>
      </c>
      <c r="H12" s="11">
        <f t="shared" si="5"/>
        <v>31.381007633587789</v>
      </c>
      <c r="I12" s="11">
        <f t="shared" si="6"/>
        <v>55.080989312977088</v>
      </c>
      <c r="J12" s="11">
        <f t="shared" si="7"/>
        <v>152.15765496183207</v>
      </c>
      <c r="K12" s="11">
        <f t="shared" si="8"/>
        <v>127.46308396946566</v>
      </c>
      <c r="L12" s="11">
        <f t="shared" si="9"/>
        <v>138.25450992366416</v>
      </c>
      <c r="M12" s="11">
        <f t="shared" si="10"/>
        <v>79.778198473282444</v>
      </c>
      <c r="N12" s="11">
        <f t="shared" si="11"/>
        <v>128.03160916030538</v>
      </c>
      <c r="O12" s="10">
        <f t="shared" si="12"/>
        <v>849.99924274809166</v>
      </c>
      <c r="Q12" s="1">
        <v>102.5</v>
      </c>
      <c r="R12" s="1">
        <v>72.3</v>
      </c>
      <c r="S12" s="1">
        <v>58</v>
      </c>
      <c r="T12" s="1">
        <v>49.2</v>
      </c>
      <c r="U12" s="1">
        <v>63.7</v>
      </c>
      <c r="V12" s="1">
        <v>79.3</v>
      </c>
      <c r="W12" s="1">
        <v>134.69999999999999</v>
      </c>
      <c r="X12" s="1">
        <v>372.1</v>
      </c>
      <c r="Y12" s="1">
        <v>322.10000000000002</v>
      </c>
      <c r="Z12" s="1">
        <v>338.1</v>
      </c>
      <c r="AA12" s="1">
        <v>201.6</v>
      </c>
      <c r="AB12" s="1">
        <v>313.10000000000002</v>
      </c>
    </row>
    <row r="13" spans="2:32" ns3:dyDescent="0.2">
      <c r="B13">
        <v>1987</v>
      </c>
      <c r="C13" s="11">
        <f t="shared" si="0"/>
        <v>49.887755725190843</v>
      </c>
      <c r="D13" s="11">
        <f t="shared" si="1"/>
        <v>28.62412213740458</v>
      </c>
      <c r="E13" s="11">
        <f t="shared" si="2"/>
        <v>25.066552671755726</v>
      </c>
      <c r="F13" s="11">
        <f t="shared" si="3"/>
        <v>18.4012213740458</v>
      </c>
      <c r="G13" s="11">
        <f t="shared" si="4"/>
        <v>22.572164885496186</v>
      </c>
      <c r="H13" s="11">
        <f t="shared" si="5"/>
        <v>48.278473282442746</v>
      </c>
      <c r="I13" s="11">
        <f t="shared" si="6"/>
        <v>88.448537404580165</v>
      </c>
      <c r="J13" s="11">
        <f t="shared" si="7"/>
        <v>81.90588091603054</v>
      </c>
      <c r="K13" s="11">
        <f t="shared" si="8"/>
        <v>147.13062595419848</v>
      </c>
      <c r="L13" s="11">
        <f t="shared" si="9"/>
        <v>109.26236335877863</v>
      </c>
      <c r="M13" s="11">
        <f t="shared" si="10"/>
        <v>86.0702290076336</v>
      </c>
      <c r="N13" s="11">
        <f t="shared" si="11"/>
        <v>80.188433587786264</v>
      </c>
      <c r="O13" s="10">
        <f t="shared" si="12"/>
        <v>785.83636030534353</v>
      </c>
      <c r="Q13" s="1">
        <v>122</v>
      </c>
      <c r="R13" s="1">
        <v>77.5</v>
      </c>
      <c r="S13" s="1">
        <v>61.3</v>
      </c>
      <c r="T13" s="1">
        <v>46.5</v>
      </c>
      <c r="U13" s="1">
        <v>55.2</v>
      </c>
      <c r="V13" s="1">
        <v>122</v>
      </c>
      <c r="W13" s="1">
        <v>216.3</v>
      </c>
      <c r="X13" s="1">
        <v>200.3</v>
      </c>
      <c r="Y13" s="1">
        <v>371.8</v>
      </c>
      <c r="Z13" s="1">
        <v>267.2</v>
      </c>
      <c r="AA13" s="1">
        <v>217.5</v>
      </c>
      <c r="AB13" s="1">
        <v>196.1</v>
      </c>
    </row>
    <row r="14" spans="2:32" ns3:dyDescent="0.2">
      <c r="B14">
        <v>1988</v>
      </c>
      <c r="C14" s="11">
        <f t="shared" si="0"/>
        <v>42.690833587786258</v>
      </c>
      <c r="D14" s="11">
        <f t="shared" si="1"/>
        <v>26.662644274809168</v>
      </c>
      <c r="E14" s="11">
        <f t="shared" si="2"/>
        <v>20.282235114503816</v>
      </c>
      <c r="F14" s="11">
        <f t="shared" si="3"/>
        <v>19.430106870229011</v>
      </c>
      <c r="G14" s="11">
        <f t="shared" si="4"/>
        <v>35.780152671755722</v>
      </c>
      <c r="H14" s="11">
        <f t="shared" si="5"/>
        <v>52.235725190839695</v>
      </c>
      <c r="I14" s="11">
        <f t="shared" si="6"/>
        <v>62.891285496183215</v>
      </c>
      <c r="J14" s="11">
        <f t="shared" si="7"/>
        <v>75.240549618320614</v>
      </c>
      <c r="K14" s="11">
        <f t="shared" si="8"/>
        <v>113.09825954198473</v>
      </c>
      <c r="L14" s="11">
        <f t="shared" si="9"/>
        <v>154.08000000000001</v>
      </c>
      <c r="M14" s="11">
        <f t="shared" si="10"/>
        <v>154.08000000000001</v>
      </c>
      <c r="N14" s="11">
        <f t="shared" si="11"/>
        <v>88.734778625954192</v>
      </c>
      <c r="O14" s="10">
        <f t="shared" si="12"/>
        <v>845.20657099236644</v>
      </c>
      <c r="Q14" s="1">
        <v>104.4</v>
      </c>
      <c r="R14" s="1">
        <v>69.7</v>
      </c>
      <c r="S14" s="1">
        <v>49.6</v>
      </c>
      <c r="T14" s="1">
        <v>49.1</v>
      </c>
      <c r="U14" s="1">
        <v>87.5</v>
      </c>
      <c r="V14" s="1">
        <v>132</v>
      </c>
      <c r="W14" s="1">
        <v>153.80000000000001</v>
      </c>
      <c r="X14" s="1">
        <v>184</v>
      </c>
      <c r="Y14" s="1">
        <v>285.8</v>
      </c>
      <c r="Z14" s="1">
        <v>542.9</v>
      </c>
      <c r="AA14" s="1">
        <v>514.20000000000005</v>
      </c>
      <c r="AB14" s="1">
        <v>217</v>
      </c>
    </row>
    <row r="15" spans="2:32" ns3:dyDescent="0.2">
      <c r="B15">
        <v>1989</v>
      </c>
      <c r="C15" s="11">
        <f t="shared" si="0"/>
        <v>53.404433587786258</v>
      </c>
      <c r="D15" s="11">
        <f t="shared" si="1"/>
        <v>28.771859541984732</v>
      </c>
      <c r="E15" s="11">
        <f t="shared" si="2"/>
        <v>29.033038167938933</v>
      </c>
      <c r="F15" s="11">
        <f t="shared" si="3"/>
        <v>29.402381679389311</v>
      </c>
      <c r="G15" s="11">
        <f t="shared" si="4"/>
        <v>62.727719083969468</v>
      </c>
      <c r="H15" s="11">
        <f t="shared" si="5"/>
        <v>96.517374045801532</v>
      </c>
      <c r="I15" s="11">
        <f t="shared" si="6"/>
        <v>114.8236213740458</v>
      </c>
      <c r="J15" s="11">
        <f t="shared" si="7"/>
        <v>154.08000000000001</v>
      </c>
      <c r="K15" s="11">
        <f t="shared" si="8"/>
        <v>154.08000000000001</v>
      </c>
      <c r="L15" s="11">
        <f t="shared" si="9"/>
        <v>154.08000000000001</v>
      </c>
      <c r="M15" s="11">
        <f t="shared" si="10"/>
        <v>96.438229007633595</v>
      </c>
      <c r="N15" s="11">
        <f t="shared" si="11"/>
        <v>57.043786259541989</v>
      </c>
      <c r="O15" s="10">
        <f t="shared" si="12"/>
        <v>1030.4024427480917</v>
      </c>
      <c r="Q15" s="1">
        <v>130.6</v>
      </c>
      <c r="R15" s="1">
        <v>77.900000000000006</v>
      </c>
      <c r="S15" s="1">
        <v>71</v>
      </c>
      <c r="T15" s="1">
        <v>74.3</v>
      </c>
      <c r="U15" s="1">
        <v>153.4</v>
      </c>
      <c r="V15" s="1">
        <v>243.9</v>
      </c>
      <c r="W15" s="1">
        <v>280.8</v>
      </c>
      <c r="X15" s="1">
        <v>377.7</v>
      </c>
      <c r="Y15" s="1">
        <v>478.9</v>
      </c>
      <c r="Z15" s="1">
        <v>434.1</v>
      </c>
      <c r="AA15" s="1">
        <v>243.7</v>
      </c>
      <c r="AB15" s="1">
        <v>139.5</v>
      </c>
    </row>
    <row r="16" spans="2:32" ns3:dyDescent="0.2">
      <c r="B16">
        <v>1990</v>
      </c>
      <c r="C16" s="11">
        <f t="shared" si="0"/>
        <v>30.66870229007634</v>
      </c>
      <c r="D16" s="11">
        <f t="shared" si="1"/>
        <v>17.987029007633588</v>
      </c>
      <c r="E16" s="11">
        <f t="shared" si="2"/>
        <v>15.49791755725191</v>
      </c>
      <c r="F16" s="11">
        <f t="shared" si="3"/>
        <v>16.976610687022902</v>
      </c>
      <c r="G16" s="11">
        <f t="shared" si="4"/>
        <v>24.044262595419845</v>
      </c>
      <c r="H16" s="11">
        <f t="shared" si="5"/>
        <v>124.21813740458016</v>
      </c>
      <c r="I16" s="11">
        <f t="shared" si="6"/>
        <v>104.1100213740458</v>
      </c>
      <c r="J16" s="11">
        <f t="shared" si="7"/>
        <v>154.0386687022901</v>
      </c>
      <c r="K16" s="11">
        <f t="shared" si="8"/>
        <v>154.08000000000001</v>
      </c>
      <c r="L16" s="11">
        <f t="shared" si="9"/>
        <v>152.81192061068703</v>
      </c>
      <c r="M16" s="11">
        <f t="shared" si="10"/>
        <v>154.08000000000001</v>
      </c>
      <c r="N16" s="11">
        <f t="shared" si="11"/>
        <v>109.18058015267175</v>
      </c>
      <c r="O16" s="10">
        <f t="shared" si="12"/>
        <v>1057.6938503816796</v>
      </c>
      <c r="Q16" s="1">
        <v>75</v>
      </c>
      <c r="R16" s="1">
        <v>48.7</v>
      </c>
      <c r="S16" s="1">
        <v>37.9</v>
      </c>
      <c r="T16" s="1">
        <v>42.9</v>
      </c>
      <c r="U16" s="1">
        <v>58.8</v>
      </c>
      <c r="V16" s="1">
        <v>313.89999999999998</v>
      </c>
      <c r="W16" s="1">
        <v>254.6</v>
      </c>
      <c r="X16" s="1">
        <v>376.7</v>
      </c>
      <c r="Y16" s="1">
        <v>519.70000000000005</v>
      </c>
      <c r="Z16" s="1">
        <v>373.7</v>
      </c>
      <c r="AA16" s="1">
        <v>526.4</v>
      </c>
      <c r="AB16" s="1">
        <v>267</v>
      </c>
    </row>
    <row r="17" spans="2:28" ns3:dyDescent="0.2">
      <c r="B17">
        <v>1991</v>
      </c>
      <c r="C17" s="11">
        <f t="shared" si="0"/>
        <v>52.750167938931298</v>
      </c>
      <c r="D17" s="11">
        <f t="shared" si="1"/>
        <v>31.283395419847324</v>
      </c>
      <c r="E17" s="11">
        <f t="shared" si="2"/>
        <v>26.82489160305343</v>
      </c>
      <c r="F17" s="11">
        <f t="shared" si="3"/>
        <v>22.714625954198471</v>
      </c>
      <c r="G17" s="11">
        <f t="shared" si="4"/>
        <v>29.482845801526715</v>
      </c>
      <c r="H17" s="11">
        <f t="shared" si="5"/>
        <v>35.7735572519084</v>
      </c>
      <c r="I17" s="11">
        <f t="shared" si="6"/>
        <v>52.014119083969469</v>
      </c>
      <c r="J17" s="11">
        <f t="shared" si="7"/>
        <v>77.326021374045808</v>
      </c>
      <c r="K17" s="11">
        <f t="shared" si="8"/>
        <v>115.90790839694657</v>
      </c>
      <c r="L17" s="11">
        <f t="shared" si="9"/>
        <v>139.4812580152672</v>
      </c>
      <c r="M17" s="11">
        <f t="shared" si="10"/>
        <v>63.672183206106872</v>
      </c>
      <c r="N17" s="11">
        <f t="shared" si="11"/>
        <v>39.542180152671754</v>
      </c>
      <c r="O17" s="10">
        <f t="shared" si="12"/>
        <v>686.77315419847332</v>
      </c>
      <c r="Q17" s="1">
        <v>129</v>
      </c>
      <c r="R17" s="1">
        <v>84.7</v>
      </c>
      <c r="S17" s="1">
        <v>65.599999999999994</v>
      </c>
      <c r="T17" s="1">
        <v>57.4</v>
      </c>
      <c r="U17" s="1">
        <v>72.099999999999994</v>
      </c>
      <c r="V17" s="1">
        <v>90.4</v>
      </c>
      <c r="W17" s="1">
        <v>127.2</v>
      </c>
      <c r="X17" s="1">
        <v>189.1</v>
      </c>
      <c r="Y17" s="1">
        <v>292.89999999999998</v>
      </c>
      <c r="Z17" s="1">
        <v>341.1</v>
      </c>
      <c r="AA17" s="1">
        <v>160.9</v>
      </c>
      <c r="AB17" s="1">
        <v>96.7</v>
      </c>
    </row>
    <row r="18" spans="2:28" ns3:dyDescent="0.2">
      <c r="B18">
        <v>1992</v>
      </c>
      <c r="C18" s="11">
        <f t="shared" si="0"/>
        <v>26.661325190839698</v>
      </c>
      <c r="D18" s="11">
        <f t="shared" si="1"/>
        <v>17.36705954198473</v>
      </c>
      <c r="E18" s="11">
        <f t="shared" si="2"/>
        <v>15.129893129770993</v>
      </c>
      <c r="F18" s="11">
        <f t="shared" si="3"/>
        <v>18.638656488549621</v>
      </c>
      <c r="G18" s="11">
        <f t="shared" si="4"/>
        <v>33.940030534351145</v>
      </c>
      <c r="H18" s="11">
        <f t="shared" si="5"/>
        <v>82.350412213740455</v>
      </c>
      <c r="I18" s="11">
        <f t="shared" si="6"/>
        <v>98.753221374045808</v>
      </c>
      <c r="J18" s="11">
        <f t="shared" si="7"/>
        <v>154.08000000000001</v>
      </c>
      <c r="K18" s="11">
        <f t="shared" si="8"/>
        <v>154.08000000000001</v>
      </c>
      <c r="L18" s="11">
        <f t="shared" si="9"/>
        <v>154.08000000000001</v>
      </c>
      <c r="M18" s="11">
        <f t="shared" si="10"/>
        <v>154.08000000000001</v>
      </c>
      <c r="N18" s="11">
        <f t="shared" si="11"/>
        <v>75.485899236641231</v>
      </c>
      <c r="O18" s="10">
        <f t="shared" si="12"/>
        <v>984.64649770992378</v>
      </c>
      <c r="Q18" s="1">
        <v>65.2</v>
      </c>
      <c r="R18" s="1">
        <v>45.4</v>
      </c>
      <c r="S18" s="1">
        <v>37</v>
      </c>
      <c r="T18" s="1">
        <v>47.1</v>
      </c>
      <c r="U18" s="1">
        <v>83</v>
      </c>
      <c r="V18" s="1">
        <v>208.1</v>
      </c>
      <c r="W18" s="1">
        <v>241.5</v>
      </c>
      <c r="X18" s="1">
        <v>396.5</v>
      </c>
      <c r="Y18" s="1">
        <v>408.9</v>
      </c>
      <c r="Z18" s="1">
        <v>471.9</v>
      </c>
      <c r="AA18" s="1">
        <v>474.8</v>
      </c>
      <c r="AB18" s="1">
        <v>184.6</v>
      </c>
    </row>
    <row r="19" spans="2:28" ns3:dyDescent="0.2">
      <c r="B19">
        <v>1993</v>
      </c>
      <c r="C19" s="11">
        <f t="shared" si="0"/>
        <v>43.017966412213745</v>
      </c>
      <c r="D19" s="11">
        <f t="shared" si="1"/>
        <v>25.300030534351144</v>
      </c>
      <c r="E19" s="11">
        <f t="shared" si="2"/>
        <v>24.044262595419845</v>
      </c>
      <c r="F19" s="11">
        <f t="shared" si="3"/>
        <v>20.181984732824429</v>
      </c>
      <c r="G19" s="11">
        <f t="shared" si="4"/>
        <v>34.839645801526714</v>
      </c>
      <c r="H19" s="11">
        <f t="shared" si="5"/>
        <v>47.684885496183206</v>
      </c>
      <c r="I19" s="11">
        <f t="shared" si="6"/>
        <v>79.656842748091606</v>
      </c>
      <c r="J19" s="11">
        <f t="shared" si="7"/>
        <v>87.01733129770993</v>
      </c>
      <c r="K19" s="11">
        <f t="shared" si="8"/>
        <v>103.75914503816794</v>
      </c>
      <c r="L19" s="11">
        <f t="shared" si="9"/>
        <v>154.08000000000001</v>
      </c>
      <c r="M19" s="11">
        <f t="shared" si="10"/>
        <v>104.27358778625954</v>
      </c>
      <c r="N19" s="11">
        <f t="shared" si="11"/>
        <v>154.08000000000001</v>
      </c>
      <c r="O19" s="10">
        <f t="shared" si="12"/>
        <v>877.9356824427482</v>
      </c>
      <c r="Q19" s="1">
        <v>105.2</v>
      </c>
      <c r="R19" s="1">
        <v>68.5</v>
      </c>
      <c r="S19" s="1">
        <v>58.8</v>
      </c>
      <c r="T19" s="1">
        <v>51</v>
      </c>
      <c r="U19" s="1">
        <v>85.2</v>
      </c>
      <c r="V19" s="1">
        <v>120.5</v>
      </c>
      <c r="W19" s="1">
        <v>194.8</v>
      </c>
      <c r="X19" s="1">
        <v>212.8</v>
      </c>
      <c r="Y19" s="1">
        <v>262.2</v>
      </c>
      <c r="Z19" s="1">
        <v>762.3</v>
      </c>
      <c r="AA19" s="1">
        <v>263.5</v>
      </c>
      <c r="AB19" s="1">
        <v>590.4</v>
      </c>
    </row>
    <row r="20" spans="2:28" ns3:dyDescent="0.2">
      <c r="B20">
        <v>1994</v>
      </c>
      <c r="C20" s="11">
        <f t="shared" si="0"/>
        <v>87.426247328244287</v>
      </c>
      <c r="D20" s="11">
        <f t="shared" si="1"/>
        <v>39.482821374045805</v>
      </c>
      <c r="E20" s="11">
        <f t="shared" si="2"/>
        <v>28.2969893129771</v>
      </c>
      <c r="F20" s="11">
        <f t="shared" si="3"/>
        <v>29.204519083969465</v>
      </c>
      <c r="G20" s="11">
        <f t="shared" si="4"/>
        <v>45.921270229007632</v>
      </c>
      <c r="H20" s="11">
        <f t="shared" si="5"/>
        <v>60.664671755725188</v>
      </c>
      <c r="I20" s="11">
        <f t="shared" si="6"/>
        <v>110.57089465648853</v>
      </c>
      <c r="J20" s="11">
        <f t="shared" si="7"/>
        <v>99.32570381679389</v>
      </c>
      <c r="K20" s="11">
        <f t="shared" si="8"/>
        <v>133.91340458015267</v>
      </c>
      <c r="L20" s="11">
        <f t="shared" si="9"/>
        <v>133.02038473282443</v>
      </c>
      <c r="M20" s="11">
        <f t="shared" si="10"/>
        <v>87.811419847328239</v>
      </c>
      <c r="N20" s="11">
        <f t="shared" si="11"/>
        <v>59.497282442748094</v>
      </c>
      <c r="O20" s="10">
        <f t="shared" si="12"/>
        <v>915.13560916030542</v>
      </c>
      <c r="Q20" s="1">
        <v>213.8</v>
      </c>
      <c r="R20" s="1">
        <v>106.9</v>
      </c>
      <c r="S20" s="1">
        <v>69.2</v>
      </c>
      <c r="T20" s="1">
        <v>73.8</v>
      </c>
      <c r="U20" s="1">
        <v>112.3</v>
      </c>
      <c r="V20" s="1">
        <v>153.30000000000001</v>
      </c>
      <c r="W20" s="1">
        <v>270.39999999999998</v>
      </c>
      <c r="X20" s="1">
        <v>242.9</v>
      </c>
      <c r="Y20" s="1">
        <v>338.4</v>
      </c>
      <c r="Z20" s="1">
        <v>325.3</v>
      </c>
      <c r="AA20" s="1">
        <v>221.9</v>
      </c>
      <c r="AB20" s="1">
        <v>145.5</v>
      </c>
    </row>
    <row r="21" spans="2:28" ns3:dyDescent="0.2">
      <c r="B21">
        <v>1995</v>
      </c>
      <c r="C21" s="11">
        <f t="shared" si="0"/>
        <v>33.899138931297713</v>
      </c>
      <c r="D21" s="11">
        <f t="shared" si="1"/>
        <v>20.757105343511451</v>
      </c>
      <c r="E21" s="11">
        <f t="shared" si="2"/>
        <v>17.665172519083974</v>
      </c>
      <c r="F21" s="11">
        <f t="shared" si="3"/>
        <v>15.433282442748093</v>
      </c>
      <c r="G21" s="11">
        <f t="shared" si="4"/>
        <v>22.85840610687023</v>
      </c>
      <c r="H21" s="11">
        <f t="shared" si="5"/>
        <v>31.460152671755726</v>
      </c>
      <c r="I21" s="11">
        <f t="shared" si="6"/>
        <v>66.735096183206096</v>
      </c>
      <c r="J21" s="11">
        <f t="shared" si="7"/>
        <v>69.883749618320607</v>
      </c>
      <c r="K21" s="11">
        <f t="shared" si="8"/>
        <v>130.11444274809162</v>
      </c>
      <c r="L21" s="11">
        <f t="shared" si="9"/>
        <v>154.08000000000001</v>
      </c>
      <c r="M21" s="11">
        <f t="shared" si="10"/>
        <v>110.60519083969466</v>
      </c>
      <c r="N21" s="11">
        <f t="shared" si="11"/>
        <v>90.902033587786264</v>
      </c>
      <c r="O21" s="10">
        <f t="shared" si="12"/>
        <v>764.3937709923664</v>
      </c>
      <c r="Q21" s="1">
        <v>82.9</v>
      </c>
      <c r="R21" s="1">
        <v>56.2</v>
      </c>
      <c r="S21" s="1">
        <v>43.2</v>
      </c>
      <c r="T21" s="1">
        <v>39</v>
      </c>
      <c r="U21" s="1">
        <v>55.9</v>
      </c>
      <c r="V21" s="1">
        <v>79.5</v>
      </c>
      <c r="W21" s="1">
        <v>163.19999999999999</v>
      </c>
      <c r="X21" s="1">
        <v>170.9</v>
      </c>
      <c r="Y21" s="1">
        <v>328.8</v>
      </c>
      <c r="Z21" s="1">
        <v>446.3</v>
      </c>
      <c r="AA21" s="1">
        <v>279.5</v>
      </c>
      <c r="AB21" s="1">
        <v>222.3</v>
      </c>
    </row>
    <row r="22" spans="2:28" ns3:dyDescent="0.2">
      <c r="B22">
        <v>1996</v>
      </c>
      <c r="C22" s="11">
        <f t="shared" si="0"/>
        <v>72.950619847328241</v>
      </c>
      <c r="D22" s="11">
        <f t="shared" si="1"/>
        <v>29.952439694656483</v>
      </c>
      <c r="E22" s="11">
        <f t="shared" si="2"/>
        <v>19.546186259541983</v>
      </c>
      <c r="F22" s="11">
        <f t="shared" si="3"/>
        <v>21.329587786259545</v>
      </c>
      <c r="G22" s="11">
        <f t="shared" si="4"/>
        <v>71.519413740458006</v>
      </c>
      <c r="H22" s="11">
        <f t="shared" si="5"/>
        <v>98.97087022900763</v>
      </c>
      <c r="I22" s="11">
        <f t="shared" si="6"/>
        <v>121.48895267175574</v>
      </c>
      <c r="J22" s="11">
        <f t="shared" si="7"/>
        <v>133.67465038167938</v>
      </c>
      <c r="K22" s="11">
        <f t="shared" si="8"/>
        <v>154.08000000000001</v>
      </c>
      <c r="L22" s="11">
        <f t="shared" si="9"/>
        <v>154.08000000000001</v>
      </c>
      <c r="M22" s="11">
        <f t="shared" si="10"/>
        <v>154.08000000000001</v>
      </c>
      <c r="N22" s="11">
        <f t="shared" si="11"/>
        <v>154.08000000000001</v>
      </c>
      <c r="O22" s="10">
        <f t="shared" si="12"/>
        <v>1185.752720610687</v>
      </c>
      <c r="Q22" s="1">
        <v>178.4</v>
      </c>
      <c r="R22" s="1">
        <v>78.3</v>
      </c>
      <c r="S22" s="1">
        <v>47.8</v>
      </c>
      <c r="T22" s="1">
        <v>53.9</v>
      </c>
      <c r="U22" s="1">
        <v>174.9</v>
      </c>
      <c r="V22" s="1">
        <v>250.1</v>
      </c>
      <c r="W22" s="1">
        <v>297.10000000000002</v>
      </c>
      <c r="X22" s="1">
        <v>326.89999999999998</v>
      </c>
      <c r="Y22" s="1">
        <v>468.8</v>
      </c>
      <c r="Z22" s="1">
        <v>647.6</v>
      </c>
      <c r="AA22" s="1">
        <v>767</v>
      </c>
      <c r="AB22" s="1">
        <v>646</v>
      </c>
    </row>
    <row r="23" spans="2:28" ns3:dyDescent="0.2">
      <c r="B23">
        <v>1997</v>
      </c>
      <c r="C23" s="11">
        <f t="shared" si="0"/>
        <v>124.3513648854962</v>
      </c>
      <c r="D23" s="11">
        <f t="shared" si="1"/>
        <v>47.165166412213743</v>
      </c>
      <c r="E23" s="11">
        <f t="shared" si="2"/>
        <v>25.066552671755726</v>
      </c>
      <c r="F23" s="11">
        <f t="shared" si="3"/>
        <v>39.968244274809159</v>
      </c>
      <c r="G23" s="11">
        <f t="shared" si="4"/>
        <v>55.449013740458021</v>
      </c>
      <c r="H23" s="11">
        <f t="shared" si="5"/>
        <v>51.879572519083972</v>
      </c>
      <c r="I23" s="11">
        <f t="shared" si="6"/>
        <v>120.54844580152673</v>
      </c>
      <c r="J23" s="11">
        <f t="shared" si="7"/>
        <v>154.08000000000001</v>
      </c>
      <c r="K23" s="11">
        <f t="shared" si="8"/>
        <v>154.08000000000001</v>
      </c>
      <c r="L23" s="11">
        <f t="shared" si="9"/>
        <v>154.08000000000001</v>
      </c>
      <c r="M23" s="11">
        <f t="shared" si="10"/>
        <v>113.53355725190841</v>
      </c>
      <c r="N23" s="11">
        <f t="shared" si="11"/>
        <v>47.229801526717559</v>
      </c>
      <c r="O23" s="10">
        <f t="shared" si="12"/>
        <v>1087.4317190839697</v>
      </c>
      <c r="Q23" s="1">
        <v>304.10000000000002</v>
      </c>
      <c r="R23" s="1">
        <v>127.7</v>
      </c>
      <c r="S23" s="1">
        <v>61.3</v>
      </c>
      <c r="T23" s="1">
        <v>101</v>
      </c>
      <c r="U23" s="1">
        <v>135.6</v>
      </c>
      <c r="V23" s="1">
        <v>131.1</v>
      </c>
      <c r="W23" s="1">
        <v>294.8</v>
      </c>
      <c r="X23" s="1">
        <v>416.1</v>
      </c>
      <c r="Y23" s="1">
        <v>434.9</v>
      </c>
      <c r="Z23" s="1">
        <v>402.6</v>
      </c>
      <c r="AA23" s="1">
        <v>286.89999999999998</v>
      </c>
      <c r="AB23" s="1">
        <v>115.5</v>
      </c>
    </row>
    <row r="24" spans="2:28" ns3:dyDescent="0.2">
      <c r="B24">
        <v>1998</v>
      </c>
      <c r="C24" s="11">
        <f t="shared" si="0"/>
        <v>27.438265648854959</v>
      </c>
      <c r="D24" s="11">
        <f t="shared" si="1"/>
        <v>16.620458015267175</v>
      </c>
      <c r="E24" s="11">
        <f t="shared" si="2"/>
        <v>10.918058015267176</v>
      </c>
      <c r="F24" s="11">
        <f t="shared" si="3"/>
        <v>9.7348396946564897</v>
      </c>
      <c r="G24" s="11">
        <f t="shared" si="4"/>
        <v>25.271010687022901</v>
      </c>
      <c r="H24" s="11">
        <f t="shared" si="5"/>
        <v>27.028030534351142</v>
      </c>
      <c r="I24" s="11">
        <f t="shared" si="6"/>
        <v>47.393367938931299</v>
      </c>
      <c r="J24" s="11">
        <f t="shared" si="7"/>
        <v>75.649465648854971</v>
      </c>
      <c r="K24" s="11">
        <f t="shared" si="8"/>
        <v>81.123664122137413</v>
      </c>
      <c r="L24" s="11">
        <f t="shared" si="9"/>
        <v>154.08000000000001</v>
      </c>
      <c r="M24" s="11">
        <f t="shared" si="10"/>
        <v>154.08000000000001</v>
      </c>
      <c r="N24" s="11">
        <f t="shared" si="11"/>
        <v>154.08000000000001</v>
      </c>
      <c r="O24" s="10">
        <f t="shared" si="12"/>
        <v>783.4171603053436</v>
      </c>
      <c r="Q24" s="1">
        <v>67.099999999999994</v>
      </c>
      <c r="R24" s="1">
        <v>45</v>
      </c>
      <c r="S24" s="1">
        <v>26.7</v>
      </c>
      <c r="T24" s="1">
        <v>24.6</v>
      </c>
      <c r="U24" s="1">
        <v>61.8</v>
      </c>
      <c r="V24" s="1">
        <v>68.3</v>
      </c>
      <c r="W24" s="1">
        <v>115.9</v>
      </c>
      <c r="X24" s="1">
        <v>185</v>
      </c>
      <c r="Y24" s="1">
        <v>205</v>
      </c>
      <c r="Z24" s="1">
        <v>427.7</v>
      </c>
      <c r="AA24" s="1">
        <v>957.4</v>
      </c>
      <c r="AB24" s="1">
        <v>867.5</v>
      </c>
    </row>
    <row r="25" spans="2:28" ns3:dyDescent="0.2">
      <c r="B25">
        <v>1999</v>
      </c>
      <c r="C25" s="11">
        <f t="shared" si="0"/>
        <v>135.71923053435114</v>
      </c>
      <c r="D25" s="11">
        <f t="shared" si="1"/>
        <v>57.395981679389308</v>
      </c>
      <c r="E25" s="11">
        <f t="shared" si="2"/>
        <v>39.419505343511453</v>
      </c>
      <c r="F25" s="11">
        <f t="shared" si="3"/>
        <v>48.278473282442746</v>
      </c>
      <c r="G25" s="11">
        <f t="shared" si="4"/>
        <v>146.31015572519084</v>
      </c>
      <c r="H25" s="11">
        <f t="shared" si="5"/>
        <v>154.08000000000001</v>
      </c>
      <c r="I25" s="11">
        <f t="shared" si="6"/>
        <v>125.21008854961832</v>
      </c>
      <c r="J25" s="11">
        <f t="shared" si="7"/>
        <v>154.08000000000001</v>
      </c>
      <c r="K25" s="11">
        <f t="shared" si="8"/>
        <v>154.08000000000001</v>
      </c>
      <c r="L25" s="11">
        <f t="shared" si="9"/>
        <v>154.08000000000001</v>
      </c>
      <c r="M25" s="11">
        <f t="shared" si="10"/>
        <v>154.08000000000001</v>
      </c>
      <c r="N25" s="11">
        <f t="shared" si="11"/>
        <v>154.08000000000001</v>
      </c>
      <c r="O25" s="10">
        <f t="shared" si="12"/>
        <v>1476.8134351145036</v>
      </c>
      <c r="Q25" s="1">
        <v>331.9</v>
      </c>
      <c r="R25" s="1">
        <v>155.4</v>
      </c>
      <c r="S25" s="1">
        <v>96.4</v>
      </c>
      <c r="T25" s="1">
        <v>122</v>
      </c>
      <c r="U25" s="1">
        <v>357.8</v>
      </c>
      <c r="V25" s="1">
        <v>451.4</v>
      </c>
      <c r="W25" s="1">
        <v>306.2</v>
      </c>
      <c r="X25" s="1">
        <v>462.1</v>
      </c>
      <c r="Y25" s="1">
        <v>389.8</v>
      </c>
      <c r="Z25" s="1">
        <v>444.8</v>
      </c>
      <c r="AA25" s="1">
        <v>634</v>
      </c>
      <c r="AB25" s="1">
        <v>662.8</v>
      </c>
    </row>
    <row r="26" spans="2:28" ns3:dyDescent="0.2">
      <c r="B26">
        <v>2000</v>
      </c>
      <c r="C26" s="11">
        <f t="shared" si="0"/>
        <v>94.05068702290076</v>
      </c>
      <c r="D26" s="11">
        <f t="shared" si="1"/>
        <v>49.538198473282442</v>
      </c>
      <c r="E26" s="11">
        <f t="shared" si="2"/>
        <v>35.044103816793893</v>
      </c>
      <c r="F26" s="11">
        <f t="shared" si="3"/>
        <v>44.756519083969465</v>
      </c>
      <c r="G26" s="11">
        <f t="shared" si="4"/>
        <v>65.058540458015273</v>
      </c>
      <c r="H26" s="11">
        <f t="shared" si="5"/>
        <v>101.54308396946567</v>
      </c>
      <c r="I26" s="11">
        <f t="shared" si="6"/>
        <v>139.4812580152672</v>
      </c>
      <c r="J26" s="11">
        <f t="shared" si="7"/>
        <v>138.62253435114502</v>
      </c>
      <c r="K26" s="11">
        <f t="shared" si="8"/>
        <v>154.08000000000001</v>
      </c>
      <c r="L26" s="11">
        <f t="shared" si="9"/>
        <v>154.08000000000001</v>
      </c>
      <c r="M26" s="11">
        <f t="shared" si="10"/>
        <v>154.08000000000001</v>
      </c>
      <c r="N26" s="11">
        <f t="shared" si="11"/>
        <v>154.08000000000001</v>
      </c>
      <c r="O26" s="10">
        <f t="shared" si="12"/>
        <v>1284.4149251908398</v>
      </c>
      <c r="Q26" s="1">
        <v>230</v>
      </c>
      <c r="R26" s="1">
        <v>129.5</v>
      </c>
      <c r="S26" s="1">
        <v>85.7</v>
      </c>
      <c r="T26" s="1">
        <v>113.1</v>
      </c>
      <c r="U26" s="1">
        <v>159.1</v>
      </c>
      <c r="V26" s="1">
        <v>256.60000000000002</v>
      </c>
      <c r="W26" s="1">
        <v>341.1</v>
      </c>
      <c r="X26" s="1">
        <v>339</v>
      </c>
      <c r="Y26" s="1">
        <v>542.5</v>
      </c>
      <c r="Z26" s="1">
        <v>1217.0999999999999</v>
      </c>
      <c r="AA26" s="1">
        <v>526.5</v>
      </c>
      <c r="AB26" s="1">
        <v>551.5</v>
      </c>
    </row>
    <row r="27" spans="2:28" ns3:dyDescent="0.2">
      <c r="B27">
        <v>2001</v>
      </c>
      <c r="C27" s="11">
        <f t="shared" si="0"/>
        <v>89.021019847328247</v>
      </c>
      <c r="D27" s="11">
        <f t="shared" si="1"/>
        <v>39.44588702290077</v>
      </c>
      <c r="E27" s="11">
        <f t="shared" si="2"/>
        <v>37.988299236641225</v>
      </c>
      <c r="F27" s="11">
        <f t="shared" si="3"/>
        <v>32.805618320610684</v>
      </c>
      <c r="G27" s="11">
        <f t="shared" si="4"/>
        <v>39.705746564885487</v>
      </c>
      <c r="H27" s="11">
        <f t="shared" si="5"/>
        <v>68.143877862595417</v>
      </c>
      <c r="I27" s="11">
        <f t="shared" si="6"/>
        <v>79.20703511450381</v>
      </c>
      <c r="J27" s="11">
        <f t="shared" si="7"/>
        <v>154.08000000000001</v>
      </c>
      <c r="K27" s="11">
        <f t="shared" si="8"/>
        <v>154.08000000000001</v>
      </c>
      <c r="L27" s="11">
        <f t="shared" si="9"/>
        <v>140.33998167938933</v>
      </c>
      <c r="M27" s="11">
        <f t="shared" si="10"/>
        <v>117.13465648854962</v>
      </c>
      <c r="N27" s="11">
        <f t="shared" si="11"/>
        <v>72.787053435114501</v>
      </c>
      <c r="O27" s="10">
        <f t="shared" si="12"/>
        <v>1024.7391755725191</v>
      </c>
      <c r="Q27" s="1">
        <v>217.7</v>
      </c>
      <c r="R27" s="1">
        <v>106.8</v>
      </c>
      <c r="S27" s="1">
        <v>92.9</v>
      </c>
      <c r="T27" s="1">
        <v>82.9</v>
      </c>
      <c r="U27" s="1">
        <v>97.1</v>
      </c>
      <c r="V27" s="1">
        <v>172.2</v>
      </c>
      <c r="W27" s="1">
        <v>193.7</v>
      </c>
      <c r="X27" s="1">
        <v>524.1</v>
      </c>
      <c r="Y27" s="1">
        <v>443.7</v>
      </c>
      <c r="Z27" s="1">
        <v>343.2</v>
      </c>
      <c r="AA27" s="1">
        <v>296</v>
      </c>
      <c r="AB27" s="1">
        <v>178</v>
      </c>
    </row>
    <row r="28" spans="2:28" ns3:dyDescent="0.2">
      <c r="B28">
        <v>2002</v>
      </c>
      <c r="C28" s="11">
        <f t="shared" si="0"/>
        <v>40.768928244274811</v>
      </c>
      <c r="D28" s="11">
        <f t="shared" si="1"/>
        <v>22.345282442748093</v>
      </c>
      <c r="E28" s="11">
        <f t="shared" si="2"/>
        <v>16.070399999999999</v>
      </c>
      <c r="F28" s="11">
        <f t="shared" si="3"/>
        <v>15.512427480916031</v>
      </c>
      <c r="G28" s="11">
        <f t="shared" si="4"/>
        <v>17.419822900763357</v>
      </c>
      <c r="H28" s="11">
        <f t="shared" si="5"/>
        <v>48.595053435114501</v>
      </c>
      <c r="I28" s="11">
        <f t="shared" si="6"/>
        <v>46.248403053435119</v>
      </c>
      <c r="J28" s="11">
        <f t="shared" si="7"/>
        <v>154.08000000000001</v>
      </c>
      <c r="K28" s="11">
        <f t="shared" si="8"/>
        <v>154.08000000000001</v>
      </c>
      <c r="L28" s="11">
        <f t="shared" si="9"/>
        <v>123.61531603053436</v>
      </c>
      <c r="M28" s="11">
        <f t="shared" si="10"/>
        <v>136.32732824427484</v>
      </c>
      <c r="N28" s="11">
        <f t="shared" si="11"/>
        <v>73.809343511450379</v>
      </c>
      <c r="O28" s="10">
        <f t="shared" si="12"/>
        <v>848.87230534351147</v>
      </c>
      <c r="Q28" s="1">
        <v>99.7</v>
      </c>
      <c r="R28" s="1">
        <v>60.5</v>
      </c>
      <c r="S28" s="1">
        <v>39.299999999999997</v>
      </c>
      <c r="T28" s="1">
        <v>39.200000000000003</v>
      </c>
      <c r="U28" s="1">
        <v>42.6</v>
      </c>
      <c r="V28" s="1">
        <v>122.8</v>
      </c>
      <c r="W28" s="1">
        <v>113.1</v>
      </c>
      <c r="X28" s="1">
        <v>459.6</v>
      </c>
      <c r="Y28" s="1">
        <v>471.5</v>
      </c>
      <c r="Z28" s="1">
        <v>302.3</v>
      </c>
      <c r="AA28" s="1">
        <v>344.5</v>
      </c>
      <c r="AB28" s="1">
        <v>180.5</v>
      </c>
    </row>
    <row r="29" spans="2:28" ns3:dyDescent="0.2">
      <c r="B29">
        <v>2003</v>
      </c>
      <c r="C29" s="11">
        <f t="shared" si="0"/>
        <v>38.42434132590035</v>
      </c>
      <c r="D29" s="11">
        <f t="shared" si="1"/>
        <v>21.49898389281303</v>
      </c>
      <c r="E29" s="11">
        <f t="shared" si="2"/>
        <v>16.688419301257483</v>
      </c>
      <c r="F29" s="11">
        <f t="shared" si="3"/>
        <v>15.417276645022334</v>
      </c>
      <c r="G29" s="11">
        <f t="shared" si="4"/>
        <v>34.886744761965097</v>
      </c>
      <c r="H29" s="11">
        <f t="shared" si="5"/>
        <v>49.930397714358115</v>
      </c>
      <c r="I29" s="11">
        <f t="shared" si="6"/>
        <v>60.708163213075295</v>
      </c>
      <c r="J29" s="11">
        <f t="shared" si="7"/>
        <v>94.332264926673218</v>
      </c>
      <c r="K29" s="11">
        <f t="shared" si="8"/>
        <v>113.69409141300561</v>
      </c>
      <c r="L29" s="11">
        <f t="shared" si="9"/>
        <v>140.45713385068578</v>
      </c>
      <c r="M29" s="11">
        <f t="shared" si="10"/>
        <v>124.00868147600305</v>
      </c>
      <c r="N29" s="11">
        <f t="shared" si="11"/>
        <v>66.127354242817788</v>
      </c>
      <c r="O29" s="10">
        <f t="shared" si="12"/>
        <v>776.17385276357709</v>
      </c>
      <c r="Q29" s="1">
        <v>93.966336501137732</v>
      </c>
      <c r="R29" s="1">
        <v>58.208641078838177</v>
      </c>
      <c r="S29" s="1">
        <v>40.811359925043504</v>
      </c>
      <c r="T29" s="1">
        <v>38.959553250345792</v>
      </c>
      <c r="U29" s="1">
        <v>85.315180029447191</v>
      </c>
      <c r="V29" s="1">
        <v>126.17442323651453</v>
      </c>
      <c r="W29" s="1">
        <v>148.46119662695759</v>
      </c>
      <c r="X29" s="1">
        <v>230.68859590416278</v>
      </c>
      <c r="Y29" s="1">
        <v>287.30567081604426</v>
      </c>
      <c r="Z29" s="1">
        <v>343.4864944451881</v>
      </c>
      <c r="AA29" s="1">
        <v>313.37070357554785</v>
      </c>
      <c r="AB29" s="1">
        <v>161.71377325659216</v>
      </c>
    </row>
    <row r="30" spans="2:28" ns3:dyDescent="0.2">
      <c r="B30">
        <v>2004</v>
      </c>
      <c r="C30" s="11">
        <f t="shared" si="0"/>
        <v>39.122881125083147</v>
      </c>
      <c r="D30" s="11">
        <f t="shared" si="1"/>
        <v>21.295516011529568</v>
      </c>
      <c r="E30" s="11">
        <f t="shared" si="2"/>
        <v>15.679146558550567</v>
      </c>
      <c r="F30" s="11">
        <f t="shared" si="3"/>
        <v>18.941049646827786</v>
      </c>
      <c r="G30" s="11">
        <f t="shared" si="4"/>
        <v>25.222593189952811</v>
      </c>
      <c r="H30" s="11">
        <f t="shared" si="5"/>
        <v>50.499164828481831</v>
      </c>
      <c r="I30" s="11">
        <f t="shared" si="6"/>
        <v>55.141689069082396</v>
      </c>
      <c r="J30" s="11">
        <f t="shared" si="7"/>
        <v>127.1002373570682</v>
      </c>
      <c r="K30" s="11">
        <f t="shared" si="8"/>
        <v>77.458854771784232</v>
      </c>
      <c r="L30" s="11">
        <f t="shared" si="9"/>
        <v>52.538895568718125</v>
      </c>
      <c r="M30" s="11">
        <f t="shared" si="10"/>
        <v>33.272650673086062</v>
      </c>
      <c r="N30" s="11">
        <f t="shared" si="11"/>
        <v>32.281296126191755</v>
      </c>
      <c r="O30" s="10">
        <f t="shared" si="12"/>
        <v>548.55397492635643</v>
      </c>
      <c r="Q30" s="1">
        <v>95.674608486146425</v>
      </c>
      <c r="R30" s="1">
        <v>55.669552153383883</v>
      </c>
      <c r="S30" s="1">
        <v>38.343193682237988</v>
      </c>
      <c r="T30" s="1">
        <v>47.864149377593364</v>
      </c>
      <c r="U30" s="1">
        <v>61.681595502610094</v>
      </c>
      <c r="V30" s="1">
        <v>127.61170124481328</v>
      </c>
      <c r="W30" s="1">
        <v>134.84844063713024</v>
      </c>
      <c r="X30" s="1">
        <v>310.82233971355907</v>
      </c>
      <c r="Y30" s="1">
        <v>195.73900414937759</v>
      </c>
      <c r="Z30" s="1">
        <v>128.48333556418149</v>
      </c>
      <c r="AA30" s="1">
        <v>84.080193637621022</v>
      </c>
      <c r="AB30" s="1">
        <v>78.943581849819296</v>
      </c>
    </row>
    <row r="31" spans="2:28" ns3:dyDescent="0.2">
      <c r="B31">
        <v>2005</v>
      </c>
      <c r="C31" s="11">
        <f t="shared" si="0"/>
        <v>14.039244400240726</v>
      </c>
      <c r="D31" s="11">
        <f t="shared" si="1"/>
        <v>8.6395380469418104</v>
      </c>
      <c r="E31" s="11">
        <f t="shared" si="2"/>
        <v>7.4673343511450341</v>
      </c>
      <c r="F31" s="11">
        <f t="shared" si="3"/>
        <v>8.3506115865826249</v>
      </c>
      <c r="G31" s="11">
        <f t="shared" si="4"/>
        <v>19.246338221785816</v>
      </c>
      <c r="H31" s="11">
        <f t="shared" si="5"/>
        <v>23.163059770042128</v>
      </c>
      <c r="I31" s="11">
        <f t="shared" si="6"/>
        <v>40.662498419435558</v>
      </c>
      <c r="J31" s="11">
        <f t="shared" si="7"/>
        <v>89.348782110164407</v>
      </c>
      <c r="K31" s="11">
        <f t="shared" si="8"/>
        <v>154.08000000000001</v>
      </c>
      <c r="L31" s="11">
        <f t="shared" si="9"/>
        <v>132.47806607329511</v>
      </c>
      <c r="M31" s="11">
        <f t="shared" si="10"/>
        <v>103.3961506445789</v>
      </c>
      <c r="N31" s="11">
        <f t="shared" si="11"/>
        <v>154.08000000000001</v>
      </c>
      <c r="O31" s="10">
        <f t="shared" si="12"/>
        <v>754.95162362421217</v>
      </c>
      <c r="Q31" s="1">
        <v>34.33282960781689</v>
      </c>
      <c r="R31" s="1">
        <v>23.391606401896855</v>
      </c>
      <c r="S31" s="1">
        <v>18.261290322580635</v>
      </c>
      <c r="T31" s="1">
        <v>21.10204702627939</v>
      </c>
      <c r="U31" s="1">
        <v>47.066724668719047</v>
      </c>
      <c r="V31" s="1">
        <v>58.533195020746888</v>
      </c>
      <c r="W31" s="1">
        <v>99.439726944184187</v>
      </c>
      <c r="X31" s="1">
        <v>218.50153928523628</v>
      </c>
      <c r="Y31" s="1">
        <v>521.1430152143846</v>
      </c>
      <c r="Z31" s="1">
        <v>323.97376522553873</v>
      </c>
      <c r="AA31" s="1">
        <v>261.28271092669434</v>
      </c>
      <c r="AB31" s="1">
        <v>661.06596718383753</v>
      </c>
    </row>
    <row r="32" spans="2:28" ns3:dyDescent="0.2">
      <c r="B32">
        <v>2006</v>
      </c>
      <c r="C32" s="11">
        <f t="shared" si="0"/>
        <v>91.515199645244053</v>
      </c>
      <c r="D32" s="11">
        <f t="shared" si="1"/>
        <v>35.246339640809602</v>
      </c>
      <c r="E32" s="11">
        <f t="shared" si="2"/>
        <v>27.75352671755725</v>
      </c>
      <c r="F32" s="11">
        <f t="shared" si="3"/>
        <v>26.312556105286497</v>
      </c>
      <c r="G32" s="11">
        <f t="shared" si="4"/>
        <v>38.71911006936746</v>
      </c>
      <c r="H32" s="11">
        <f t="shared" si="5"/>
        <v>46.557074175667552</v>
      </c>
      <c r="I32" s="11">
        <f t="shared" si="6"/>
        <v>102.1899112983434</v>
      </c>
      <c r="J32" s="11">
        <f t="shared" si="7"/>
        <v>154.08000000000001</v>
      </c>
      <c r="K32" s="11">
        <f t="shared" si="8"/>
        <v>154.08000000000001</v>
      </c>
      <c r="L32" s="11">
        <f t="shared" si="9"/>
        <v>154.08000000000001</v>
      </c>
      <c r="M32" s="11">
        <f t="shared" si="10"/>
        <v>74.480155180387058</v>
      </c>
      <c r="N32" s="11">
        <f t="shared" si="11"/>
        <v>57.79317920876754</v>
      </c>
      <c r="O32" s="10">
        <f t="shared" si="12"/>
        <v>962.80705204143055</v>
      </c>
      <c r="Q32" s="1">
        <v>223.79949136661759</v>
      </c>
      <c r="R32" s="1">
        <v>95.429697688203902</v>
      </c>
      <c r="S32" s="1">
        <v>67.870967741935488</v>
      </c>
      <c r="T32" s="1">
        <v>66.491991701244814</v>
      </c>
      <c r="U32" s="1">
        <v>94.687190469816628</v>
      </c>
      <c r="V32" s="1">
        <v>117.65001383125866</v>
      </c>
      <c r="W32" s="1">
        <v>249.90439030919555</v>
      </c>
      <c r="X32" s="1">
        <v>400.77760674608487</v>
      </c>
      <c r="Y32" s="1">
        <v>412.92697095435688</v>
      </c>
      <c r="Z32" s="1">
        <v>513.64382278142148</v>
      </c>
      <c r="AA32" s="1">
        <v>188.21181189488243</v>
      </c>
      <c r="AB32" s="1">
        <v>141.33263284700843</v>
      </c>
    </row>
    <row r="33" spans="2:28" ns3:dyDescent="0.2">
      <c r="B33">
        <v>2007</v>
      </c>
      <c r="C33" s="11">
        <f t="shared" si="0"/>
        <v>42.527923980868508</v>
      </c>
      <c r="D33" s="11">
        <f t="shared" si="1"/>
        <v>18.295771283773082</v>
      </c>
      <c r="E33" s="11">
        <f t="shared" si="2"/>
        <v>16.548128974058471</v>
      </c>
      <c r="F33" s="11">
        <f t="shared" si="3"/>
        <v>15.790174020461819</v>
      </c>
      <c r="G33" s="11">
        <f t="shared" si="4"/>
        <v>47.376427835671976</v>
      </c>
      <c r="H33" s="11">
        <f t="shared" si="5"/>
        <v>65.867954464540247</v>
      </c>
      <c r="I33" s="11">
        <f t="shared" si="6"/>
        <v>101.57753340724082</v>
      </c>
      <c r="J33" s="11">
        <f t="shared" si="7"/>
        <v>154.08000000000001</v>
      </c>
      <c r="K33" s="11">
        <f t="shared" si="8"/>
        <v>154.08000000000001</v>
      </c>
      <c r="L33" s="11">
        <f t="shared" si="9"/>
        <v>154.08000000000001</v>
      </c>
      <c r="M33" s="11">
        <f t="shared" si="10"/>
        <v>154.08000000000001</v>
      </c>
      <c r="N33" s="11">
        <f t="shared" si="11"/>
        <v>131.8627051914732</v>
      </c>
      <c r="O33" s="10">
        <f t="shared" si="12"/>
        <v>1056.1666191580882</v>
      </c>
      <c r="Q33" s="1">
        <v>104.0016062106813</v>
      </c>
      <c r="R33" s="1">
        <v>49.53592175459395</v>
      </c>
      <c r="S33" s="1">
        <v>40.468281354571005</v>
      </c>
      <c r="T33" s="1">
        <v>39.901867219917015</v>
      </c>
      <c r="U33" s="1">
        <v>115.85857314951144</v>
      </c>
      <c r="V33" s="1">
        <v>166.44872752420471</v>
      </c>
      <c r="W33" s="1">
        <v>248.40682639539551</v>
      </c>
      <c r="X33" s="1">
        <v>876.28871636996382</v>
      </c>
      <c r="Y33" s="1">
        <v>617.21410788381741</v>
      </c>
      <c r="Z33" s="1">
        <v>697.26863873644754</v>
      </c>
      <c r="AA33" s="1">
        <v>735.29917012448129</v>
      </c>
      <c r="AB33" s="1">
        <v>322.4689064382278</v>
      </c>
    </row>
    <row r="34" spans="2:28" ns3:dyDescent="0.2">
      <c r="B34">
        <v>2008</v>
      </c>
      <c r="C34" s="11">
        <f t="shared" si="0"/>
        <v>68.739857514807895</v>
      </c>
      <c r="D34" s="11">
        <f t="shared" si="1"/>
        <v>39.123942960311688</v>
      </c>
      <c r="E34" s="11">
        <f t="shared" si="2"/>
        <v>30.559628823920693</v>
      </c>
      <c r="F34" s="11">
        <f t="shared" si="3"/>
        <v>27.091532659719363</v>
      </c>
      <c r="G34" s="11">
        <f t="shared" si="4"/>
        <v>70.343573532672409</v>
      </c>
      <c r="H34" s="11">
        <f t="shared" si="5"/>
        <v>65.967712242247643</v>
      </c>
      <c r="I34" s="11">
        <f t="shared" si="6"/>
        <v>72.112859218903424</v>
      </c>
      <c r="J34" s="11">
        <f t="shared" si="7"/>
        <v>117.96871711380696</v>
      </c>
      <c r="K34" s="11">
        <f t="shared" si="8"/>
        <v>136.73563672991037</v>
      </c>
      <c r="L34" s="11">
        <f t="shared" si="9"/>
        <v>154.08000000000001</v>
      </c>
      <c r="M34" s="11">
        <f t="shared" si="10"/>
        <v>154.08000000000001</v>
      </c>
      <c r="N34" s="11">
        <f t="shared" si="11"/>
        <v>154.08000000000001</v>
      </c>
      <c r="O34" s="10">
        <f t="shared" si="12"/>
        <v>1090.8834607963004</v>
      </c>
      <c r="Q34" s="1">
        <v>168.10262347744612</v>
      </c>
      <c r="R34" s="1">
        <v>102.27563313778796</v>
      </c>
      <c r="S34" s="1">
        <v>74.733261946191959</v>
      </c>
      <c r="T34" s="1">
        <v>68.460470262793919</v>
      </c>
      <c r="U34" s="1">
        <v>172.02449471288986</v>
      </c>
      <c r="V34" s="1">
        <v>166.70081604426005</v>
      </c>
      <c r="W34" s="1">
        <v>176.35126489091152</v>
      </c>
      <c r="X34" s="1">
        <v>288.49129969214295</v>
      </c>
      <c r="Y34" s="1">
        <v>345.5317980636238</v>
      </c>
      <c r="Z34" s="1">
        <v>398.60503279346807</v>
      </c>
      <c r="AA34" s="1">
        <v>543.79918395573998</v>
      </c>
      <c r="AB34" s="1">
        <v>422.01270244947131</v>
      </c>
    </row>
    <row r="35" spans="2:28" ns3:dyDescent="0.2">
      <c r="B35">
        <v>2009</v>
      </c>
      <c r="C35" s="11">
        <f t="shared" si="0"/>
        <v>68.697893129770989</v>
      </c>
      <c r="D35" s="11">
        <f t="shared" si="1"/>
        <v>37.673038167938934</v>
      </c>
      <c r="E35" s="11">
        <f t="shared" si="2"/>
        <v>30.546027480916031</v>
      </c>
      <c r="F35" s="11">
        <f t="shared" si="3"/>
        <v>27.107175572519086</v>
      </c>
      <c r="G35" s="11">
        <f t="shared" si="4"/>
        <v>70.333557251908388</v>
      </c>
      <c r="H35" s="11">
        <f t="shared" si="5"/>
        <v>66.086106870229003</v>
      </c>
      <c r="I35" s="11">
        <f t="shared" si="6"/>
        <v>71.969221374045802</v>
      </c>
      <c r="J35" s="11">
        <f t="shared" si="7"/>
        <v>117.76781679389313</v>
      </c>
      <c r="K35" s="11">
        <f t="shared" si="8"/>
        <v>136.92091603053436</v>
      </c>
      <c r="L35" s="11">
        <f t="shared" si="9"/>
        <v>154.08000000000001</v>
      </c>
      <c r="M35" s="11">
        <f t="shared" si="10"/>
        <v>154.08000000000001</v>
      </c>
      <c r="N35" s="11">
        <f t="shared" si="11"/>
        <v>154.08000000000001</v>
      </c>
      <c r="O35" s="10">
        <f t="shared" ref="O35:O51" si="13">SUM(C35:N35)</f>
        <v>1089.3417526717558</v>
      </c>
      <c r="Q35" s="1">
        <v>168</v>
      </c>
      <c r="R35" s="1">
        <v>102</v>
      </c>
      <c r="S35" s="1">
        <v>74.7</v>
      </c>
      <c r="T35" s="1">
        <v>68.5</v>
      </c>
      <c r="U35" s="1">
        <v>172</v>
      </c>
      <c r="V35" s="1">
        <v>167</v>
      </c>
      <c r="W35" s="1">
        <v>176</v>
      </c>
      <c r="X35" s="1">
        <v>288</v>
      </c>
      <c r="Y35" s="1">
        <v>346</v>
      </c>
      <c r="Z35" s="1">
        <v>399</v>
      </c>
      <c r="AA35" s="1">
        <v>544</v>
      </c>
      <c r="AB35" s="1">
        <v>422</v>
      </c>
    </row>
    <row r="36" spans="2:28" ns3:dyDescent="0.2">
      <c r="B36">
        <v>2010</v>
      </c>
      <c r="C36" s="11">
        <f t="shared" si="0"/>
        <v>29.881800654307554</v>
      </c>
      <c r="D36" s="11">
        <f t="shared" si="1"/>
        <v>15.732912540894221</v>
      </c>
      <c r="E36" s="11">
        <f t="shared" si="2"/>
        <v>26.740532606324976</v>
      </c>
      <c r="F36" s="11">
        <f t="shared" si="3"/>
        <v>20.17440523446022</v>
      </c>
      <c r="G36" s="11">
        <f t="shared" si="4"/>
        <v>20.474312758996724</v>
      </c>
      <c r="H36" s="11">
        <f t="shared" si="5"/>
        <v>33.480509269356553</v>
      </c>
      <c r="I36" s="11">
        <f t="shared" si="6"/>
        <v>58.070839694656499</v>
      </c>
      <c r="J36" s="11">
        <f t="shared" si="7"/>
        <v>68.641165321701195</v>
      </c>
      <c r="K36" s="11">
        <f t="shared" si="8"/>
        <v>82.760196292257348</v>
      </c>
      <c r="L36" s="11">
        <f t="shared" si="9"/>
        <v>67.396096183206154</v>
      </c>
      <c r="M36" s="11">
        <f t="shared" si="10"/>
        <v>154.08000000000001</v>
      </c>
      <c r="N36" s="11">
        <f t="shared" si="11"/>
        <v>127.51798920392579</v>
      </c>
      <c r="O36" s="10">
        <f t="shared" si="13"/>
        <v>704.95075976008729</v>
      </c>
      <c r="Q36" s="1">
        <v>73.075640040962696</v>
      </c>
      <c r="R36" s="1">
        <v>42.596964758125473</v>
      </c>
      <c r="S36" s="1">
        <v>65.393700930192864</v>
      </c>
      <c r="T36" s="1">
        <v>50.980846560846622</v>
      </c>
      <c r="U36" s="1">
        <v>50.069723928998123</v>
      </c>
      <c r="V36" s="1">
        <v>84.605453593474309</v>
      </c>
      <c r="W36" s="1">
        <v>142.01164874551975</v>
      </c>
      <c r="X36" s="1">
        <v>167.86127272145416</v>
      </c>
      <c r="Y36" s="1">
        <v>209.13552689594354</v>
      </c>
      <c r="Z36" s="1">
        <v>164.81646878733582</v>
      </c>
      <c r="AA36" s="1">
        <v>523.56312632275115</v>
      </c>
      <c r="AB36" s="1">
        <v>311.84394761264713</v>
      </c>
    </row>
    <row r="37" spans="2:28" ht="15" ns3:dyDescent="0.25">
      <c r="B37" s="9">
        <v>2011</v>
      </c>
      <c r="C37" s="1">
        <f>'[1]2011'!C5</f>
        <v>45.438943999999999</v>
      </c>
      <c r="D37" s="1">
        <f>'[1]2011'!D5</f>
        <v>38.327629999999999</v>
      </c>
      <c r="E37" s="1">
        <f>'[1]2011'!E5</f>
        <v>40.162329999999997</v>
      </c>
      <c r="F37" s="1">
        <f>'[1]2011'!F5</f>
        <v>47.265079999999998</v>
      </c>
      <c r="G37" s="1">
        <f>'[1]2011'!G5</f>
        <v>44.839829999999999</v>
      </c>
      <c r="H37" s="1">
        <f>'[1]2011'!H5</f>
        <v>120.19458</v>
      </c>
      <c r="I37" s="1">
        <f>'[1]2011'!I5</f>
        <v>109.09842</v>
      </c>
      <c r="J37" s="1">
        <f>'[1]2011'!J5</f>
        <v>134.28808000000001</v>
      </c>
      <c r="K37" s="1">
        <f>'[1]2011'!K5</f>
        <v>139.98535999999999</v>
      </c>
      <c r="L37" s="1">
        <f>'[1]2011'!L5</f>
        <v>153.80945800000001</v>
      </c>
      <c r="M37" s="1">
        <f>'[1]2011'!M5</f>
        <v>121.84898</v>
      </c>
      <c r="N37" s="1">
        <f>'[1]2011'!N5</f>
        <v>111.80434</v>
      </c>
      <c r="O37" s="7">
        <f t="shared" si="13"/>
        <v>1107.063032</v>
      </c>
      <c r="Q37" s="1">
        <v>138.14023297491042</v>
      </c>
      <c r="R37" s="1">
        <v>89.401537698412724</v>
      </c>
      <c r="S37" s="1">
        <v>119.4897700119474</v>
      </c>
      <c r="T37" s="1">
        <v>127.35358796296298</v>
      </c>
      <c r="U37" s="1">
        <v>113.12716547192353</v>
      </c>
      <c r="V37" s="1">
        <v>299.59664351851848</v>
      </c>
      <c r="W37" s="1">
        <v>287.3074970131421</v>
      </c>
      <c r="X37" s="1">
        <v>329.96972072879339</v>
      </c>
      <c r="Y37" s="1">
        <v>378.19711293105644</v>
      </c>
      <c r="Z37" s="1">
        <v>683.250186678614</v>
      </c>
      <c r="AA37" s="1">
        <v>383.07581018518516</v>
      </c>
      <c r="AB37" s="1">
        <v>278.49357078853046</v>
      </c>
    </row>
    <row r="38" spans="2:28" ht="15" ns3:dyDescent="0.25">
      <c r="B38" s="9">
        <v>2012</v>
      </c>
      <c r="C38" s="1">
        <f>'[1]2012'!C5</f>
        <v>59.674320000000016</v>
      </c>
      <c r="D38" s="1">
        <f>'[1]2012'!D5</f>
        <v>45.210730000000012</v>
      </c>
      <c r="E38" s="1">
        <f>'[1]2012'!E5</f>
        <v>53.45089999999994</v>
      </c>
      <c r="F38" s="1">
        <f>'[1]2012'!F5</f>
        <v>68.856030000000075</v>
      </c>
      <c r="G38" s="1">
        <f>'[1]2012'!G5</f>
        <v>89.703590000000005</v>
      </c>
      <c r="H38" s="1">
        <f>'[1]2012'!H5</f>
        <v>59.162539999999971</v>
      </c>
      <c r="I38" s="1">
        <f>'[1]2012'!I5</f>
        <v>85.503100000000003</v>
      </c>
      <c r="J38" s="1">
        <f>'[1]2012'!J5</f>
        <v>70.413399999999996</v>
      </c>
      <c r="K38" s="1">
        <f>'[1]2012'!K5</f>
        <v>128.244</v>
      </c>
      <c r="L38" s="1">
        <f>'[1]2012'!L5</f>
        <v>162.03149999999999</v>
      </c>
      <c r="M38" s="1">
        <f>'[1]2012'!M5</f>
        <v>98.273500000000027</v>
      </c>
      <c r="N38" s="1">
        <f>'[1]2012'!N5</f>
        <v>51.891899999999985</v>
      </c>
      <c r="O38" s="7">
        <f t="shared" si="13"/>
        <v>972.41551000000015</v>
      </c>
      <c r="Q38" s="1">
        <v>149.43791069295096</v>
      </c>
      <c r="R38" s="1">
        <v>119.94284802043421</v>
      </c>
      <c r="S38" s="1">
        <v>131.32459677419348</v>
      </c>
      <c r="T38" s="1">
        <v>178.58927469135804</v>
      </c>
      <c r="U38" s="1">
        <v>222.09613948626043</v>
      </c>
      <c r="V38" s="1">
        <v>159.66053950617285</v>
      </c>
      <c r="W38" s="1">
        <v>198.99249551971323</v>
      </c>
      <c r="X38" s="1">
        <v>186.69590053763443</v>
      </c>
      <c r="Y38" s="1">
        <v>341.46844135802468</v>
      </c>
      <c r="Z38" s="1">
        <v>503.63967293906796</v>
      </c>
      <c r="AA38" s="1">
        <v>251.19641203703711</v>
      </c>
      <c r="AB38" s="1">
        <v>120.805667562724</v>
      </c>
    </row>
    <row r="39" spans="2:28" ht="15" ns3:dyDescent="0.25">
      <c r="B39" s="9">
        <v>2013</v>
      </c>
      <c r="C39" s="1">
        <f>'[1]2013'!C5</f>
        <v>29.3931</v>
      </c>
      <c r="D39" s="1">
        <f>'[1]2013'!D5</f>
        <v>19.736499999999999</v>
      </c>
      <c r="E39" s="1">
        <f>'[1]2013'!E5</f>
        <v>34.728999999999999</v>
      </c>
      <c r="F39" s="1">
        <f>'[1]2013'!F5</f>
        <v>29.226700000000012</v>
      </c>
      <c r="G39" s="1">
        <f>'[1]2013'!G5</f>
        <v>42.762400000000021</v>
      </c>
      <c r="H39" s="1">
        <f>'[1]2013'!H5</f>
        <v>95.330377999999982</v>
      </c>
      <c r="I39" s="1">
        <f>'[1]2013'!I5</f>
        <v>117.224</v>
      </c>
      <c r="J39" s="1">
        <f>'[1]2013'!J5</f>
        <v>109.45139999999996</v>
      </c>
      <c r="K39" s="1">
        <f>'[1]2013'!K5</f>
        <v>92.450600000000094</v>
      </c>
      <c r="L39" s="1">
        <f>'[1]2013'!L5</f>
        <v>144.62429999999995</v>
      </c>
      <c r="M39" s="1">
        <f>'[1]2013'!M5</f>
        <v>108.65509999999998</v>
      </c>
      <c r="N39" s="1">
        <f>'[1]2013'!N5</f>
        <v>73.272799999999918</v>
      </c>
      <c r="O39" s="7">
        <f t="shared" si="13"/>
        <v>896.85627799999997</v>
      </c>
      <c r="Q39" s="1">
        <v>87.389783452807649</v>
      </c>
      <c r="R39" s="1">
        <v>56.888558201058196</v>
      </c>
      <c r="S39" s="1">
        <v>82.588298984479849</v>
      </c>
      <c r="T39" s="1">
        <v>73.786033950617281</v>
      </c>
      <c r="U39" s="1">
        <v>109.71456839904421</v>
      </c>
      <c r="V39" s="1">
        <v>242.06338734567896</v>
      </c>
      <c r="W39" s="1">
        <v>292.04648297491036</v>
      </c>
      <c r="X39" s="1">
        <v>270.01631571087222</v>
      </c>
      <c r="Y39" s="1">
        <v>354.64918981481486</v>
      </c>
      <c r="Z39" s="1">
        <v>491.37925627240139</v>
      </c>
      <c r="AA39" s="1">
        <v>293.03302469135798</v>
      </c>
      <c r="AB39" s="1">
        <v>175.15001493428915</v>
      </c>
    </row>
    <row r="40" spans="2:28" ht="15" ns3:dyDescent="0.25">
      <c r="B40" s="9">
        <v>2014</v>
      </c>
      <c r="C40" s="1">
        <f>'[1]2014'!C5</f>
        <v>42.385599999999975</v>
      </c>
      <c r="D40" s="1">
        <f>'[1]2014'!D5</f>
        <v>40.999900000000139</v>
      </c>
      <c r="E40" s="1">
        <f>'[1]2014'!E5</f>
        <v>41.354299999999931</v>
      </c>
      <c r="F40" s="1">
        <f>'[1]2014'!F5</f>
        <v>30.1175</v>
      </c>
      <c r="G40" s="1">
        <f>'[1]2014'!G5</f>
        <v>46.607299999999952</v>
      </c>
      <c r="H40" s="1">
        <f>'[1]2014'!H5</f>
        <v>74.887100000000089</v>
      </c>
      <c r="I40" s="1">
        <f>'[1]2014'!I5</f>
        <v>157.55799999999999</v>
      </c>
      <c r="J40" s="1">
        <f>'[1]2014'!J5</f>
        <v>156.83119999999994</v>
      </c>
      <c r="K40" s="1">
        <f>'[1]2014'!K5</f>
        <v>126.20710000000021</v>
      </c>
      <c r="L40" s="1">
        <f>'[1]2014'!L5</f>
        <v>121.09479999999982</v>
      </c>
      <c r="M40" s="1">
        <f>'[1]2014'!M5</f>
        <v>59.804499999999997</v>
      </c>
      <c r="N40" s="1">
        <f>'[1]2014'!N5</f>
        <v>38.710599999999857</v>
      </c>
      <c r="O40" s="7">
        <f t="shared" si="13"/>
        <v>936.5578999999999</v>
      </c>
      <c r="Q40" s="1">
        <v>112.5440934886502</v>
      </c>
      <c r="R40" s="1">
        <v>99.778604497354465</v>
      </c>
      <c r="S40" s="1">
        <v>107.20041816009561</v>
      </c>
      <c r="T40" s="1">
        <v>83.122756172839487</v>
      </c>
      <c r="U40" s="1">
        <v>116.29652031063323</v>
      </c>
      <c r="V40" s="1">
        <v>190.05412808641978</v>
      </c>
      <c r="W40" s="1">
        <v>406.1687948028673</v>
      </c>
      <c r="X40" s="1">
        <v>409.37731481481484</v>
      </c>
      <c r="Y40" s="1">
        <v>340.22951388888879</v>
      </c>
      <c r="Z40" s="1">
        <v>303.00462962962968</v>
      </c>
      <c r="AA40" s="1">
        <v>143.02083333333334</v>
      </c>
      <c r="AB40" s="1">
        <v>120.2848342293907</v>
      </c>
    </row>
    <row r="41" spans="2:28" ht="15" ns3:dyDescent="0.25">
      <c r="B41" s="9">
        <v>2015</v>
      </c>
      <c r="C41" s="1">
        <f>'[1]2015'!C5</f>
        <v>42.550300000000043</v>
      </c>
      <c r="D41" s="1">
        <f>'[1]2015'!D5</f>
        <v>28.215899999999905</v>
      </c>
      <c r="E41" s="1">
        <f>'[1]2015'!E5</f>
        <v>25.004600000000327</v>
      </c>
      <c r="F41" s="1">
        <f>'[1]2015'!F5</f>
        <v>36.213099999999855</v>
      </c>
      <c r="G41" s="1">
        <f>'[1]2015'!G5</f>
        <v>26.331800000000044</v>
      </c>
      <c r="H41" s="1">
        <f>'[1]2015'!H5</f>
        <v>52.941454000000142</v>
      </c>
      <c r="I41" s="1">
        <f>'[1]2015'!I5</f>
        <v>82.643899999999675</v>
      </c>
      <c r="J41" s="1">
        <f>'[1]2015'!J5</f>
        <v>94.82080000000029</v>
      </c>
      <c r="K41" s="1">
        <f>'[1]2015'!K5</f>
        <v>80.047099999999872</v>
      </c>
      <c r="L41" s="1">
        <f>'[1]2015'!L5</f>
        <v>72.551099999999863</v>
      </c>
      <c r="M41" s="1">
        <f>'[1]2015'!M5</f>
        <v>43.626400000000132</v>
      </c>
      <c r="N41" s="1">
        <f>'[1]2015'!N5</f>
        <v>32.681399999999904</v>
      </c>
      <c r="O41" s="7">
        <f t="shared" si="13"/>
        <v>617.62785400000007</v>
      </c>
      <c r="Q41" s="1">
        <v>103.0683870967742</v>
      </c>
      <c r="R41" s="1">
        <v>67.287500000000009</v>
      </c>
      <c r="S41" s="1">
        <v>73.099354838709672</v>
      </c>
      <c r="T41" s="1">
        <v>76.455333333333343</v>
      </c>
      <c r="U41" s="1">
        <v>77.667096774193539</v>
      </c>
      <c r="V41" s="1">
        <v>125.206</v>
      </c>
      <c r="W41" s="1">
        <v>207.57806451612907</v>
      </c>
      <c r="X41" s="1">
        <v>233.69064516129032</v>
      </c>
      <c r="Y41" s="1">
        <v>208.90113734567902</v>
      </c>
      <c r="Z41" s="1">
        <v>173.16860812425324</v>
      </c>
      <c r="AA41" s="1">
        <v>115.11288580246914</v>
      </c>
      <c r="AB41" s="1">
        <v>97.740852747909216</v>
      </c>
    </row>
    <row r="42" spans="2:28" ht="15" ns3:dyDescent="0.25">
      <c r="B42" s="9">
        <v>2016</v>
      </c>
      <c r="C42" s="1">
        <f>'[1]2016'!C5</f>
        <v>40.519900000000142</v>
      </c>
      <c r="D42" s="1">
        <f>'[1]2016'!D5</f>
        <v>25.088399999999908</v>
      </c>
      <c r="E42" s="1">
        <f>'[1]2016'!E5</f>
        <v>19.354500000000002</v>
      </c>
      <c r="F42" s="1">
        <f>'[1]2016'!F5</f>
        <v>18.631800000000045</v>
      </c>
      <c r="G42" s="1">
        <f>'[1]2016'!G5</f>
        <v>34.095199999999956</v>
      </c>
      <c r="H42" s="1">
        <f>'[1]2016'!H5</f>
        <v>47.132133000000138</v>
      </c>
      <c r="I42" s="1">
        <f>'[1]2016'!I5</f>
        <v>78.753672000000009</v>
      </c>
      <c r="J42" s="1">
        <f>'[1]2016'!J5</f>
        <v>83.396789999999811</v>
      </c>
      <c r="K42" s="1">
        <f>'[1]2016'!K5</f>
        <v>73.828290000000024</v>
      </c>
      <c r="L42" s="1">
        <f>'[1]2016'!L5</f>
        <v>132.59153199999989</v>
      </c>
      <c r="M42" s="1">
        <f>'[1]2016'!M5</f>
        <v>144.76705800000019</v>
      </c>
      <c r="N42" s="1">
        <f>'[1]2016'!N5</f>
        <v>155.64489400000008</v>
      </c>
      <c r="O42" s="7">
        <f t="shared" si="13"/>
        <v>853.80416900000023</v>
      </c>
      <c r="Q42" s="1">
        <v>89.380077658303463</v>
      </c>
      <c r="R42" s="1">
        <v>56.301843869731805</v>
      </c>
      <c r="S42" s="1">
        <v>58.579711768219845</v>
      </c>
      <c r="T42" s="1">
        <v>60.297955246913581</v>
      </c>
      <c r="U42" s="1">
        <v>74.282482078853064</v>
      </c>
      <c r="V42" s="1">
        <v>132.46199845679013</v>
      </c>
      <c r="W42" s="1">
        <v>182.57258064516125</v>
      </c>
      <c r="X42" s="1">
        <v>204.89195041816009</v>
      </c>
      <c r="Y42" s="1">
        <v>193.66222993827162</v>
      </c>
      <c r="Z42" s="1">
        <v>327.74540770609315</v>
      </c>
      <c r="AA42" s="1">
        <v>586.31107253086418</v>
      </c>
      <c r="AB42" s="1">
        <v>502.26662335722835</v>
      </c>
    </row>
    <row r="43" spans="2:28" ht="15" ns3:dyDescent="0.25">
      <c r="B43" s="9">
        <v>2017</v>
      </c>
      <c r="C43" s="1">
        <f>'[1]2017'!C5</f>
        <v>108.60762999999989</v>
      </c>
      <c r="D43" s="1">
        <f>'[1]2017'!D5</f>
        <v>60.113165999999971</v>
      </c>
      <c r="E43" s="1">
        <f>'[1]2017'!E5</f>
        <v>46.122814999999939</v>
      </c>
      <c r="F43" s="1">
        <f>'[1]2017'!F5</f>
        <v>47.596593000000105</v>
      </c>
      <c r="G43" s="1">
        <f>'[1]2017'!G5</f>
        <v>110.79442499999982</v>
      </c>
      <c r="H43" s="1">
        <f>'[1]2017'!H5</f>
        <v>147.72678699999997</v>
      </c>
      <c r="I43" s="1">
        <f>'[1]2017'!I5</f>
        <v>132.76311200000009</v>
      </c>
      <c r="J43" s="1">
        <f>'[1]2017'!J5</f>
        <v>131.70101400000019</v>
      </c>
      <c r="K43" s="1">
        <f>'[1]2017'!K5</f>
        <v>140.74008200000006</v>
      </c>
      <c r="L43" s="1">
        <f>'[1]2017'!L5</f>
        <v>143.57093799999984</v>
      </c>
      <c r="M43" s="1">
        <f>'[1]2017'!M5</f>
        <v>150.22648000000001</v>
      </c>
      <c r="N43" s="1">
        <f>'[1]2017'!N5</f>
        <v>154.0835330000003</v>
      </c>
      <c r="O43" s="7">
        <f t="shared" si="13"/>
        <v>1374.0465750000003</v>
      </c>
      <c r="Q43" s="1">
        <v>265.17040023894862</v>
      </c>
      <c r="R43" s="1">
        <v>167.97763723544972</v>
      </c>
      <c r="S43" s="1">
        <v>105.82414874551971</v>
      </c>
      <c r="T43" s="1">
        <v>137.94645061728394</v>
      </c>
      <c r="U43" s="1">
        <v>274.45105286738357</v>
      </c>
      <c r="V43" s="1">
        <v>377.66242283950606</v>
      </c>
      <c r="W43" s="1">
        <v>324.05070191158893</v>
      </c>
      <c r="X43" s="1">
        <v>347.81798835125448</v>
      </c>
      <c r="Y43" s="1">
        <v>359.16566358024681</v>
      </c>
      <c r="Z43" s="1">
        <v>415.63728345280759</v>
      </c>
      <c r="AA43" s="1">
        <v>473.73452932098769</v>
      </c>
      <c r="AB43" s="1">
        <v>476.69317502986866</v>
      </c>
    </row>
    <row r="44" spans="2:28" ht="15" ns3:dyDescent="0.25">
      <c r="B44" s="9">
        <v>2018</v>
      </c>
      <c r="C44" s="1">
        <f>'[1]2018'!C5</f>
        <v>84.546728999999814</v>
      </c>
      <c r="D44" s="1">
        <f>'[1]2018'!D5</f>
        <v>51.033550999999974</v>
      </c>
      <c r="E44" s="1">
        <f>'[1]2018'!E5</f>
        <v>46.668175000000282</v>
      </c>
      <c r="F44" s="1">
        <f>'[1]2018'!F5</f>
        <v>40.693681999999569</v>
      </c>
      <c r="G44" s="1">
        <f>'[1]2018'!G5</f>
        <v>41.664416000000202</v>
      </c>
      <c r="H44" s="1">
        <f>'[1]2018'!H5</f>
        <v>62.748268000000088</v>
      </c>
      <c r="I44" s="1">
        <f>'[1]2018'!I5</f>
        <v>93.599611000000024</v>
      </c>
      <c r="J44" s="1">
        <f>'[1]2018'!J5</f>
        <v>113.87151199999987</v>
      </c>
      <c r="K44" s="1">
        <f>'[1]2018'!K5</f>
        <v>131.2371159999997</v>
      </c>
      <c r="L44" s="1">
        <f>'[1]2018'!L5</f>
        <v>110.50994200000027</v>
      </c>
      <c r="M44" s="1">
        <f>'[1]2018'!M5</f>
        <v>56.484308999999655</v>
      </c>
      <c r="N44" s="1">
        <f>'[1]2018'!N5</f>
        <v>83.636537000000004</v>
      </c>
      <c r="O44" s="7">
        <f t="shared" si="13"/>
        <v>916.69384799999932</v>
      </c>
      <c r="Q44" s="1">
        <v>224.46273894862611</v>
      </c>
      <c r="R44" s="1">
        <v>125.70593584656085</v>
      </c>
      <c r="S44" s="1">
        <v>118.27512694145756</v>
      </c>
      <c r="T44" s="1">
        <v>111.48668981481482</v>
      </c>
      <c r="U44" s="1">
        <v>119.52535095579449</v>
      </c>
      <c r="V44" s="1">
        <v>150.98576388888887</v>
      </c>
      <c r="W44" s="1">
        <v>230.32676224611711</v>
      </c>
      <c r="X44" s="1">
        <v>282.68649193548384</v>
      </c>
      <c r="Y44" s="1">
        <v>414.17152777777773</v>
      </c>
      <c r="Z44" s="1">
        <v>266.45848267622455</v>
      </c>
      <c r="AA44" s="1">
        <v>167.84344135802459</v>
      </c>
      <c r="AB44" s="1">
        <v>203.04579779359258</v>
      </c>
    </row>
    <row r="45" spans="2:28" ht="15" ns3:dyDescent="0.25">
      <c r="B45" s="9">
        <v>2019</v>
      </c>
      <c r="C45" s="1">
        <f>'[1]2019'!C5</f>
        <v>91.580513000000266</v>
      </c>
      <c r="D45" s="1">
        <f>'[1]2019'!D5</f>
        <v>37.416697999999862</v>
      </c>
      <c r="E45" s="1">
        <f>'[1]2019'!E5</f>
        <v>43.255247999999902</v>
      </c>
      <c r="F45" s="1">
        <f>'[1]2019'!F5</f>
        <v>33.997204000000139</v>
      </c>
      <c r="G45" s="1">
        <f>'[1]2019'!G5</f>
        <v>39.573388000000037</v>
      </c>
      <c r="H45" s="1">
        <f>'[1]2019'!H5</f>
        <v>49.43702899999964</v>
      </c>
      <c r="I45" s="1">
        <f>'[1]2019'!I5</f>
        <v>43.086667000000133</v>
      </c>
      <c r="J45" s="1">
        <f>'[1]2019'!J5</f>
        <v>123.83850699999998</v>
      </c>
      <c r="K45" s="1">
        <f>'[1]2019'!K5</f>
        <v>139.80565200000024</v>
      </c>
      <c r="L45" s="1">
        <f>'[1]2019'!L5</f>
        <v>110.986784</v>
      </c>
      <c r="M45" s="1">
        <f>'[1]2019'!M5</f>
        <v>138.42449400000001</v>
      </c>
      <c r="N45" s="1">
        <f>'[1]2019'!N5</f>
        <v>63.395966000000016</v>
      </c>
      <c r="O45" s="7">
        <f t="shared" si="13"/>
        <v>914.79815000000019</v>
      </c>
      <c r="Q45" s="1">
        <v>222.57467144563915</v>
      </c>
      <c r="R45" s="1">
        <v>98.437766203703674</v>
      </c>
      <c r="S45" s="1">
        <v>107.94455645161288</v>
      </c>
      <c r="T45" s="1">
        <v>90.475964506172858</v>
      </c>
      <c r="U45" s="1">
        <v>102.79357078853043</v>
      </c>
      <c r="V45" s="1">
        <v>126.9946759259259</v>
      </c>
      <c r="W45" s="1">
        <v>112.86932497013142</v>
      </c>
      <c r="X45" s="1">
        <v>306.62201314217441</v>
      </c>
      <c r="Y45" s="1">
        <v>380.10065586419762</v>
      </c>
      <c r="Z45" s="1">
        <v>268.33363201911584</v>
      </c>
      <c r="AA45" s="1">
        <v>433.133699691358</v>
      </c>
      <c r="AB45" s="1">
        <v>157.37190113500591</v>
      </c>
    </row>
    <row r="46" spans="2:28" ht="15" ns3:dyDescent="0.25">
      <c r="B46" s="9">
        <v>2020</v>
      </c>
      <c r="C46" s="1">
        <f>'[1]2020'!C5</f>
        <v>41.345302000000139</v>
      </c>
      <c r="D46" s="1">
        <f>'[1]2020'!D5</f>
        <v>31.129697999999859</v>
      </c>
      <c r="E46" s="1">
        <f>'[1]2020'!E5</f>
        <v>32.180595999999902</v>
      </c>
      <c r="F46" s="1">
        <f>'[1]2020'!F5</f>
        <v>24.479286000000315</v>
      </c>
      <c r="G46" s="1">
        <f>'[1]2020'!G5</f>
        <v>21.331489000000001</v>
      </c>
      <c r="H46" s="1">
        <f>'[1]2020'!H5</f>
        <v>59.464098999999926</v>
      </c>
      <c r="I46" s="1">
        <f>'[1]2020'!I5</f>
        <v>88.018130999999997</v>
      </c>
      <c r="J46" s="1">
        <f>'[1]2020'!J5</f>
        <v>156.36365299999994</v>
      </c>
      <c r="K46" s="1">
        <f>'[1]2020'!K5</f>
        <v>144.26588499999977</v>
      </c>
      <c r="L46" s="1">
        <f>'[1]2020'!L5</f>
        <v>159.092885</v>
      </c>
      <c r="M46" s="1">
        <f>'[1]2020'!M5</f>
        <v>151.58334699999961</v>
      </c>
      <c r="N46" s="1">
        <f>'[1]2020'!N5</f>
        <v>154.71383700000078</v>
      </c>
      <c r="O46" s="7">
        <f t="shared" si="13"/>
        <v>1063.9682080000002</v>
      </c>
      <c r="Q46" s="1">
        <v>102.58008345280763</v>
      </c>
      <c r="R46" s="1">
        <v>79.424073084291194</v>
      </c>
      <c r="S46" s="1">
        <v>84.231182795698928</v>
      </c>
      <c r="T46" s="1">
        <v>61.948611111111106</v>
      </c>
      <c r="U46" s="1">
        <v>58.83064516129032</v>
      </c>
      <c r="V46" s="1">
        <v>162.83055555555561</v>
      </c>
      <c r="W46" s="1">
        <v>216.80645161290323</v>
      </c>
      <c r="X46" s="1">
        <v>389.22446236559142</v>
      </c>
      <c r="Y46" s="1">
        <v>366.97638777777775</v>
      </c>
      <c r="Z46" s="1">
        <v>441.59005376344089</v>
      </c>
      <c r="AA46" s="1">
        <v>459.68472222222226</v>
      </c>
      <c r="AB46" s="1">
        <v>548.84274193548401</v>
      </c>
    </row>
    <row r="47" spans="2:28" ht="15" ns3:dyDescent="0.25">
      <c r="B47" s="9">
        <v>2021</v>
      </c>
      <c r="C47" s="1">
        <f>'[1]2021'!C5</f>
        <v>84.770697999999385</v>
      </c>
      <c r="D47" s="1">
        <f>'[1]2021'!D5</f>
        <v>51.779504000000657</v>
      </c>
      <c r="E47" s="1">
        <f>'[1]2021'!E5</f>
        <v>43.542483000000004</v>
      </c>
      <c r="F47" s="1">
        <f>'[1]2021'!F5</f>
        <v>34.706387999999336</v>
      </c>
      <c r="G47" s="1">
        <f>'[1]2021'!G5</f>
        <v>42.992444000000134</v>
      </c>
      <c r="H47" s="1">
        <f>'[1]2021'!H5</f>
        <v>39.461503999999721</v>
      </c>
      <c r="I47" s="1">
        <f>'[1]2021'!I5</f>
        <v>62.004547000000166</v>
      </c>
      <c r="J47" s="1">
        <f>'[1]2021'!J5</f>
        <v>69.880805999999865</v>
      </c>
      <c r="K47" s="1">
        <f>'[1]2021'!K5</f>
        <v>133.2786650000005</v>
      </c>
      <c r="L47" s="1">
        <f>'[1]2021'!L5</f>
        <v>157.50553899999989</v>
      </c>
      <c r="M47" s="1">
        <f>'[1]2021'!M5</f>
        <v>157.48852799999995</v>
      </c>
      <c r="N47" s="1">
        <f>'[1]2021'!N5</f>
        <v>142.26362600000016</v>
      </c>
      <c r="O47" s="7">
        <f t="shared" si="13"/>
        <v>1019.6747319999998</v>
      </c>
      <c r="Q47" s="1">
        <v>205.91397849462371</v>
      </c>
      <c r="R47" s="1">
        <v>128.62499999999997</v>
      </c>
      <c r="S47" s="1">
        <v>113.03494623655912</v>
      </c>
      <c r="T47" s="1">
        <v>95.518055555555563</v>
      </c>
      <c r="U47" s="1">
        <v>102.0739247311828</v>
      </c>
      <c r="V47" s="1">
        <v>103.44444444444444</v>
      </c>
      <c r="W47" s="1">
        <v>157.18408602150538</v>
      </c>
      <c r="X47" s="1">
        <v>173.92204301075265</v>
      </c>
      <c r="Y47" s="1">
        <v>375.68194444444447</v>
      </c>
      <c r="Z47" s="1">
        <v>520.12940860215065</v>
      </c>
      <c r="AA47" s="1">
        <v>619.40972222222217</v>
      </c>
      <c r="AB47" s="1">
        <v>493.87096774193554</v>
      </c>
    </row>
    <row r="48" spans="2:28" ht="15" ns3:dyDescent="0.25">
      <c r="B48" s="9">
        <v>2022</v>
      </c>
      <c r="C48" s="1">
        <f>'[1]2022'!C5</f>
        <v>88.530286399999994</v>
      </c>
      <c r="D48" s="1">
        <f>'[1]2022'!D5</f>
        <v>51.253605</v>
      </c>
      <c r="E48" s="1">
        <f>'[1]2022'!E5</f>
        <v>56.609788600000002</v>
      </c>
      <c r="F48" s="1">
        <f>'[1]2022'!F5</f>
        <v>56.4993154</v>
      </c>
      <c r="G48" s="1">
        <f>'[1]2022'!G5</f>
        <v>80.578215700000001</v>
      </c>
      <c r="H48" s="1">
        <f>'[1]2022'!H5</f>
        <v>99.400854399999986</v>
      </c>
      <c r="I48" s="1">
        <f>'[1]2022'!I5</f>
        <v>139.00226599999999</v>
      </c>
      <c r="J48" s="1">
        <f>'[1]2022'!J5</f>
        <v>157.24091799999999</v>
      </c>
      <c r="K48" s="1">
        <f>'[1]2022'!K5</f>
        <v>155.01225790000001</v>
      </c>
      <c r="L48" s="1">
        <f>'[1]2022'!L5</f>
        <v>154.3577477</v>
      </c>
      <c r="M48" s="1">
        <f>'[1]2022'!M5</f>
        <v>124.99818620000001</v>
      </c>
      <c r="N48" s="1">
        <f>'[1]2022'!N5</f>
        <v>115.0416532</v>
      </c>
      <c r="O48" s="7">
        <f t="shared" si="13"/>
        <v>1278.5250944999998</v>
      </c>
      <c r="Q48" s="1">
        <v>222.7177419354839</v>
      </c>
      <c r="R48" s="1">
        <v>141.22767857142861</v>
      </c>
      <c r="S48" s="1">
        <v>140.88844086021504</v>
      </c>
      <c r="T48" s="1">
        <v>139.59305555555557</v>
      </c>
      <c r="U48" s="1">
        <v>219.6935483870968</v>
      </c>
      <c r="V48" s="1">
        <v>258.53333222222227</v>
      </c>
      <c r="W48" s="1">
        <v>336.91397849462368</v>
      </c>
      <c r="X48" s="1">
        <v>459.18413978494618</v>
      </c>
      <c r="Y48" s="1">
        <v>485.4681666666666</v>
      </c>
      <c r="Z48" s="1">
        <v>472.53763440860212</v>
      </c>
      <c r="AA48" s="1">
        <v>327.00972222222219</v>
      </c>
      <c r="AB48" s="1">
        <v>281.70430107526886</v>
      </c>
    </row>
    <row r="49" spans="2:28" ht="15" ns3:dyDescent="0.25">
      <c r="B49" s="9">
        <v>2023</v>
      </c>
      <c r="C49" s="1">
        <f>'[1]2023'!C5</f>
        <v>77.740175000000008</v>
      </c>
      <c r="D49" s="1">
        <f>'[1]2023'!D5</f>
        <v>56.724158600000003</v>
      </c>
      <c r="E49" s="1">
        <f>'[1]2023'!E5</f>
        <v>48.161090799999997</v>
      </c>
      <c r="F49" s="1">
        <f>'[1]2023'!F5</f>
        <v>48.283616699999996</v>
      </c>
      <c r="G49" s="1">
        <f>'[1]2023'!G5</f>
        <v>32.450061300000002</v>
      </c>
      <c r="H49" s="1">
        <f>'[1]2023'!H5</f>
        <v>71.005335399999993</v>
      </c>
      <c r="I49" s="1">
        <f>'[1]2023'!I5</f>
        <v>122.0062195</v>
      </c>
      <c r="J49" s="1">
        <f>'[1]2023'!J5</f>
        <v>136.3989627</v>
      </c>
      <c r="K49" s="1">
        <f>'[1]2023'!K5</f>
        <v>153.81893869999999</v>
      </c>
      <c r="L49" s="1">
        <f>'[1]2023'!L5</f>
        <v>154.06884539999999</v>
      </c>
      <c r="M49" s="1">
        <f>'[1]2023'!M5</f>
        <v>124.3363421</v>
      </c>
      <c r="N49" s="1">
        <f>'[1]2023'!N5</f>
        <v>94.563951599999996</v>
      </c>
      <c r="O49" s="7">
        <f t="shared" si="13"/>
        <v>1119.5576977999999</v>
      </c>
      <c r="Q49" s="1">
        <v>205.4852150537634</v>
      </c>
      <c r="R49" s="1">
        <v>145.83035714285717</v>
      </c>
      <c r="S49" s="1">
        <v>126.83870967741935</v>
      </c>
      <c r="T49" s="1">
        <v>114.52638888888887</v>
      </c>
      <c r="U49" s="1">
        <v>101.15994623655916</v>
      </c>
      <c r="V49" s="1">
        <v>176.75694444444443</v>
      </c>
      <c r="W49" s="1">
        <v>314.22849462365599</v>
      </c>
      <c r="X49" s="1">
        <v>362.17070967741932</v>
      </c>
      <c r="Y49" s="1">
        <v>516.00833666666665</v>
      </c>
      <c r="Z49" s="1">
        <v>438.979835483871</v>
      </c>
      <c r="AA49" s="1">
        <v>336.45694999999995</v>
      </c>
      <c r="AB49" s="1">
        <v>239.06182580645162</v>
      </c>
    </row>
    <row r="50" spans="2:28" ht="15" ns3:dyDescent="0.25">
      <c r="B50" s="9">
        <v>2024</v>
      </c>
      <c r="C50" s="1">
        <f>'[1]2024'!C5</f>
        <v>57.337101000000004</v>
      </c>
      <c r="D50" s="1">
        <f>'[1]2024'!D5</f>
        <v>34.6663651</v>
      </c>
      <c r="E50" s="1">
        <f>'[1]2024'!E5</f>
        <v>20.916935600000002</v>
      </c>
      <c r="F50" s="1">
        <f>'[1]2024'!F5</f>
        <v>29.124926299999998</v>
      </c>
      <c r="G50" s="1">
        <f>'[1]2024'!G5</f>
        <v>40.0913307</v>
      </c>
      <c r="H50" s="1">
        <f>'[1]2024'!H5</f>
        <v>59.6659243</v>
      </c>
      <c r="I50" s="1">
        <f>'[1]2024'!I5</f>
        <v>100.58270630000001</v>
      </c>
      <c r="J50" s="1">
        <f>'[1]2024'!J5</f>
        <v>135.36586209999999</v>
      </c>
      <c r="K50" s="1">
        <f>'[1]2024'!K5</f>
        <v>144.5077186</v>
      </c>
      <c r="L50" s="1">
        <f>'[1]2024'!L5</f>
        <v>141.72220670000002</v>
      </c>
      <c r="M50" s="1">
        <f>'[1]2024'!M5</f>
        <v>98.1990239</v>
      </c>
      <c r="N50" s="1">
        <f>'[1]2024'!N5</f>
        <v>93.2850526</v>
      </c>
      <c r="O50" s="7">
        <f t="shared" si="13"/>
        <v>955.46515320000003</v>
      </c>
      <c r="Q50" s="1">
        <v>136.53628387096776</v>
      </c>
      <c r="R50" s="1">
        <v>89.97844137931034</v>
      </c>
      <c r="S50" s="1">
        <v>71.677425806451595</v>
      </c>
      <c r="T50" s="1">
        <v>76.03</v>
      </c>
      <c r="U50" s="1">
        <v>102.72983548387097</v>
      </c>
      <c r="V50" s="1">
        <v>143.88194333333331</v>
      </c>
      <c r="W50" s="1">
        <v>258.7325225806452</v>
      </c>
      <c r="X50" s="1">
        <v>345.33736774193545</v>
      </c>
      <c r="Y50" s="1">
        <v>421.67</v>
      </c>
      <c r="Z50" s="1">
        <v>344.87018846153848</v>
      </c>
      <c r="AA50" s="1">
        <v>268.59833200000003</v>
      </c>
      <c r="AB50" s="1">
        <v>248.40457096774193</v>
      </c>
    </row>
    <row r="51" spans="2:28" ht="15" ns3:dyDescent="0.25">
      <c r="B51" s="8">
        <v>2025</v>
      </c>
      <c r="C51" s="1">
        <v>77.100018899999995</v>
      </c>
      <c r="D51" s="1">
        <v>43.3261799</v>
      </c>
      <c r="E51" s="1">
        <v>48.253928800000004</v>
      </c>
      <c r="F51" s="1">
        <v>42.578652699999999</v>
      </c>
      <c r="G51" s="1">
        <v>55.543591800000002</v>
      </c>
      <c r="H51" s="1">
        <v>113.2950701</v>
      </c>
      <c r="I51" s="1">
        <v>104.73160349999999</v>
      </c>
      <c r="J51" s="1">
        <v>109.24584849999999</v>
      </c>
      <c r="K51" s="1">
        <v>149.7075327</v>
      </c>
      <c r="L51" s="1">
        <v>152.60726490000002</v>
      </c>
      <c r="M51" s="1">
        <v>142.2572524</v>
      </c>
      <c r="N51" s="1">
        <v>139.88985010000002</v>
      </c>
      <c r="O51" s="7">
        <f t="shared" si="13"/>
        <v>1178.5367943000001</v>
      </c>
      <c r="Q51" s="1">
        <v>206.23252903225804</v>
      </c>
      <c r="R51" s="1">
        <v>121.56</v>
      </c>
      <c r="S51" s="1">
        <v>119.37902903225806</v>
      </c>
      <c r="T51" s="1">
        <v>98.847706896551742</v>
      </c>
      <c r="U51" s="1">
        <v>162.30000000000001</v>
      </c>
      <c r="V51" s="1">
        <v>295.53750666666662</v>
      </c>
      <c r="W51" s="1">
        <v>257.09408387096778</v>
      </c>
      <c r="X51" s="1">
        <v>277.50134193548388</v>
      </c>
      <c r="Y51" s="1">
        <v>488.63750333333331</v>
      </c>
      <c r="Z51" s="1">
        <v>478.22580645161293</v>
      </c>
      <c r="AA51" s="1">
        <v>1109.8374966666668</v>
      </c>
      <c r="AB51" s="1">
        <v>507.7110193548387</v>
      </c>
    </row>
    <row r="52" spans="2:28" ht="15" ns3:dyDescent="0.25">
      <c r="B52" s="9">
        <v>2026</v>
      </c>
      <c r="C52" s="1">
        <v>76.804706400000001</v>
      </c>
      <c r="D52" s="1">
        <v>46.195316300000002</v>
      </c>
      <c r="E52" s="1">
        <v>51.992978799999996</v>
      </c>
      <c r="F52" s="1">
        <v>39.895044199999994</v>
      </c>
      <c r="G52" s="1">
        <v>37.841518600000001</v>
      </c>
      <c r="H52" s="1">
        <v>50.5370651</v>
      </c>
      <c r="I52" s="1">
        <v>61.930177299999997</v>
      </c>
      <c r="J52" s="1">
        <v>61.225473399999998</v>
      </c>
      <c r="K52" s="1">
        <v>128.93</v>
      </c>
      <c r="L52" s="1" t="n">
        <v>107.8024148</v>
      </c>
      <c r="M52" s="1"/>
      <c r="N52" s="1"/>
      <c r="O52" s="7"/>
      <c r="Q52">
        <v>198.1</v>
      </c>
      <c r="R52">
        <v>129.4</v>
      </c>
      <c r="S52">
        <v>125.2</v>
      </c>
      <c r="T52">
        <v>95.68</v>
      </c>
      <c r="U52">
        <v>102.47</v>
      </c>
      <c r="V52">
        <v>149.22</v>
      </c>
      <c r="W52">
        <v>135.53</v>
      </c>
      <c r="X52" s="1">
        <v>162.66999999999999</v>
      </c>
      <c r="Y52" s="1">
        <v>344.33</v>
      </c>
      <c r="Z52" s="1" t="n">
        <v>401.25</v>
      </c>
    </row>
    <row r="53" spans="2:28" ht="15" ns3:dyDescent="0.25"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7"/>
    </row>
    <row r="54" spans="2:28" ht="15" ns3:dyDescent="0.25"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7"/>
    </row>
    <row r="55" spans="2:28" ht="15" ns3:dyDescent="0.25"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3"/>
      <c r="P55" s="2"/>
    </row>
    <row r="56" spans="2:28" ht="15" ns3:dyDescent="0.25">
      <c r="B56" s="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"/>
    </row>
    <row r="58" spans="2:28" ht="15" ns3:dyDescent="0.25">
      <c r="B58" s="1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3"/>
      <c r="P58" s="2"/>
    </row>
    <row r="59" spans="2:28" ht="15" ns3:dyDescent="0.25">
      <c r="B59" s="1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"/>
    </row>
    <row r="60" spans="2:28" ht="15" ns3:dyDescent="0.25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3"/>
      <c r="P60" s="2"/>
    </row>
    <row r="61" spans="2:28" ns3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</sheetData>
  <mergeCells count="3">
    <mergeCell ref="Q1:AB1"/>
    <mergeCell ref="B58:B59"/>
    <mergeCell ref="C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8AB0-85FE-4F17-B356-2047CD2A3B4F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Ky Hai</dc:creator>
  <cp:lastModifiedBy>Le Xuan Anh Minh</cp:lastModifiedBy>
  <dcterms:created xsi:type="dcterms:W3CDTF">2026-07-10T01:43:44Z</dcterms:created>
  <dcterms:modified xsi:type="dcterms:W3CDTF">2026-10-14T03:45:28Z</dcterms:modified>
</cp:coreProperties>
</file>