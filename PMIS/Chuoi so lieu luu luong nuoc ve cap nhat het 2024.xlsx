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5"/>
  <workbookPr/>
  <mc:AlternateContent xmlns:mc="http://schemas.openxmlformats.org/markup-compatibility/2006">
    <mc:Choice Requires="x15">
      <x15ac:absPath xmlns:x15ac="http://schemas.microsoft.com/office/spreadsheetml/2010/11/ac" url="https://evngenco3pm-my.sharepoint.com/personal/haitk_genco3_evn_vn/Documents/KTSX/Thủy điện/Buôn Kuốp/Thủy văn Buôn Kuốp/"/>
    </mc:Choice>
  </mc:AlternateContent>
  <xr:revisionPtr revIDLastSave="0" documentId="8_{CEE3F9CB-00A3-485B-88DA-206E502EDA96}" xr6:coauthVersionLast="47" xr6:coauthVersionMax="47" xr10:uidLastSave="{00000000-0000-0000-0000-000000000000}"/>
  <bookViews>
    <workbookView xWindow="-120" yWindow="-120" windowWidth="20970" windowHeight="12480" xr2:uid="{00000000-000D-0000-FFFF-FFFF00000000}"/>
  </bookViews>
  <sheets>
    <sheet name="Phu luc 1 Q0 - Buôn Tua Srah" sheetId="1" r:id="rId1"/>
    <sheet name="Phu luc 2 Q0 - Buôn Kuốp" sheetId="2" r:id="rId2"/>
    <sheet name="Phu luc 3 Q0 - Srêpốk 3" sheetId="3" r:id="rId3"/>
    <sheet name="SLD" sheetId="5" r:id="rId4"/>
    <sheet name="So năm" sheetId="12" r:id="rId5"/>
    <sheet name="SĐ3T " sheetId="11" r:id="rId6"/>
    <sheet name="SĐ4T " sheetId="9" r:id="rId7"/>
    <sheet name="SĐ5T" sheetId="8" r:id="rId8"/>
    <sheet name="SĐ6T" sheetId="6" r:id="rId9"/>
    <sheet name="SĐ7T" sheetId="13" r:id="rId10"/>
    <sheet name="SĐ8T" sheetId="14"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9" i="1" l="1"/>
  <c r="I60" i="1"/>
  <c r="M71" i="1"/>
  <c r="N72" i="3"/>
  <c r="N71" i="3"/>
  <c r="M72" i="3"/>
  <c r="M71" i="3"/>
  <c r="M70" i="3"/>
  <c r="K71" i="2"/>
  <c r="K70" i="2"/>
  <c r="J71" i="2"/>
  <c r="J70" i="2"/>
  <c r="J69" i="2"/>
  <c r="O55" i="1"/>
  <c r="D64" i="3"/>
  <c r="E64" i="3"/>
  <c r="F64" i="3"/>
  <c r="G64" i="3"/>
  <c r="H64" i="3"/>
  <c r="C64" i="3"/>
  <c r="H64" i="2"/>
  <c r="H59" i="1"/>
  <c r="H60" i="1"/>
  <c r="K72" i="1"/>
  <c r="J72" i="1"/>
  <c r="K70" i="1"/>
  <c r="J70" i="1"/>
  <c r="O54" i="2"/>
  <c r="J72" i="3"/>
  <c r="J70" i="3"/>
  <c r="I72" i="3"/>
  <c r="I70" i="3"/>
  <c r="Q64" i="2"/>
  <c r="T68" i="1"/>
  <c r="P61" i="1"/>
  <c r="H62" i="3"/>
  <c r="G55" i="3"/>
  <c r="G65" i="3" s="1"/>
  <c r="G73" i="2"/>
  <c r="G55" i="2"/>
  <c r="F55" i="2"/>
  <c r="E55" i="2"/>
  <c r="D55" i="2"/>
  <c r="C55" i="2"/>
  <c r="G65" i="2"/>
  <c r="D64" i="2"/>
  <c r="E64" i="2"/>
  <c r="F64" i="2"/>
  <c r="G64" i="2"/>
  <c r="I64" i="2"/>
  <c r="J64" i="2"/>
  <c r="K64" i="2"/>
  <c r="L64" i="2"/>
  <c r="M64" i="2"/>
  <c r="N64" i="2"/>
  <c r="D65" i="2"/>
  <c r="E65" i="2"/>
  <c r="F65" i="2"/>
  <c r="H65" i="2"/>
  <c r="I65" i="2"/>
  <c r="J65" i="2"/>
  <c r="K65" i="2"/>
  <c r="L65" i="2"/>
  <c r="M65" i="2"/>
  <c r="N65" i="2"/>
  <c r="C65" i="2"/>
  <c r="C64" i="2"/>
  <c r="C59" i="3"/>
  <c r="G60" i="1"/>
  <c r="D60" i="1"/>
  <c r="E60" i="1"/>
  <c r="F60" i="1"/>
  <c r="C60" i="1"/>
  <c r="H71" i="3"/>
  <c r="H70" i="3"/>
  <c r="G74" i="2"/>
  <c r="D59" i="1"/>
  <c r="E59" i="1"/>
  <c r="F59" i="1"/>
  <c r="G59" i="1"/>
  <c r="C59" i="1"/>
  <c r="G75" i="1"/>
  <c r="D57" i="2"/>
  <c r="E57" i="2"/>
  <c r="F57" i="2"/>
  <c r="G57" i="2"/>
  <c r="H57" i="2"/>
  <c r="I57" i="2"/>
  <c r="J57" i="2"/>
  <c r="K57" i="2"/>
  <c r="L57" i="2"/>
  <c r="M57" i="2"/>
  <c r="N57" i="2"/>
  <c r="N39" i="12"/>
  <c r="N37" i="12"/>
  <c r="N38" i="12"/>
  <c r="N36" i="12"/>
  <c r="R7" i="1" l="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6" i="1"/>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6" i="2"/>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6" i="3"/>
  <c r="D57" i="3" l="1"/>
  <c r="E57" i="3"/>
  <c r="F57" i="3"/>
  <c r="G57" i="3"/>
  <c r="H57" i="3"/>
  <c r="I57" i="3"/>
  <c r="J57" i="3"/>
  <c r="K57" i="3"/>
  <c r="L57" i="3"/>
  <c r="M57" i="3"/>
  <c r="N57" i="3"/>
  <c r="C57" i="3"/>
  <c r="O54" i="3"/>
  <c r="O55" i="3"/>
  <c r="O56" i="3"/>
  <c r="O64" i="2"/>
  <c r="O55" i="2"/>
  <c r="O65" i="2" s="1"/>
  <c r="O56" i="2"/>
  <c r="C57" i="2"/>
  <c r="O57" i="2" s="1"/>
  <c r="D57" i="1"/>
  <c r="E57" i="1"/>
  <c r="F57" i="1"/>
  <c r="G57" i="1"/>
  <c r="H57" i="1"/>
  <c r="I57" i="1"/>
  <c r="J57" i="1"/>
  <c r="K57" i="1"/>
  <c r="L57" i="1"/>
  <c r="M57" i="1"/>
  <c r="N57" i="1"/>
  <c r="C57" i="1"/>
  <c r="O56" i="1"/>
  <c r="O53" i="1"/>
  <c r="O54" i="1"/>
  <c r="D55" i="1"/>
  <c r="E55" i="1"/>
  <c r="F55" i="1"/>
  <c r="G55" i="1"/>
  <c r="G74" i="1" s="1"/>
  <c r="H75" i="1" s="1"/>
  <c r="H55" i="1"/>
  <c r="I55" i="1"/>
  <c r="J55" i="1"/>
  <c r="K55" i="1"/>
  <c r="L55" i="1"/>
  <c r="M55" i="1"/>
  <c r="N55" i="1"/>
  <c r="C55" i="1"/>
  <c r="G24" i="5"/>
  <c r="D23" i="14"/>
  <c r="E23" i="14"/>
  <c r="F23" i="14"/>
  <c r="G23" i="14"/>
  <c r="H23" i="14"/>
  <c r="I23" i="14"/>
  <c r="J23" i="14"/>
  <c r="C23" i="14"/>
  <c r="O57" i="1" l="1"/>
  <c r="O57" i="3"/>
  <c r="I20" i="14"/>
  <c r="H20" i="14"/>
  <c r="G20" i="14"/>
  <c r="F20" i="14"/>
  <c r="E20" i="14"/>
  <c r="D20" i="14"/>
  <c r="C20" i="14"/>
  <c r="N12" i="14"/>
  <c r="N19" i="14" s="1"/>
  <c r="M12" i="14"/>
  <c r="M19" i="14" s="1"/>
  <c r="L12" i="14"/>
  <c r="L19" i="14" s="1"/>
  <c r="K12" i="14"/>
  <c r="K19" i="14" s="1"/>
  <c r="J12" i="14"/>
  <c r="I12" i="14"/>
  <c r="H12" i="14"/>
  <c r="G12" i="14"/>
  <c r="F12" i="14"/>
  <c r="E12" i="14"/>
  <c r="D12" i="14"/>
  <c r="C12" i="14"/>
  <c r="N11" i="14"/>
  <c r="N18" i="14" s="1"/>
  <c r="M11" i="14"/>
  <c r="M18" i="14" s="1"/>
  <c r="L11" i="14"/>
  <c r="L18" i="14" s="1"/>
  <c r="K11" i="14"/>
  <c r="K18" i="14" s="1"/>
  <c r="J11" i="14"/>
  <c r="O18" i="14" s="1"/>
  <c r="I11" i="14"/>
  <c r="H11" i="14"/>
  <c r="G11" i="14"/>
  <c r="F11" i="14"/>
  <c r="E11" i="14"/>
  <c r="D11" i="14"/>
  <c r="C11" i="14"/>
  <c r="N10" i="14"/>
  <c r="N17" i="14" s="1"/>
  <c r="M10" i="14"/>
  <c r="M17" i="14" s="1"/>
  <c r="L10" i="14"/>
  <c r="K10" i="14"/>
  <c r="J10" i="14"/>
  <c r="I10" i="14"/>
  <c r="H10" i="14"/>
  <c r="G10" i="14"/>
  <c r="G13" i="14" s="1"/>
  <c r="F10" i="14"/>
  <c r="F13" i="14" s="1"/>
  <c r="E10" i="14"/>
  <c r="E13" i="14" s="1"/>
  <c r="D10" i="14"/>
  <c r="D13" i="14" s="1"/>
  <c r="C10" i="14"/>
  <c r="I24" i="6"/>
  <c r="S17" i="6"/>
  <c r="N17" i="6"/>
  <c r="M17" i="6"/>
  <c r="L17" i="6"/>
  <c r="K17" i="6"/>
  <c r="J17" i="6"/>
  <c r="I17" i="6"/>
  <c r="H17" i="6"/>
  <c r="G17" i="6"/>
  <c r="F17" i="6"/>
  <c r="E17" i="6"/>
  <c r="D17" i="6"/>
  <c r="C17" i="6"/>
  <c r="I24" i="8"/>
  <c r="H24" i="8"/>
  <c r="N18" i="8"/>
  <c r="M18" i="8"/>
  <c r="L18" i="8"/>
  <c r="K18" i="8"/>
  <c r="J18" i="8"/>
  <c r="O18" i="8" s="1"/>
  <c r="I18" i="8"/>
  <c r="H18" i="8"/>
  <c r="G18" i="8"/>
  <c r="F18" i="8"/>
  <c r="E18" i="8"/>
  <c r="D18" i="8"/>
  <c r="C18" i="8"/>
  <c r="S17" i="8"/>
  <c r="N17" i="8"/>
  <c r="M17" i="8"/>
  <c r="L17" i="8"/>
  <c r="K17" i="8"/>
  <c r="J17" i="8"/>
  <c r="I17" i="8"/>
  <c r="H17" i="8"/>
  <c r="G17" i="8"/>
  <c r="F17" i="8"/>
  <c r="E17" i="8"/>
  <c r="D17" i="8"/>
  <c r="C17" i="8"/>
  <c r="H24" i="9"/>
  <c r="I24" i="9"/>
  <c r="G24" i="9"/>
  <c r="K19" i="13"/>
  <c r="K20" i="13" s="1"/>
  <c r="L19" i="13"/>
  <c r="M19" i="13"/>
  <c r="N19" i="13"/>
  <c r="J19" i="13"/>
  <c r="K18" i="13"/>
  <c r="L18" i="13"/>
  <c r="M18" i="13"/>
  <c r="N18" i="13"/>
  <c r="J18" i="13"/>
  <c r="K17" i="13"/>
  <c r="L17" i="13"/>
  <c r="M17" i="13"/>
  <c r="N17" i="13"/>
  <c r="J17" i="13"/>
  <c r="N20" i="13"/>
  <c r="M20" i="13"/>
  <c r="L20" i="13"/>
  <c r="H20" i="13"/>
  <c r="G20" i="13"/>
  <c r="F20" i="13"/>
  <c r="E20" i="13"/>
  <c r="D20" i="13"/>
  <c r="C20" i="13"/>
  <c r="O18" i="13"/>
  <c r="I20" i="13"/>
  <c r="E13" i="13"/>
  <c r="C13" i="13"/>
  <c r="N12" i="13"/>
  <c r="O12" i="13" s="1"/>
  <c r="M12" i="13"/>
  <c r="L12" i="13"/>
  <c r="K12" i="13"/>
  <c r="J12" i="13"/>
  <c r="I12" i="13"/>
  <c r="H12" i="13"/>
  <c r="G12" i="13"/>
  <c r="F12" i="13"/>
  <c r="E12" i="13"/>
  <c r="D12" i="13"/>
  <c r="C12" i="13"/>
  <c r="N11" i="13"/>
  <c r="M11" i="13"/>
  <c r="L11" i="13"/>
  <c r="K11" i="13"/>
  <c r="O11" i="13" s="1"/>
  <c r="J11" i="13"/>
  <c r="I11" i="13"/>
  <c r="H11" i="13"/>
  <c r="G11" i="13"/>
  <c r="F11" i="13"/>
  <c r="E11" i="13"/>
  <c r="D11" i="13"/>
  <c r="C11" i="13"/>
  <c r="N10" i="13"/>
  <c r="M10" i="13"/>
  <c r="L10" i="13"/>
  <c r="K10" i="13"/>
  <c r="J10" i="13"/>
  <c r="J13" i="13" s="1"/>
  <c r="I10" i="13"/>
  <c r="I13" i="13" s="1"/>
  <c r="H10" i="13"/>
  <c r="H13" i="13" s="1"/>
  <c r="G10" i="13"/>
  <c r="G13" i="13" s="1"/>
  <c r="F10" i="13"/>
  <c r="E10" i="13"/>
  <c r="D10" i="13"/>
  <c r="C10" i="13"/>
  <c r="N13" i="14" l="1"/>
  <c r="O12" i="14"/>
  <c r="O13" i="14" s="1"/>
  <c r="O11" i="14"/>
  <c r="H13" i="14"/>
  <c r="I13" i="14"/>
  <c r="J13" i="14"/>
  <c r="K13" i="14"/>
  <c r="L13" i="14"/>
  <c r="M13" i="14"/>
  <c r="K17" i="14"/>
  <c r="O10" i="14"/>
  <c r="J20" i="14"/>
  <c r="M20" i="14"/>
  <c r="K20" i="14"/>
  <c r="N20" i="14"/>
  <c r="O19" i="14"/>
  <c r="L17" i="14"/>
  <c r="L20" i="14" s="1"/>
  <c r="O17" i="14"/>
  <c r="C13" i="14"/>
  <c r="O17" i="6"/>
  <c r="O17" i="8"/>
  <c r="O19" i="13"/>
  <c r="J20" i="13"/>
  <c r="O17" i="13"/>
  <c r="M13" i="13"/>
  <c r="D13" i="13"/>
  <c r="L13" i="13"/>
  <c r="K13" i="13"/>
  <c r="N13" i="13"/>
  <c r="F13" i="13"/>
  <c r="O20" i="13"/>
  <c r="O10" i="13"/>
  <c r="O13" i="13" s="1"/>
  <c r="O20" i="14" l="1"/>
  <c r="D19" i="9"/>
  <c r="E19" i="9"/>
  <c r="F19" i="9"/>
  <c r="G19" i="9"/>
  <c r="H19" i="9"/>
  <c r="I19" i="9"/>
  <c r="J19" i="9"/>
  <c r="K19" i="9"/>
  <c r="L19" i="9"/>
  <c r="M19" i="9"/>
  <c r="N19" i="9"/>
  <c r="C19" i="9"/>
  <c r="D18" i="9"/>
  <c r="E18" i="9"/>
  <c r="F18" i="9"/>
  <c r="G18" i="9"/>
  <c r="H18" i="9"/>
  <c r="I18" i="9"/>
  <c r="J18" i="9"/>
  <c r="K18" i="9"/>
  <c r="L18" i="9"/>
  <c r="M18" i="9"/>
  <c r="N18" i="9"/>
  <c r="C18" i="9"/>
  <c r="N17" i="9"/>
  <c r="L17" i="9"/>
  <c r="J17" i="9"/>
  <c r="K17" i="9"/>
  <c r="M17" i="9"/>
  <c r="H17" i="9"/>
  <c r="F17" i="9"/>
  <c r="D17" i="9"/>
  <c r="E17" i="9" l="1"/>
  <c r="G17" i="9"/>
  <c r="I17" i="9"/>
  <c r="C17" i="9"/>
  <c r="H17" i="11"/>
  <c r="F17" i="11"/>
  <c r="D17" i="11"/>
  <c r="F20" i="9"/>
  <c r="S17" i="9"/>
  <c r="I20" i="9"/>
  <c r="E20" i="9"/>
  <c r="D19" i="11"/>
  <c r="E19" i="11"/>
  <c r="F19" i="11"/>
  <c r="G19" i="11"/>
  <c r="H19" i="11"/>
  <c r="I19" i="11"/>
  <c r="J19" i="11"/>
  <c r="K19" i="11"/>
  <c r="L19" i="11"/>
  <c r="M19" i="11"/>
  <c r="N19" i="11"/>
  <c r="C19" i="11"/>
  <c r="D18" i="11"/>
  <c r="E18" i="11"/>
  <c r="F18" i="11"/>
  <c r="G18" i="11"/>
  <c r="H18" i="11"/>
  <c r="I18" i="11"/>
  <c r="J18" i="11"/>
  <c r="K18" i="11"/>
  <c r="L18" i="11"/>
  <c r="M18" i="11"/>
  <c r="N18" i="11"/>
  <c r="C18" i="11"/>
  <c r="E17" i="11"/>
  <c r="G17" i="11"/>
  <c r="I17" i="11"/>
  <c r="C17" i="11"/>
  <c r="S17" i="11"/>
  <c r="N17" i="11"/>
  <c r="M17" i="11"/>
  <c r="L17" i="11"/>
  <c r="K17" i="11"/>
  <c r="J17" i="11"/>
  <c r="H27" i="8"/>
  <c r="G27" i="9"/>
  <c r="F24" i="11"/>
  <c r="F27" i="11" s="1"/>
  <c r="J27" i="6"/>
  <c r="K27" i="6"/>
  <c r="L27" i="6"/>
  <c r="M27" i="6"/>
  <c r="N27" i="6"/>
  <c r="J27" i="11"/>
  <c r="K27" i="11"/>
  <c r="L27" i="11"/>
  <c r="M27" i="11"/>
  <c r="N27" i="11"/>
  <c r="J27" i="9"/>
  <c r="K27" i="9"/>
  <c r="L27" i="9"/>
  <c r="M27" i="9"/>
  <c r="N27" i="9"/>
  <c r="J27" i="8"/>
  <c r="K27" i="8"/>
  <c r="L27" i="8"/>
  <c r="M27" i="8"/>
  <c r="N27" i="8"/>
  <c r="O25" i="11"/>
  <c r="E27" i="11"/>
  <c r="D27" i="11"/>
  <c r="C27" i="11"/>
  <c r="N12" i="11"/>
  <c r="M12" i="11"/>
  <c r="L12" i="11"/>
  <c r="K12" i="11"/>
  <c r="J12" i="11"/>
  <c r="I12" i="11"/>
  <c r="H12" i="11"/>
  <c r="G12" i="11"/>
  <c r="F12" i="11"/>
  <c r="E12" i="11"/>
  <c r="D12" i="11"/>
  <c r="C12" i="11"/>
  <c r="N11" i="11"/>
  <c r="M11" i="11"/>
  <c r="L11" i="11"/>
  <c r="K11" i="11"/>
  <c r="J11" i="11"/>
  <c r="I11" i="11"/>
  <c r="H11" i="11"/>
  <c r="G11" i="11"/>
  <c r="F11" i="11"/>
  <c r="E11" i="11"/>
  <c r="D11" i="11"/>
  <c r="C11" i="11"/>
  <c r="N10" i="11"/>
  <c r="M10" i="11"/>
  <c r="L10" i="11"/>
  <c r="K10" i="11"/>
  <c r="J10" i="11"/>
  <c r="I10" i="11"/>
  <c r="H10" i="11"/>
  <c r="G10" i="11"/>
  <c r="F10" i="11"/>
  <c r="E10" i="11"/>
  <c r="D10" i="11"/>
  <c r="C10" i="11"/>
  <c r="N11" i="6"/>
  <c r="N18" i="6" s="1"/>
  <c r="N20" i="6" s="1"/>
  <c r="M11" i="6"/>
  <c r="M18" i="6" s="1"/>
  <c r="M20" i="6" s="1"/>
  <c r="L11" i="6"/>
  <c r="L18" i="6" s="1"/>
  <c r="L20" i="6" s="1"/>
  <c r="K11" i="6"/>
  <c r="K18" i="6" s="1"/>
  <c r="J11" i="6"/>
  <c r="J18" i="6" s="1"/>
  <c r="I11" i="6"/>
  <c r="H11" i="6"/>
  <c r="H18" i="6" s="1"/>
  <c r="G11" i="6"/>
  <c r="G18" i="6" s="1"/>
  <c r="G20" i="6" s="1"/>
  <c r="F11" i="6"/>
  <c r="F18" i="6" s="1"/>
  <c r="E11" i="6"/>
  <c r="E18" i="6" s="1"/>
  <c r="D11" i="6"/>
  <c r="D18" i="6" s="1"/>
  <c r="C11" i="6"/>
  <c r="C18" i="6" s="1"/>
  <c r="M11" i="9"/>
  <c r="K11" i="9"/>
  <c r="H11" i="9"/>
  <c r="D11" i="9"/>
  <c r="F11" i="9"/>
  <c r="E11" i="9"/>
  <c r="G11" i="9"/>
  <c r="I11" i="9"/>
  <c r="J11" i="9"/>
  <c r="L11" i="9"/>
  <c r="N11" i="9"/>
  <c r="C11" i="9"/>
  <c r="F27" i="9"/>
  <c r="E27" i="9"/>
  <c r="D27" i="9"/>
  <c r="C27" i="9"/>
  <c r="O25" i="9"/>
  <c r="N12" i="9"/>
  <c r="M12" i="9"/>
  <c r="L12" i="9"/>
  <c r="K12" i="9"/>
  <c r="J12" i="9"/>
  <c r="I12" i="9"/>
  <c r="H12" i="9"/>
  <c r="G12" i="9"/>
  <c r="F12" i="9"/>
  <c r="E12" i="9"/>
  <c r="D12" i="9"/>
  <c r="C12" i="9"/>
  <c r="N10" i="9"/>
  <c r="M10" i="9"/>
  <c r="L10" i="9"/>
  <c r="K10" i="9"/>
  <c r="J10" i="9"/>
  <c r="I10" i="9"/>
  <c r="H10" i="9"/>
  <c r="G10" i="9"/>
  <c r="F10" i="9"/>
  <c r="E10" i="9"/>
  <c r="D10" i="9"/>
  <c r="C10" i="9"/>
  <c r="G27" i="8"/>
  <c r="F27" i="8"/>
  <c r="E27" i="8"/>
  <c r="D27" i="8"/>
  <c r="C27" i="8"/>
  <c r="O26" i="8"/>
  <c r="O25" i="8"/>
  <c r="N12" i="8"/>
  <c r="N19" i="8" s="1"/>
  <c r="N20" i="8" s="1"/>
  <c r="M12" i="8"/>
  <c r="M19" i="8" s="1"/>
  <c r="M20" i="8" s="1"/>
  <c r="L12" i="8"/>
  <c r="L19" i="8" s="1"/>
  <c r="L20" i="8" s="1"/>
  <c r="K12" i="8"/>
  <c r="K19" i="8" s="1"/>
  <c r="K20" i="8" s="1"/>
  <c r="J12" i="8"/>
  <c r="J19" i="8" s="1"/>
  <c r="J20" i="8" s="1"/>
  <c r="I12" i="8"/>
  <c r="I19" i="8" s="1"/>
  <c r="I20" i="8" s="1"/>
  <c r="H12" i="8"/>
  <c r="H19" i="8" s="1"/>
  <c r="H20" i="8" s="1"/>
  <c r="G12" i="8"/>
  <c r="G19" i="8" s="1"/>
  <c r="G20" i="8" s="1"/>
  <c r="F12" i="8"/>
  <c r="F19" i="8" s="1"/>
  <c r="F20" i="8" s="1"/>
  <c r="E12" i="8"/>
  <c r="E19" i="8" s="1"/>
  <c r="E20" i="8" s="1"/>
  <c r="D12" i="8"/>
  <c r="D19" i="8" s="1"/>
  <c r="D20" i="8" s="1"/>
  <c r="C12" i="8"/>
  <c r="C19" i="8" s="1"/>
  <c r="O11" i="8"/>
  <c r="N10" i="8"/>
  <c r="M10" i="8"/>
  <c r="L10" i="8"/>
  <c r="K10" i="8"/>
  <c r="J10" i="8"/>
  <c r="I10" i="8"/>
  <c r="H10" i="8"/>
  <c r="G10" i="8"/>
  <c r="F10" i="8"/>
  <c r="F13" i="8" s="1"/>
  <c r="E10" i="8"/>
  <c r="D10" i="8"/>
  <c r="C10" i="8"/>
  <c r="D27" i="6"/>
  <c r="E27" i="6"/>
  <c r="F27" i="6"/>
  <c r="G27" i="6"/>
  <c r="H27" i="6"/>
  <c r="C27" i="6"/>
  <c r="M12" i="6"/>
  <c r="M19" i="6" s="1"/>
  <c r="K12" i="6"/>
  <c r="K19" i="6" s="1"/>
  <c r="H12" i="6"/>
  <c r="H19" i="6" s="1"/>
  <c r="F12" i="6"/>
  <c r="F19" i="6" s="1"/>
  <c r="D12" i="6"/>
  <c r="D19" i="6" s="1"/>
  <c r="E12" i="6"/>
  <c r="E19" i="6" s="1"/>
  <c r="G12" i="6"/>
  <c r="G19" i="6" s="1"/>
  <c r="I12" i="6"/>
  <c r="J12" i="6"/>
  <c r="J19" i="6" s="1"/>
  <c r="L12" i="6"/>
  <c r="L19" i="6" s="1"/>
  <c r="N12" i="6"/>
  <c r="N19" i="6" s="1"/>
  <c r="C12" i="6"/>
  <c r="C19" i="6" s="1"/>
  <c r="M10" i="6"/>
  <c r="K10" i="6"/>
  <c r="J10" i="6"/>
  <c r="H10" i="6"/>
  <c r="E10" i="6"/>
  <c r="D10" i="6"/>
  <c r="F10" i="6"/>
  <c r="G10" i="6"/>
  <c r="I10" i="6"/>
  <c r="L10" i="6"/>
  <c r="N10" i="6"/>
  <c r="C10" i="6"/>
  <c r="E20" i="6" l="1"/>
  <c r="F20" i="6"/>
  <c r="D20" i="6"/>
  <c r="H20" i="6"/>
  <c r="I18" i="6"/>
  <c r="I25" i="6"/>
  <c r="O25" i="6" s="1"/>
  <c r="O18" i="6"/>
  <c r="C20" i="6"/>
  <c r="J20" i="6"/>
  <c r="I19" i="6"/>
  <c r="O19" i="6" s="1"/>
  <c r="I26" i="6"/>
  <c r="O26" i="6" s="1"/>
  <c r="K20" i="6"/>
  <c r="H13" i="8"/>
  <c r="I13" i="8"/>
  <c r="O24" i="8"/>
  <c r="O19" i="8"/>
  <c r="O20" i="8" s="1"/>
  <c r="C20" i="8"/>
  <c r="O17" i="9"/>
  <c r="G20" i="9"/>
  <c r="J20" i="9"/>
  <c r="H27" i="9"/>
  <c r="C20" i="9"/>
  <c r="K20" i="9"/>
  <c r="O19" i="9"/>
  <c r="D20" i="9"/>
  <c r="L20" i="9"/>
  <c r="M20" i="9"/>
  <c r="I27" i="9"/>
  <c r="N20" i="9"/>
  <c r="H20" i="9"/>
  <c r="O12" i="9"/>
  <c r="G13" i="9"/>
  <c r="O18" i="11"/>
  <c r="J20" i="11"/>
  <c r="O17" i="11"/>
  <c r="G20" i="11"/>
  <c r="F20" i="11"/>
  <c r="D13" i="11"/>
  <c r="D20" i="11" s="1"/>
  <c r="E13" i="11"/>
  <c r="E20" i="11" s="1"/>
  <c r="J13" i="11"/>
  <c r="C13" i="11"/>
  <c r="O19" i="11" s="1"/>
  <c r="F13" i="11"/>
  <c r="G24" i="11"/>
  <c r="H24" i="11" s="1"/>
  <c r="I24" i="11" s="1"/>
  <c r="G13" i="11"/>
  <c r="H13" i="11"/>
  <c r="H20" i="11" s="1"/>
  <c r="O12" i="11"/>
  <c r="N13" i="11"/>
  <c r="N20" i="11" s="1"/>
  <c r="K13" i="11"/>
  <c r="K20" i="11" s="1"/>
  <c r="O11" i="11"/>
  <c r="L13" i="11"/>
  <c r="L20" i="11" s="1"/>
  <c r="O10" i="11"/>
  <c r="O13" i="11" s="1"/>
  <c r="H27" i="11"/>
  <c r="M13" i="11"/>
  <c r="M20" i="11" s="1"/>
  <c r="O24" i="6"/>
  <c r="I27" i="11"/>
  <c r="O26" i="11"/>
  <c r="O24" i="11"/>
  <c r="I13" i="11"/>
  <c r="I20" i="11" s="1"/>
  <c r="F13" i="9"/>
  <c r="O11" i="9"/>
  <c r="D13" i="9"/>
  <c r="C13" i="9"/>
  <c r="K13" i="9"/>
  <c r="L13" i="9"/>
  <c r="N13" i="9"/>
  <c r="H13" i="9"/>
  <c r="O26" i="9" s="1"/>
  <c r="I13" i="9"/>
  <c r="J13" i="9"/>
  <c r="M13" i="9"/>
  <c r="O10" i="9"/>
  <c r="E13" i="9"/>
  <c r="J13" i="8"/>
  <c r="K13" i="8"/>
  <c r="L13" i="8"/>
  <c r="M13" i="8"/>
  <c r="N13" i="8"/>
  <c r="O12" i="8"/>
  <c r="G13" i="8"/>
  <c r="D13" i="8"/>
  <c r="E13" i="8"/>
  <c r="O10" i="8"/>
  <c r="O13" i="8" s="1"/>
  <c r="C13" i="8"/>
  <c r="O20" i="6" l="1"/>
  <c r="I20" i="6"/>
  <c r="I27" i="6"/>
  <c r="O27" i="6" s="1"/>
  <c r="I27" i="8"/>
  <c r="O27" i="8" s="1"/>
  <c r="O24" i="9"/>
  <c r="O18" i="9"/>
  <c r="O20" i="9" s="1"/>
  <c r="O20" i="11"/>
  <c r="C20" i="11"/>
  <c r="G27" i="11"/>
  <c r="O27" i="11"/>
  <c r="O13" i="9"/>
  <c r="O27" i="9"/>
  <c r="O11" i="6" l="1"/>
  <c r="O12" i="6"/>
  <c r="O10" i="6"/>
  <c r="D13" i="6"/>
  <c r="E13" i="6"/>
  <c r="F13" i="6"/>
  <c r="G13" i="6"/>
  <c r="H13" i="6"/>
  <c r="I13" i="6"/>
  <c r="J13" i="6"/>
  <c r="K13" i="6"/>
  <c r="L13" i="6"/>
  <c r="M13" i="6"/>
  <c r="N13" i="6"/>
  <c r="C13" i="6"/>
  <c r="O13" i="6" l="1"/>
  <c r="R56" i="2"/>
  <c r="H64" i="1"/>
  <c r="H62" i="2"/>
  <c r="H62" i="1"/>
  <c r="T56" i="1"/>
  <c r="S56" i="1"/>
  <c r="S6" i="1" s="1"/>
  <c r="G62" i="1"/>
  <c r="G63" i="1"/>
  <c r="G62" i="3"/>
  <c r="G63" i="3"/>
  <c r="G62" i="2"/>
  <c r="G63" i="2"/>
  <c r="I64" i="3"/>
  <c r="J64" i="3"/>
  <c r="K64" i="3"/>
  <c r="L64" i="3"/>
  <c r="M64" i="3"/>
  <c r="N64" i="3"/>
  <c r="G64" i="1"/>
  <c r="I64" i="1"/>
  <c r="J64" i="1"/>
  <c r="K64" i="1"/>
  <c r="L64" i="1"/>
  <c r="M64" i="1"/>
  <c r="N64" i="1"/>
  <c r="O64" i="1"/>
  <c r="E64" i="1"/>
  <c r="F64" i="1"/>
  <c r="E71" i="3"/>
  <c r="E70" i="3"/>
  <c r="E75" i="2"/>
  <c r="E74" i="2"/>
  <c r="E75" i="1"/>
  <c r="E74" i="1"/>
  <c r="D60" i="2"/>
  <c r="D59" i="3"/>
  <c r="D59" i="2"/>
  <c r="D64" i="1"/>
  <c r="C56" i="3"/>
  <c r="D56" i="3"/>
  <c r="D58" i="3" s="1"/>
  <c r="E56" i="3"/>
  <c r="E58" i="3" s="1"/>
  <c r="F56" i="3"/>
  <c r="F58" i="3" s="1"/>
  <c r="G56" i="3"/>
  <c r="G58" i="3" s="1"/>
  <c r="H56" i="3"/>
  <c r="H58" i="3" s="1"/>
  <c r="I56" i="3"/>
  <c r="I58" i="3" s="1"/>
  <c r="J56" i="3"/>
  <c r="K56" i="3"/>
  <c r="L56" i="3"/>
  <c r="M56" i="3"/>
  <c r="N56" i="3"/>
  <c r="D56" i="2"/>
  <c r="D58" i="2" s="1"/>
  <c r="E56" i="2"/>
  <c r="F56" i="2"/>
  <c r="G56" i="2"/>
  <c r="H56" i="2"/>
  <c r="I56" i="2"/>
  <c r="J56" i="2"/>
  <c r="K56" i="2"/>
  <c r="L56" i="2"/>
  <c r="M56" i="2"/>
  <c r="N56" i="2"/>
  <c r="C56" i="2"/>
  <c r="C58" i="2" s="1"/>
  <c r="E56" i="1"/>
  <c r="E58" i="1" s="1"/>
  <c r="F56" i="1"/>
  <c r="F58" i="1" s="1"/>
  <c r="G56" i="1"/>
  <c r="G58" i="1" s="1"/>
  <c r="H56" i="1"/>
  <c r="H58" i="1" s="1"/>
  <c r="I56" i="1"/>
  <c r="I58" i="1" s="1"/>
  <c r="J56" i="1"/>
  <c r="J58" i="1" s="1"/>
  <c r="K56" i="1"/>
  <c r="K58" i="1" s="1"/>
  <c r="L56" i="1"/>
  <c r="L58" i="1" s="1"/>
  <c r="M56" i="1"/>
  <c r="N56" i="1"/>
  <c r="D56" i="1"/>
  <c r="D58" i="1" s="1"/>
  <c r="C56" i="1"/>
  <c r="C58" i="1" s="1"/>
  <c r="C59" i="2"/>
  <c r="C64" i="1"/>
  <c r="D55" i="3"/>
  <c r="D60" i="3" s="1"/>
  <c r="E55" i="3"/>
  <c r="F55" i="3"/>
  <c r="H55" i="3"/>
  <c r="H63" i="3" s="1"/>
  <c r="I55" i="3"/>
  <c r="J55" i="3"/>
  <c r="K55" i="3"/>
  <c r="L55" i="3"/>
  <c r="M55" i="3"/>
  <c r="N55" i="3"/>
  <c r="C55" i="3"/>
  <c r="C65" i="3" s="1"/>
  <c r="O53" i="3"/>
  <c r="O64" i="3" s="1"/>
  <c r="H55" i="2"/>
  <c r="H63" i="2" s="1"/>
  <c r="I55" i="2"/>
  <c r="J55" i="2"/>
  <c r="K55" i="2"/>
  <c r="L55" i="2"/>
  <c r="M55" i="2"/>
  <c r="N55" i="2"/>
  <c r="O53" i="2"/>
  <c r="H65" i="1"/>
  <c r="C65" i="1"/>
  <c r="D71" i="2"/>
  <c r="E71" i="2"/>
  <c r="F71" i="2"/>
  <c r="G71" i="2"/>
  <c r="H71" i="2"/>
  <c r="C71" i="2"/>
  <c r="D71" i="1"/>
  <c r="E71" i="1"/>
  <c r="F71" i="1"/>
  <c r="G71" i="1"/>
  <c r="H71" i="1"/>
  <c r="C71" i="1"/>
  <c r="F62" i="1"/>
  <c r="F62" i="2"/>
  <c r="F62" i="3"/>
  <c r="E76" i="2" l="1"/>
  <c r="H63" i="1"/>
  <c r="R56" i="3"/>
  <c r="S12" i="2"/>
  <c r="S42" i="2"/>
  <c r="S10" i="2"/>
  <c r="S27" i="2"/>
  <c r="S43" i="2"/>
  <c r="S25" i="2"/>
  <c r="S26" i="2"/>
  <c r="S9" i="2"/>
  <c r="S11" i="2"/>
  <c r="S41" i="2"/>
  <c r="S21" i="2"/>
  <c r="S40" i="2"/>
  <c r="S7" i="2"/>
  <c r="S22" i="2"/>
  <c r="S37" i="2"/>
  <c r="S52" i="2"/>
  <c r="S18" i="2"/>
  <c r="S49" i="2"/>
  <c r="S33" i="2"/>
  <c r="S48" i="2"/>
  <c r="S16" i="2"/>
  <c r="S47" i="2"/>
  <c r="S31" i="2"/>
  <c r="S15" i="2"/>
  <c r="S8" i="2"/>
  <c r="S39" i="2"/>
  <c r="S6" i="2"/>
  <c r="S53" i="2"/>
  <c r="S36" i="2"/>
  <c r="S51" i="2"/>
  <c r="S34" i="2"/>
  <c r="S17" i="2"/>
  <c r="S32" i="2"/>
  <c r="S46" i="2"/>
  <c r="S30" i="2"/>
  <c r="S14" i="2"/>
  <c r="S20" i="2"/>
  <c r="S19" i="2"/>
  <c r="S50" i="2"/>
  <c r="S45" i="2"/>
  <c r="S29" i="2"/>
  <c r="S13" i="2"/>
  <c r="S24" i="2"/>
  <c r="S23" i="2"/>
  <c r="S38" i="2"/>
  <c r="S35" i="2"/>
  <c r="S44" i="2"/>
  <c r="S28" i="2"/>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E72" i="3"/>
  <c r="D65" i="1"/>
  <c r="E76" i="1"/>
  <c r="C58" i="3"/>
  <c r="D65" i="3"/>
  <c r="E62" i="3"/>
  <c r="E62" i="2"/>
  <c r="E62" i="1"/>
  <c r="D62" i="3"/>
  <c r="D62" i="2"/>
  <c r="D62" i="1"/>
  <c r="O52" i="3"/>
  <c r="C60" i="3"/>
  <c r="O52" i="2"/>
  <c r="C60" i="2"/>
  <c r="O52" i="1"/>
  <c r="S14" i="3" l="1"/>
  <c r="S30" i="3"/>
  <c r="S46" i="3"/>
  <c r="S15" i="3"/>
  <c r="S31" i="3"/>
  <c r="S47" i="3"/>
  <c r="S32" i="3"/>
  <c r="S48" i="3"/>
  <c r="S17" i="3"/>
  <c r="S33" i="3"/>
  <c r="S35" i="3"/>
  <c r="S51" i="3"/>
  <c r="S36" i="3"/>
  <c r="S37" i="3"/>
  <c r="S38" i="3"/>
  <c r="S23" i="3"/>
  <c r="S10" i="3"/>
  <c r="S28" i="3"/>
  <c r="S29" i="3"/>
  <c r="S16" i="3"/>
  <c r="S52" i="3"/>
  <c r="S53" i="3"/>
  <c r="S22" i="3"/>
  <c r="S7" i="3"/>
  <c r="S39" i="3"/>
  <c r="S24" i="3"/>
  <c r="S9" i="3"/>
  <c r="S26" i="3"/>
  <c r="S27" i="3"/>
  <c r="S12" i="3"/>
  <c r="S49" i="3"/>
  <c r="S40" i="3"/>
  <c r="S25" i="3"/>
  <c r="S43" i="3"/>
  <c r="S13" i="3"/>
  <c r="S18" i="3"/>
  <c r="S34" i="3"/>
  <c r="S50" i="3"/>
  <c r="S19" i="3"/>
  <c r="S20" i="3"/>
  <c r="S21" i="3"/>
  <c r="S41" i="3"/>
  <c r="S42" i="3"/>
  <c r="S11" i="3"/>
  <c r="S44" i="3"/>
  <c r="S45" i="3"/>
  <c r="S8" i="3"/>
  <c r="S6" i="3"/>
  <c r="L65" i="3"/>
  <c r="K65" i="3"/>
  <c r="N65" i="3"/>
  <c r="J65" i="3"/>
  <c r="I65" i="3"/>
  <c r="H65" i="3"/>
  <c r="M65" i="3"/>
  <c r="E63" i="3"/>
  <c r="E63" i="2"/>
  <c r="F63" i="2"/>
  <c r="F63" i="3"/>
  <c r="F65" i="3"/>
  <c r="E65" i="3"/>
  <c r="F18" i="5" l="1"/>
  <c r="O38" i="3" l="1"/>
  <c r="O39" i="3"/>
  <c r="O40" i="3"/>
  <c r="O41" i="3"/>
  <c r="O42" i="3"/>
  <c r="O43" i="3"/>
  <c r="O44" i="3"/>
  <c r="O45" i="3"/>
  <c r="O46" i="3"/>
  <c r="O47" i="3"/>
  <c r="O48" i="3"/>
  <c r="O49" i="3"/>
  <c r="O50" i="3"/>
  <c r="O51" i="3"/>
  <c r="P51" i="3" s="1"/>
  <c r="O38" i="2"/>
  <c r="O39" i="2"/>
  <c r="O40" i="2"/>
  <c r="O41" i="2"/>
  <c r="O42" i="2"/>
  <c r="O43" i="2"/>
  <c r="O44" i="2"/>
  <c r="O45" i="2"/>
  <c r="O46" i="2"/>
  <c r="O47" i="2"/>
  <c r="O48" i="2"/>
  <c r="O49" i="2"/>
  <c r="O50" i="2"/>
  <c r="O51" i="2"/>
  <c r="P51" i="2" s="1"/>
  <c r="O38" i="1"/>
  <c r="O39" i="1"/>
  <c r="O40" i="1"/>
  <c r="O41" i="1"/>
  <c r="O42" i="1"/>
  <c r="O43" i="1"/>
  <c r="O44" i="1"/>
  <c r="O45" i="1"/>
  <c r="O46" i="1"/>
  <c r="O47" i="1"/>
  <c r="O48" i="1"/>
  <c r="O49" i="1"/>
  <c r="O50" i="1"/>
  <c r="O51" i="1"/>
  <c r="P51" i="1" s="1"/>
  <c r="O37" i="3"/>
  <c r="O36" i="3"/>
  <c r="O35" i="3"/>
  <c r="O34" i="3"/>
  <c r="O33" i="3"/>
  <c r="O32" i="3"/>
  <c r="O31" i="3"/>
  <c r="O30" i="3"/>
  <c r="O29" i="3"/>
  <c r="O28" i="3"/>
  <c r="O27" i="3"/>
  <c r="O26" i="3"/>
  <c r="O25" i="3"/>
  <c r="O24" i="3"/>
  <c r="O23" i="3"/>
  <c r="O22" i="3"/>
  <c r="O21" i="3"/>
  <c r="O20" i="3"/>
  <c r="O19" i="3"/>
  <c r="O18" i="3"/>
  <c r="O17" i="3"/>
  <c r="O16" i="3"/>
  <c r="O15" i="3"/>
  <c r="O14" i="3"/>
  <c r="O13" i="3"/>
  <c r="O12" i="3"/>
  <c r="O11" i="3"/>
  <c r="O10" i="3"/>
  <c r="O9" i="3"/>
  <c r="O8" i="3"/>
  <c r="O7" i="3"/>
  <c r="O6" i="3"/>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6" i="1"/>
  <c r="P53" i="2" l="1"/>
  <c r="P53" i="1"/>
  <c r="P53" i="3"/>
  <c r="P61" i="3"/>
  <c r="Q61" i="3" s="1"/>
  <c r="P61" i="2"/>
  <c r="Q61" i="2" s="1"/>
  <c r="Q61" i="1"/>
  <c r="O65" i="3" l="1"/>
  <c r="O65" i="1"/>
  <c r="G65" i="1"/>
  <c r="F65" i="1"/>
  <c r="E63" i="1"/>
  <c r="M65" i="1"/>
  <c r="L65" i="1"/>
  <c r="N65" i="1"/>
  <c r="K65" i="1"/>
  <c r="J65" i="1"/>
  <c r="F63" i="1" l="1"/>
  <c r="I65" i="1"/>
  <c r="E65" i="1"/>
</calcChain>
</file>

<file path=xl/sharedStrings.xml><?xml version="1.0" encoding="utf-8"?>
<sst xmlns="http://schemas.openxmlformats.org/spreadsheetml/2006/main" count="266" uniqueCount="69">
  <si>
    <t>Phụ lục 1: Chuỗi số liệu lưu lượng nước về được sử dụng trong tính toán sản lượng phát bình quân nhiều năm quy định tại Hợp đồng mua bán điện</t>
  </si>
  <si>
    <t>Hồ chứa:</t>
  </si>
  <si>
    <t>Nhà máy Thủy điện Buôn Tua Srah</t>
  </si>
  <si>
    <t xml:space="preserve">Đơn vị: </t>
  </si>
  <si>
    <r>
      <t>m</t>
    </r>
    <r>
      <rPr>
        <vertAlign val="superscript"/>
        <sz val="12"/>
        <color theme="1"/>
        <rFont val="Calibri Light"/>
        <family val="1"/>
        <scheme val="major"/>
      </rPr>
      <t>3</t>
    </r>
    <r>
      <rPr>
        <sz val="12"/>
        <color theme="1"/>
        <rFont val="Calibri Light"/>
        <family val="1"/>
        <scheme val="major"/>
      </rPr>
      <t>/s</t>
    </r>
  </si>
  <si>
    <t>STT</t>
  </si>
  <si>
    <t>Năm</t>
  </si>
  <si>
    <t>Tháng 1</t>
  </si>
  <si>
    <t>Tháng 2</t>
  </si>
  <si>
    <t>Tháng 3</t>
  </si>
  <si>
    <t>Tháng 4</t>
  </si>
  <si>
    <t>Tháng 5</t>
  </si>
  <si>
    <t>Tháng 6</t>
  </si>
  <si>
    <t>Tháng 7</t>
  </si>
  <si>
    <t>Tháng 8</t>
  </si>
  <si>
    <t>Tháng 9</t>
  </si>
  <si>
    <t>Tháng 10</t>
  </si>
  <si>
    <t>Tháng 11</t>
  </si>
  <si>
    <t>Tháng 12</t>
  </si>
  <si>
    <t>Trung bình</t>
  </si>
  <si>
    <r>
      <rPr>
        <sz val="11"/>
        <color theme="1"/>
        <rFont val="Aptos Narrow"/>
        <family val="2"/>
      </rPr>
      <t>←</t>
    </r>
    <r>
      <rPr>
        <sz val="11"/>
        <color theme="1"/>
        <rFont val="Calibri"/>
        <family val="2"/>
        <scheme val="minor"/>
      </rPr>
      <t>Dự báo</t>
    </r>
  </si>
  <si>
    <r>
      <rPr>
        <sz val="11"/>
        <color theme="1"/>
        <rFont val="Aptos Narrow"/>
        <family val="2"/>
      </rPr>
      <t>← sai vs d</t>
    </r>
    <r>
      <rPr>
        <sz val="11"/>
        <color theme="1"/>
        <rFont val="Calibri"/>
        <family val="2"/>
        <scheme val="minor"/>
      </rPr>
      <t>ự báo</t>
    </r>
  </si>
  <si>
    <t>So 2025</t>
  </si>
  <si>
    <t>so TBNN</t>
  </si>
  <si>
    <t>thực tế</t>
  </si>
  <si>
    <t>So 2024</t>
  </si>
  <si>
    <t>Ghi chú:</t>
  </si>
  <si>
    <t>- Số liệu trong Báo cáo tính toán đối chứng sản lượng điện của các NMTĐ trên bậc thang sông Srêpốk do Công ty Cổ phần Tư vấn và đầu tư xây dựng thủy điện lập tháng 8 năm 2015 khi vận hành khai thác theo Quy trình vận hành liên hồ chứa trên lưu vực sông Srêpốk.</t>
  </si>
  <si>
    <t>TB QI</t>
  </si>
  <si>
    <t>TBNN</t>
  </si>
  <si>
    <t>Phụ lục 2: Chuỗi số liệu lưu lượng nước về được sử dụng trong tính toán sản lượng phát bình quân nhiều năm quy định tại Hợp đồng mua bán điện</t>
  </si>
  <si>
    <t>Nhà máy Thủy điện Buôn Kuốp</t>
  </si>
  <si>
    <t>'← sai vs dự báo</t>
  </si>
  <si>
    <t>Thực tế</t>
  </si>
  <si>
    <t>Phụ lục 3 : Chuỗi số liệu lưu lượng nước về được sử dụng trong tính toán sản lượng phát bình quân nhiều năm quy định tại Hợp đồng mua bán điện</t>
  </si>
  <si>
    <t>Nhà máy Thủy điện Srêpốk 3</t>
  </si>
  <si>
    <t>TBQ I</t>
  </si>
  <si>
    <t>E0_org</t>
  </si>
  <si>
    <t>E0_adj</t>
  </si>
  <si>
    <t>SL KH</t>
  </si>
  <si>
    <t>Tổng SLĐ</t>
  </si>
  <si>
    <t>Các tổ máy chưa vào hết</t>
  </si>
  <si>
    <t>tháng 10 vào đủ 6 tổ máy</t>
  </si>
  <si>
    <t>Buôn Kuốp</t>
  </si>
  <si>
    <t>Buôn Tua Srah</t>
  </si>
  <si>
    <t>Srê Pốk 3</t>
  </si>
  <si>
    <t>Tìm các năm có chuỗi thủy văn giống quá khứ</t>
  </si>
  <si>
    <t>Tháng</t>
  </si>
  <si>
    <t>chuỗi &gt;3T</t>
  </si>
  <si>
    <t>Sản lượng</t>
  </si>
  <si>
    <t>3 tháng nhìn lại</t>
  </si>
  <si>
    <t>Lưu lượng tháng [m3/s]</t>
  </si>
  <si>
    <t>TBN</t>
  </si>
  <si>
    <t>SHN [m3/kwh]</t>
  </si>
  <si>
    <t>Sản lượng tr.kwh tính theo chuỗi thủy văn</t>
  </si>
  <si>
    <t>A_max[tr.kwh]</t>
  </si>
  <si>
    <t>Sản lượng tr.kwh tính theo quy trình liên hồ</t>
  </si>
  <si>
    <t>Q_cm_BTS[m3/s]</t>
  </si>
  <si>
    <t>Sản lượng tr.kwh tính theo cập nhật thực tế</t>
  </si>
  <si>
    <t>4 tháng nhìn lại</t>
  </si>
  <si>
    <t>5 tháng nhìn lại</t>
  </si>
  <si>
    <t>6 tháng nhìn lại</t>
  </si>
  <si>
    <t>Sản lượng cập nhật thực tế [tr.kwh]</t>
  </si>
  <si>
    <t>SL tính theo thủy văn [tr.kwh]</t>
  </si>
  <si>
    <t>7 tháng nhìn lại</t>
  </si>
  <si>
    <t>8 tháng nhìn lại</t>
  </si>
  <si>
    <t>Qv Buôn Tua Srah q trắc 8 th</t>
  </si>
  <si>
    <t>SL thực tế BTS</t>
  </si>
  <si>
    <t>SL 2025/SL_2015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</si>
</sst>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_(* #,##0.0_);_(* \(#,##0.0\);_(* &quot;-&quot;??_);_(@_)"/>
    <numFmt numFmtId="167" formatCode="_(* #,##0.0_);_(* \(#,##0.0\);_(* &quot;-&quot;?_);_(@_)"/>
    <numFmt numFmtId="168" formatCode="0.0%"/>
  </numFmts>
  <fonts count="23">
    <font>
      <sz val="11"/>
      <color theme="1"/>
      <name val="Calibri"/>
      <family val="2"/>
      <scheme val="minor"/>
    </font>
    <font>
      <sz val="8"/>
      <name val="Calibri"/>
      <family val="2"/>
      <scheme val="minor"/>
    </font>
    <font>
      <b/>
      <sz val="12"/>
      <color theme="1"/>
      <name val="Calibri Light"/>
      <family val="1"/>
      <scheme val="major"/>
    </font>
    <font>
      <sz val="12"/>
      <color theme="1"/>
      <name val="Calibri Light"/>
      <family val="1"/>
      <scheme val="major"/>
    </font>
    <font>
      <b/>
      <i/>
      <sz val="12"/>
      <color theme="1"/>
      <name val="Calibri Light"/>
      <family val="1"/>
      <scheme val="major"/>
    </font>
    <font>
      <i/>
      <sz val="12"/>
      <color theme="1"/>
      <name val="Calibri Light"/>
      <family val="1"/>
      <scheme val="major"/>
    </font>
    <font>
      <vertAlign val="superscript"/>
      <sz val="12"/>
      <color theme="1"/>
      <name val="Calibri Light"/>
      <family val="1"/>
      <scheme val="major"/>
    </font>
    <font>
      <sz val="11"/>
      <color theme="1"/>
      <name val="Calibri"/>
      <family val="2"/>
      <scheme val="minor"/>
    </font>
    <font>
      <b/>
      <sz val="11"/>
      <color theme="1"/>
      <name val="Calibri"/>
      <family val="2"/>
      <scheme val="minor"/>
    </font>
    <font>
      <sz val="11"/>
      <color rgb="FFFF0000"/>
      <name val="Calibri"/>
      <family val="2"/>
      <scheme val="minor"/>
    </font>
    <font>
      <sz val="11"/>
      <color rgb="FF00B050"/>
      <name val="Calibri"/>
      <family val="2"/>
      <scheme val="minor"/>
    </font>
    <font>
      <sz val="12"/>
      <color rgb="FFFF0000"/>
      <name val="Calibri Light"/>
      <family val="1"/>
      <scheme val="major"/>
    </font>
    <font>
      <b/>
      <sz val="12"/>
      <color rgb="FFFF0000"/>
      <name val="Calibri Light"/>
      <family val="2"/>
      <scheme val="major"/>
    </font>
    <font>
      <sz val="11"/>
      <color theme="1"/>
      <name val="Aptos Narrow"/>
      <family val="2"/>
    </font>
    <font>
      <b/>
      <sz val="12"/>
      <color rgb="FF000099"/>
      <name val="Calibri Light"/>
      <family val="1"/>
      <scheme val="major"/>
    </font>
    <font>
      <b/>
      <sz val="12"/>
      <color rgb="FF000099"/>
      <name val="Calibri Light"/>
      <family val="2"/>
      <scheme val="major"/>
    </font>
    <font>
      <b/>
      <sz val="11"/>
      <color rgb="FFFF0000"/>
      <name val="Calibri"/>
      <family val="2"/>
      <scheme val="minor"/>
    </font>
    <font>
      <b/>
      <sz val="11"/>
      <color rgb="FF000099"/>
      <name val="Calibri"/>
      <family val="2"/>
      <scheme val="minor"/>
    </font>
    <font>
      <b/>
      <sz val="12"/>
      <color rgb="FFFF0000"/>
      <name val="Calibri Light"/>
      <family val="1"/>
      <scheme val="major"/>
    </font>
    <font>
      <b/>
      <sz val="12"/>
      <color rgb="FF92D050"/>
      <name val="Calibri Light"/>
      <family val="1"/>
      <scheme val="major"/>
    </font>
    <font>
      <sz val="12"/>
      <color rgb="FFFF0000"/>
      <name val="Calibri Light"/>
      <family val="2"/>
      <scheme val="major"/>
    </font>
    <font>
      <sz val="12"/>
      <color rgb="FF92D050"/>
      <name val="Calibri Light"/>
      <family val="1"/>
      <scheme val="major"/>
    </font>
    <font>
      <sz val="12"/>
      <name val="Calibri Light"/>
      <family val="1"/>
      <scheme val="major"/>
    </font>
  </fonts>
  <fills count="6">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0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cellStyleXfs>
  <cellXfs count="120">
    <xf numFmtId="0" fontId="0" fillId="0" borderId="0" xfId="0"/>
    <xf numFmtId="0" fontId="3" fillId="0" borderId="0" xfId="0" applyFont="1"/>
    <xf numFmtId="0" fontId="4" fillId="0" borderId="0" xfId="0" applyFont="1" applyAlignment="1">
      <alignment horizontal="right"/>
    </xf>
    <xf numFmtId="0" fontId="4" fillId="0" borderId="0" xfId="0" applyFon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0" xfId="0" applyFont="1" applyAlignment="1">
      <alignment horizontal="right"/>
    </xf>
    <xf numFmtId="0" fontId="2" fillId="0" borderId="1" xfId="0" applyFont="1" applyBorder="1" applyAlignment="1">
      <alignment vertical="center"/>
    </xf>
    <xf numFmtId="164" fontId="3" fillId="0" borderId="1" xfId="0" applyNumberFormat="1" applyFont="1" applyBorder="1" applyAlignment="1">
      <alignment horizontal="right" vertical="center"/>
    </xf>
    <xf numFmtId="4" fontId="2" fillId="0" borderId="1" xfId="0" applyNumberFormat="1" applyFont="1" applyBorder="1" applyAlignment="1">
      <alignment horizontal="right" vertical="center"/>
    </xf>
    <xf numFmtId="164" fontId="3" fillId="0" borderId="1" xfId="0" applyNumberFormat="1" applyFont="1" applyBorder="1" applyAlignment="1">
      <alignment horizontal="right"/>
    </xf>
    <xf numFmtId="0" fontId="2" fillId="0" borderId="0" xfId="0" applyFont="1" applyAlignment="1">
      <alignment vertical="center"/>
    </xf>
    <xf numFmtId="4" fontId="2" fillId="0" borderId="0" xfId="0" applyNumberFormat="1" applyFont="1" applyAlignment="1">
      <alignment horizontal="right" vertical="center"/>
    </xf>
    <xf numFmtId="165" fontId="3" fillId="0" borderId="0" xfId="0" applyNumberFormat="1" applyFont="1"/>
    <xf numFmtId="2" fontId="3" fillId="0" borderId="0" xfId="0" applyNumberFormat="1" applyFont="1"/>
    <xf numFmtId="0" fontId="0" fillId="0" borderId="0" xfId="0" quotePrefix="1"/>
    <xf numFmtId="166" fontId="0" fillId="0" borderId="0" xfId="1" applyNumberFormat="1" applyFont="1"/>
    <xf numFmtId="0" fontId="9" fillId="0" borderId="0" xfId="0" applyFont="1"/>
    <xf numFmtId="166" fontId="9" fillId="0" borderId="0" xfId="1" applyNumberFormat="1" applyFont="1"/>
    <xf numFmtId="166" fontId="0" fillId="0" borderId="0" xfId="1" quotePrefix="1" applyNumberFormat="1" applyFont="1"/>
    <xf numFmtId="166" fontId="10" fillId="0" borderId="0" xfId="1" applyNumberFormat="1" applyFont="1"/>
    <xf numFmtId="166" fontId="0" fillId="0" borderId="0" xfId="0" applyNumberFormat="1"/>
    <xf numFmtId="167" fontId="0" fillId="0" borderId="0" xfId="0" applyNumberFormat="1"/>
    <xf numFmtId="0" fontId="3" fillId="2" borderId="1" xfId="0" applyFont="1" applyFill="1" applyBorder="1" applyAlignment="1">
      <alignment horizontal="center" vertical="center"/>
    </xf>
    <xf numFmtId="164" fontId="3" fillId="2" borderId="1" xfId="0" applyNumberFormat="1" applyFont="1" applyFill="1" applyBorder="1" applyAlignment="1">
      <alignment horizontal="right" vertical="center"/>
    </xf>
    <xf numFmtId="0" fontId="0" fillId="2" borderId="0" xfId="0" applyFill="1"/>
    <xf numFmtId="164" fontId="3" fillId="0" borderId="0" xfId="0" applyNumberFormat="1" applyFont="1" applyAlignment="1">
      <alignment horizontal="right"/>
    </xf>
    <xf numFmtId="164" fontId="3" fillId="0" borderId="0" xfId="0" applyNumberFormat="1" applyFont="1" applyAlignment="1">
      <alignment horizontal="right" vertical="center"/>
    </xf>
    <xf numFmtId="168" fontId="3" fillId="0" borderId="0" xfId="3" applyNumberFormat="1" applyFont="1"/>
    <xf numFmtId="168" fontId="3" fillId="0" borderId="0" xfId="3" applyNumberFormat="1" applyFont="1" applyAlignment="1">
      <alignment horizontal="right"/>
    </xf>
    <xf numFmtId="165" fontId="11" fillId="0" borderId="0" xfId="0" applyNumberFormat="1" applyFont="1"/>
    <xf numFmtId="0" fontId="2" fillId="0" borderId="0" xfId="0" applyFont="1"/>
    <xf numFmtId="165" fontId="2" fillId="0" borderId="0" xfId="0" applyNumberFormat="1" applyFont="1"/>
    <xf numFmtId="2" fontId="2" fillId="0" borderId="0" xfId="0" applyNumberFormat="1" applyFont="1"/>
    <xf numFmtId="0" fontId="8" fillId="0" borderId="0" xfId="0" applyFont="1"/>
    <xf numFmtId="9" fontId="2" fillId="0" borderId="0" xfId="3" applyFont="1" applyAlignment="1">
      <alignment horizontal="right" vertical="center"/>
    </xf>
    <xf numFmtId="9" fontId="2" fillId="0" borderId="0" xfId="3" applyFont="1" applyBorder="1" applyAlignment="1">
      <alignment horizontal="right" vertical="center"/>
    </xf>
    <xf numFmtId="4" fontId="12" fillId="0" borderId="0" xfId="0" applyNumberFormat="1" applyFont="1" applyAlignment="1">
      <alignment horizontal="right" vertical="center"/>
    </xf>
    <xf numFmtId="0" fontId="12" fillId="0" borderId="0" xfId="0" applyFont="1" applyAlignment="1">
      <alignment vertical="center"/>
    </xf>
    <xf numFmtId="164" fontId="12" fillId="0" borderId="0" xfId="0" applyNumberFormat="1" applyFont="1" applyAlignment="1">
      <alignment horizontal="right" vertical="center"/>
    </xf>
    <xf numFmtId="0" fontId="12" fillId="0" borderId="0" xfId="0" applyFont="1"/>
    <xf numFmtId="165" fontId="12" fillId="0" borderId="0" xfId="0" applyNumberFormat="1" applyFont="1"/>
    <xf numFmtId="168" fontId="2" fillId="0" borderId="0" xfId="3" applyNumberFormat="1" applyFont="1" applyBorder="1" applyAlignment="1">
      <alignment horizontal="right" vertical="center"/>
    </xf>
    <xf numFmtId="168" fontId="2" fillId="0" borderId="0" xfId="3" applyNumberFormat="1" applyFont="1" applyAlignment="1">
      <alignment horizontal="right" vertical="center"/>
    </xf>
    <xf numFmtId="4" fontId="0" fillId="0" borderId="0" xfId="0" applyNumberFormat="1"/>
    <xf numFmtId="164" fontId="2" fillId="0" borderId="0" xfId="0" applyNumberFormat="1" applyFont="1" applyAlignment="1">
      <alignment horizontal="right" vertical="center"/>
    </xf>
    <xf numFmtId="164" fontId="8" fillId="0" borderId="0" xfId="0" applyNumberFormat="1" applyFont="1"/>
    <xf numFmtId="164" fontId="0" fillId="0" borderId="0" xfId="0" applyNumberFormat="1"/>
    <xf numFmtId="168" fontId="0" fillId="0" borderId="0" xfId="3" applyNumberFormat="1" applyFont="1"/>
    <xf numFmtId="168" fontId="8" fillId="0" borderId="0" xfId="3" applyNumberFormat="1" applyFont="1"/>
    <xf numFmtId="165" fontId="3" fillId="0" borderId="1" xfId="0" applyNumberFormat="1" applyFont="1" applyBorder="1" applyAlignment="1">
      <alignment horizontal="right" vertical="center"/>
    </xf>
    <xf numFmtId="1" fontId="3" fillId="0" borderId="1" xfId="0" applyNumberFormat="1" applyFont="1" applyBorder="1" applyAlignment="1">
      <alignment horizontal="center" vertical="center"/>
    </xf>
    <xf numFmtId="9" fontId="3" fillId="0" borderId="0" xfId="3" applyFont="1"/>
    <xf numFmtId="0" fontId="2" fillId="0" borderId="0" xfId="0" applyFont="1" applyAlignment="1">
      <alignment horizontal="center" vertical="center"/>
    </xf>
    <xf numFmtId="0" fontId="0" fillId="0" borderId="0" xfId="0" quotePrefix="1" applyAlignment="1">
      <alignment horizontal="center" vertical="center"/>
    </xf>
    <xf numFmtId="0" fontId="0" fillId="0" borderId="0" xfId="0" quotePrefix="1" applyAlignment="1">
      <alignment horizontal="left" vertical="center"/>
    </xf>
    <xf numFmtId="2" fontId="2" fillId="0" borderId="0" xfId="3" applyNumberFormat="1" applyFont="1" applyAlignment="1">
      <alignment horizontal="right" vertical="center"/>
    </xf>
    <xf numFmtId="9" fontId="0" fillId="0" borderId="0" xfId="3" applyFont="1"/>
    <xf numFmtId="3" fontId="14" fillId="0" borderId="0" xfId="0" applyNumberFormat="1" applyFont="1" applyAlignment="1">
      <alignment horizontal="right" vertical="center"/>
    </xf>
    <xf numFmtId="4" fontId="15" fillId="0" borderId="0" xfId="0" applyNumberFormat="1" applyFont="1" applyAlignment="1">
      <alignment horizontal="right" vertical="center"/>
    </xf>
    <xf numFmtId="165" fontId="0" fillId="0" borderId="0" xfId="0" applyNumberFormat="1"/>
    <xf numFmtId="2" fontId="0" fillId="0" borderId="0" xfId="0" applyNumberFormat="1"/>
    <xf numFmtId="1" fontId="0" fillId="0" borderId="0" xfId="0" applyNumberFormat="1"/>
    <xf numFmtId="0" fontId="0" fillId="0" borderId="0" xfId="0" applyAlignment="1">
      <alignment horizontal="right"/>
    </xf>
    <xf numFmtId="165" fontId="0" fillId="3" borderId="0" xfId="0" applyNumberFormat="1" applyFill="1"/>
    <xf numFmtId="165" fontId="8" fillId="0" borderId="0" xfId="0" applyNumberFormat="1" applyFont="1"/>
    <xf numFmtId="165" fontId="16" fillId="0" borderId="0" xfId="0" applyNumberFormat="1" applyFont="1"/>
    <xf numFmtId="0" fontId="0" fillId="4" borderId="0" xfId="0" applyFill="1"/>
    <xf numFmtId="165" fontId="0" fillId="3" borderId="2" xfId="0" applyNumberFormat="1" applyFill="1" applyBorder="1"/>
    <xf numFmtId="165" fontId="0" fillId="3" borderId="3" xfId="0" applyNumberFormat="1" applyFill="1" applyBorder="1"/>
    <xf numFmtId="165" fontId="0" fillId="3" borderId="4" xfId="0" applyNumberFormat="1" applyFill="1" applyBorder="1"/>
    <xf numFmtId="165" fontId="0" fillId="3" borderId="5" xfId="0" applyNumberFormat="1" applyFill="1" applyBorder="1"/>
    <xf numFmtId="165" fontId="0" fillId="3" borderId="6" xfId="0" applyNumberFormat="1" applyFill="1" applyBorder="1"/>
    <xf numFmtId="165" fontId="0" fillId="3" borderId="7" xfId="0" applyNumberFormat="1" applyFill="1" applyBorder="1"/>
    <xf numFmtId="165" fontId="0" fillId="3" borderId="8" xfId="0" applyNumberFormat="1" applyFill="1" applyBorder="1"/>
    <xf numFmtId="165" fontId="0" fillId="3" borderId="9" xfId="0" applyNumberFormat="1" applyFill="1" applyBorder="1"/>
    <xf numFmtId="165" fontId="17" fillId="0" borderId="0" xfId="0" applyNumberFormat="1" applyFont="1"/>
    <xf numFmtId="165" fontId="0" fillId="2" borderId="0" xfId="0" applyNumberFormat="1" applyFill="1"/>
    <xf numFmtId="0" fontId="0" fillId="0" borderId="1" xfId="0" applyBorder="1"/>
    <xf numFmtId="165" fontId="0" fillId="0" borderId="1" xfId="0" applyNumberFormat="1" applyBorder="1"/>
    <xf numFmtId="165" fontId="0" fillId="3" borderId="1" xfId="0" applyNumberFormat="1" applyFill="1" applyBorder="1"/>
    <xf numFmtId="164" fontId="11" fillId="0" borderId="0" xfId="0" applyNumberFormat="1" applyFont="1" applyAlignment="1">
      <alignment horizontal="right" vertical="center"/>
    </xf>
    <xf numFmtId="165" fontId="18" fillId="0" borderId="0" xfId="0" applyNumberFormat="1" applyFont="1"/>
    <xf numFmtId="4" fontId="18" fillId="0" borderId="0" xfId="0" applyNumberFormat="1" applyFont="1" applyAlignment="1">
      <alignment horizontal="right" vertical="center"/>
    </xf>
    <xf numFmtId="165" fontId="9" fillId="0" borderId="0" xfId="0" applyNumberFormat="1" applyFont="1"/>
    <xf numFmtId="166" fontId="8" fillId="0" borderId="0" xfId="1" applyNumberFormat="1" applyFont="1"/>
    <xf numFmtId="166" fontId="16" fillId="0" borderId="0" xfId="1" applyNumberFormat="1" applyFont="1"/>
    <xf numFmtId="2" fontId="18" fillId="0" borderId="0" xfId="0" applyNumberFormat="1" applyFont="1"/>
    <xf numFmtId="165" fontId="11" fillId="0" borderId="1" xfId="0" applyNumberFormat="1" applyFont="1" applyBorder="1" applyAlignment="1">
      <alignment horizontal="right" vertical="center"/>
    </xf>
    <xf numFmtId="0" fontId="0" fillId="0" borderId="0" xfId="0" applyAlignment="1">
      <alignment vertical="center"/>
    </xf>
    <xf numFmtId="0" fontId="18" fillId="0" borderId="0" xfId="0" applyFont="1" applyAlignment="1">
      <alignment vertical="center"/>
    </xf>
    <xf numFmtId="3" fontId="18" fillId="0" borderId="0" xfId="0" applyNumberFormat="1" applyFont="1" applyAlignment="1">
      <alignment horizontal="right" vertical="center"/>
    </xf>
    <xf numFmtId="164" fontId="11" fillId="0" borderId="1" xfId="0" applyNumberFormat="1" applyFont="1" applyBorder="1" applyAlignment="1">
      <alignment horizontal="right"/>
    </xf>
    <xf numFmtId="0" fontId="20" fillId="0" borderId="0" xfId="0" applyFont="1" applyAlignment="1">
      <alignment vertical="center"/>
    </xf>
    <xf numFmtId="4" fontId="20" fillId="0" borderId="0" xfId="0" applyNumberFormat="1" applyFont="1" applyAlignment="1">
      <alignment horizontal="right" vertical="center"/>
    </xf>
    <xf numFmtId="164" fontId="20" fillId="0" borderId="1" xfId="0" applyNumberFormat="1" applyFont="1" applyBorder="1" applyAlignment="1">
      <alignment horizontal="right" vertical="center"/>
    </xf>
    <xf numFmtId="4" fontId="19" fillId="0" borderId="0" xfId="0" applyNumberFormat="1" applyFont="1" applyAlignment="1">
      <alignment horizontal="right" vertical="center"/>
    </xf>
    <xf numFmtId="164" fontId="21" fillId="0" borderId="0" xfId="0" applyNumberFormat="1" applyFont="1" applyAlignment="1">
      <alignment horizontal="right" vertical="center"/>
    </xf>
    <xf numFmtId="4" fontId="11" fillId="0" borderId="0" xfId="0" applyNumberFormat="1" applyFont="1" applyAlignment="1">
      <alignment horizontal="right" vertical="center"/>
    </xf>
    <xf numFmtId="0" fontId="0" fillId="5" borderId="0" xfId="0" applyFill="1"/>
    <xf numFmtId="164" fontId="18" fillId="0" borderId="0" xfId="0" applyNumberFormat="1" applyFont="1" applyAlignment="1">
      <alignment horizontal="right" vertical="center"/>
    </xf>
    <xf numFmtId="164" fontId="22" fillId="0" borderId="1" xfId="0" applyNumberFormat="1" applyFont="1" applyBorder="1" applyAlignment="1">
      <alignment horizontal="right"/>
    </xf>
    <xf numFmtId="10" fontId="2" fillId="0" borderId="0" xfId="3" applyNumberFormat="1" applyFont="1" applyAlignment="1">
      <alignment horizontal="right" vertical="center"/>
    </xf>
    <xf numFmtId="10" fontId="0" fillId="0" borderId="0" xfId="3" applyNumberFormat="1" applyFont="1"/>
    <xf numFmtId="164" fontId="3" fillId="0" borderId="0" xfId="0" applyNumberFormat="1" applyFont="1"/>
    <xf numFmtId="4" fontId="3" fillId="0" borderId="0" xfId="0" applyNumberFormat="1" applyFont="1"/>
    <xf numFmtId="168" fontId="3" fillId="0" borderId="0" xfId="0" applyNumberFormat="1" applyFont="1"/>
    <xf numFmtId="168" fontId="0" fillId="0" borderId="0" xfId="0" applyNumberFormat="1"/>
    <xf numFmtId="4" fontId="18" fillId="2" borderId="0" xfId="0" applyNumberFormat="1" applyFont="1" applyFill="1" applyAlignment="1">
      <alignment horizontal="right" vertical="center"/>
    </xf>
    <xf numFmtId="0" fontId="2" fillId="0" borderId="0" xfId="0" applyFont="1" applyAlignment="1">
      <alignment horizontal="left" vertical="center" wrapText="1"/>
    </xf>
    <xf numFmtId="0" fontId="4" fillId="0" borderId="0" xfId="0" applyFont="1" applyAlignment="1">
      <alignment horizontal="right"/>
    </xf>
    <xf numFmtId="0" fontId="4" fillId="0" borderId="0" xfId="0" applyFont="1" applyAlignment="1">
      <alignment horizontal="left"/>
    </xf>
    <xf numFmtId="0" fontId="3" fillId="0" borderId="0" xfId="0" quotePrefix="1"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xf>
    <xf numFmtId="0" fontId="0" fillId="0" borderId="0" xfId="0" applyAlignment="1">
      <alignment horizontal="center"/>
    </xf>
    <xf numFmtId="0" fontId="0" fillId="0" borderId="1"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cellXfs>
  <cellStyles count="4">
    <cellStyle name="Comma" xfId="1" builtinId="3"/>
    <cellStyle name="Comma 2" xfId="2" xr:uid="{1A06E99C-A622-42D3-ADFD-7BD6CAD94548}"/>
    <cellStyle name="Normal" xfId="0" builtinId="0"/>
    <cellStyle name="Percent" xfId="3" builtinId="5"/>
  </cellStyles>
  <dxfs count="0"/>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r>
              <a:rPr lang="en-US">
                <a:solidFill>
                  <a:srgbClr val="000099"/>
                </a:solidFill>
              </a:rPr>
              <a:t>Sản</a:t>
            </a:r>
            <a:r>
              <a:rPr lang="en-US" baseline="0">
                <a:solidFill>
                  <a:srgbClr val="000099"/>
                </a:solidFill>
              </a:rPr>
              <a:t> lượng qua các năm</a:t>
            </a:r>
            <a:endParaRPr lang="en-US">
              <a:solidFill>
                <a:srgbClr val="00009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99"/>
              </a:solidFill>
              <a:latin typeface="+mn-lt"/>
              <a:ea typeface="+mn-ea"/>
              <a:cs typeface="+mn-cs"/>
            </a:defRPr>
          </a:pPr>
          <a:endParaRPr lang="en-US"/>
        </a:p>
      </c:txPr>
    </c:title>
    <c:autoTitleDeleted val="0"/>
    <c:plotArea>
      <c:layout>
        <c:manualLayout>
          <c:layoutTarget val="inner"/>
          <c:xMode val="edge"/>
          <c:yMode val="edge"/>
          <c:x val="3.8984795942084122E-2"/>
          <c:y val="0.12557614729073344"/>
          <c:w val="0.80533501048410228"/>
          <c:h val="0.76260170967156904"/>
        </c:manualLayout>
      </c:layout>
      <c:barChart>
        <c:barDir val="col"/>
        <c:grouping val="clustered"/>
        <c:varyColors val="0"/>
        <c:ser>
          <c:idx val="0"/>
          <c:order val="1"/>
          <c:tx>
            <c:v>KH</c:v>
          </c:tx>
          <c:spPr>
            <a:solidFill>
              <a:schemeClr val="accent1"/>
            </a:solidFill>
            <a:ln w="25400">
              <a:noFill/>
            </a:ln>
            <a:effectLst/>
          </c:spPr>
          <c:invertIfNegative val="0"/>
          <c:dLbls>
            <c:spPr>
              <a:noFill/>
              <a:ln>
                <a:noFill/>
              </a:ln>
              <a:effectLst/>
            </c:spPr>
            <c:txPr>
              <a:bodyPr rot="-5400000" spcFirstLastPara="1" vertOverflow="ellipsis" wrap="square" lIns="38100" tIns="19050" rIns="38100" bIns="19050" anchor="t"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SLD!$C$2:$C$18</c:f>
              <c:numCache>
                <c:formatCode>General</c:formatCode>
                <c:ptCount val="17"/>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numCache>
            </c:numRef>
          </c:cat>
          <c:val>
            <c:numRef>
              <c:f>SLD!$D$2:$D$18</c:f>
              <c:numCache>
                <c:formatCode>_(* #,##0.0_);_(* \(#,##0.0\);_(* "-"??_);_(@_)</c:formatCode>
                <c:ptCount val="17"/>
                <c:pt idx="0">
                  <c:v>0</c:v>
                </c:pt>
                <c:pt idx="1">
                  <c:v>0</c:v>
                </c:pt>
                <c:pt idx="2">
                  <c:v>0</c:v>
                </c:pt>
                <c:pt idx="3">
                  <c:v>0</c:v>
                </c:pt>
                <c:pt idx="4">
                  <c:v>2274.2199999999998</c:v>
                </c:pt>
                <c:pt idx="5">
                  <c:v>2677.0830000000001</c:v>
                </c:pt>
                <c:pt idx="6">
                  <c:v>2448.221</c:v>
                </c:pt>
                <c:pt idx="7">
                  <c:v>2374.732</c:v>
                </c:pt>
                <c:pt idx="8">
                  <c:v>2388.8020000000001</c:v>
                </c:pt>
                <c:pt idx="9">
                  <c:v>2402</c:v>
                </c:pt>
                <c:pt idx="10">
                  <c:v>2323.8000000000002</c:v>
                </c:pt>
                <c:pt idx="11">
                  <c:v>2397.63</c:v>
                </c:pt>
                <c:pt idx="12">
                  <c:v>2702.68</c:v>
                </c:pt>
                <c:pt idx="13">
                  <c:v>2366.9690000000001</c:v>
                </c:pt>
                <c:pt idx="14">
                  <c:v>2923</c:v>
                </c:pt>
                <c:pt idx="15">
                  <c:v>2690</c:v>
                </c:pt>
                <c:pt idx="16">
                  <c:v>2633</c:v>
                </c:pt>
              </c:numCache>
            </c:numRef>
          </c:val>
          <c:extLst>
            <c:ext xmlns:c16="http://schemas.microsoft.com/office/drawing/2014/chart" uri="{C3380CC4-5D6E-409C-BE32-E72D297353CC}">
              <c16:uniqueId val="{00000000-ADCC-4527-9D95-4AE15AE7D572}"/>
            </c:ext>
          </c:extLst>
        </c:ser>
        <c:ser>
          <c:idx val="1"/>
          <c:order val="2"/>
          <c:tx>
            <c:v>Thực phát</c:v>
          </c:tx>
          <c:spPr>
            <a:solidFill>
              <a:schemeClr val="accent2"/>
            </a:solidFill>
            <a:ln w="25400">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SLD!$C$2:$C$18</c:f>
              <c:numCache>
                <c:formatCode>General</c:formatCode>
                <c:ptCount val="17"/>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numCache>
            </c:numRef>
          </c:cat>
          <c:val>
            <c:numRef>
              <c:f>SLD!$E$2:$E$18</c:f>
              <c:numCache>
                <c:formatCode>_(* #,##0.0_);_(* \(#,##0.0\);_(* "-"??_);_(@_)</c:formatCode>
                <c:ptCount val="17"/>
                <c:pt idx="0">
                  <c:v>976.03949999999998</c:v>
                </c:pt>
                <c:pt idx="1">
                  <c:v>1881.5056500000001</c:v>
                </c:pt>
                <c:pt idx="2">
                  <c:v>2793.238703</c:v>
                </c:pt>
                <c:pt idx="3">
                  <c:v>2467.3496599999999</c:v>
                </c:pt>
                <c:pt idx="4">
                  <c:v>2225.6985850000001</c:v>
                </c:pt>
                <c:pt idx="5">
                  <c:v>2402.6730120000002</c:v>
                </c:pt>
                <c:pt idx="6">
                  <c:v>1551.4934410000001</c:v>
                </c:pt>
                <c:pt idx="7">
                  <c:v>2171.0010149999998</c:v>
                </c:pt>
                <c:pt idx="8">
                  <c:v>3591.4659660000002</c:v>
                </c:pt>
                <c:pt idx="9">
                  <c:v>2513.8349779999999</c:v>
                </c:pt>
                <c:pt idx="10">
                  <c:v>2407.8428880000001</c:v>
                </c:pt>
                <c:pt idx="11">
                  <c:v>2712.8491490000001</c:v>
                </c:pt>
                <c:pt idx="12">
                  <c:v>2645.1922060000002</c:v>
                </c:pt>
                <c:pt idx="13">
                  <c:v>3280.0151000000001</c:v>
                </c:pt>
                <c:pt idx="14">
                  <c:v>2930</c:v>
                </c:pt>
                <c:pt idx="15">
                  <c:v>2568</c:v>
                </c:pt>
                <c:pt idx="16">
                  <c:v>3136.8218489000001</c:v>
                </c:pt>
              </c:numCache>
            </c:numRef>
          </c:val>
          <c:extLst>
            <c:ext xmlns:c16="http://schemas.microsoft.com/office/drawing/2014/chart" uri="{C3380CC4-5D6E-409C-BE32-E72D297353CC}">
              <c16:uniqueId val="{00000001-ADCC-4527-9D95-4AE15AE7D572}"/>
            </c:ext>
          </c:extLst>
        </c:ser>
        <c:dLbls>
          <c:showLegendKey val="0"/>
          <c:showVal val="0"/>
          <c:showCatName val="0"/>
          <c:showSerName val="0"/>
          <c:showPercent val="0"/>
          <c:showBubbleSize val="0"/>
        </c:dLbls>
        <c:gapWidth val="150"/>
        <c:axId val="2027498911"/>
        <c:axId val="212388543"/>
      </c:barChart>
      <c:lineChart>
        <c:grouping val="standard"/>
        <c:varyColors val="0"/>
        <c:ser>
          <c:idx val="3"/>
          <c:order val="0"/>
          <c:tx>
            <c:v>E0_org</c:v>
          </c:tx>
          <c:spPr>
            <a:ln w="19050" cap="rnd">
              <a:solidFill>
                <a:srgbClr val="000099"/>
              </a:solidFill>
              <a:prstDash val="lgDashDotDot"/>
              <a:round/>
            </a:ln>
            <a:effectLst/>
          </c:spPr>
          <c:marker>
            <c:symbol val="none"/>
          </c:marker>
          <c:dLbls>
            <c:dLbl>
              <c:idx val="4"/>
              <c:tx>
                <c:rich>
                  <a:bodyPr/>
                  <a:lstStyle/>
                  <a:p>
                    <a:fld id="{248D1004-654F-4656-8EC1-C81A99EE0DEF}" type="VALUE">
                      <a:rPr lang="en-US"/>
                      <a:pPr/>
                      <a:t>[]</a:t>
                    </a:fld>
                    <a:endParaRPr/>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980-49F7-B716-ECCCD226D57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9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SLD!$A$2:$A$18</c:f>
              <c:numCache>
                <c:formatCode>_(* #,##0.0_);_(* \(#,##0.0\);_(* "-"??_);_(@_)</c:formatCode>
                <c:ptCount val="17"/>
                <c:pt idx="0">
                  <c:v>2877.4</c:v>
                </c:pt>
                <c:pt idx="1">
                  <c:v>2877.4</c:v>
                </c:pt>
                <c:pt idx="2">
                  <c:v>2877.4</c:v>
                </c:pt>
                <c:pt idx="3">
                  <c:v>2877.4</c:v>
                </c:pt>
                <c:pt idx="4">
                  <c:v>2877.4</c:v>
                </c:pt>
                <c:pt idx="5">
                  <c:v>2877.4</c:v>
                </c:pt>
                <c:pt idx="6">
                  <c:v>2877.4</c:v>
                </c:pt>
                <c:pt idx="7">
                  <c:v>2877.4</c:v>
                </c:pt>
                <c:pt idx="8">
                  <c:v>2877.4</c:v>
                </c:pt>
                <c:pt idx="9">
                  <c:v>2877.4</c:v>
                </c:pt>
                <c:pt idx="10">
                  <c:v>2877.4</c:v>
                </c:pt>
                <c:pt idx="11">
                  <c:v>2877.4</c:v>
                </c:pt>
                <c:pt idx="12">
                  <c:v>2877.4</c:v>
                </c:pt>
                <c:pt idx="13">
                  <c:v>2877.4</c:v>
                </c:pt>
                <c:pt idx="14">
                  <c:v>2877.4</c:v>
                </c:pt>
                <c:pt idx="15">
                  <c:v>2877.4</c:v>
                </c:pt>
                <c:pt idx="16">
                  <c:v>2877.4</c:v>
                </c:pt>
              </c:numCache>
            </c:numRef>
          </c:val>
          <c:smooth val="0"/>
          <c:extLst>
            <c:ext xmlns:c16="http://schemas.microsoft.com/office/drawing/2014/chart" uri="{C3380CC4-5D6E-409C-BE32-E72D297353CC}">
              <c16:uniqueId val="{00000000-E980-49F7-B716-ECCCD226D57C}"/>
            </c:ext>
          </c:extLst>
        </c:ser>
        <c:ser>
          <c:idx val="2"/>
          <c:order val="3"/>
          <c:tx>
            <c:v>E0_adj</c:v>
          </c:tx>
          <c:spPr>
            <a:ln w="19050" cap="rnd">
              <a:solidFill>
                <a:srgbClr val="FF0000"/>
              </a:solidFill>
              <a:prstDash val="dash"/>
              <a:round/>
            </a:ln>
            <a:effectLst/>
          </c:spPr>
          <c:marker>
            <c:symbol val="none"/>
          </c:marker>
          <c:dLbls>
            <c:dLbl>
              <c:idx val="7"/>
              <c:layout>
                <c:manualLayout>
                  <c:x val="-4.0816326530612242E-2"/>
                  <c:y val="-3.1209358548019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84-4035-8710-A9CC75D1D44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SLD!$C$6:$C$17</c:f>
              <c:numCache>
                <c:formatCode>General</c:formatCode>
                <c:ptCount val="12"/>
                <c:pt idx="0">
                  <c:v>2013</c:v>
                </c:pt>
                <c:pt idx="1">
                  <c:v>2014</c:v>
                </c:pt>
                <c:pt idx="2">
                  <c:v>2015</c:v>
                </c:pt>
                <c:pt idx="3">
                  <c:v>2016</c:v>
                </c:pt>
                <c:pt idx="4">
                  <c:v>2017</c:v>
                </c:pt>
                <c:pt idx="5">
                  <c:v>2018</c:v>
                </c:pt>
                <c:pt idx="6">
                  <c:v>2019</c:v>
                </c:pt>
                <c:pt idx="7">
                  <c:v>2020</c:v>
                </c:pt>
                <c:pt idx="8">
                  <c:v>2021</c:v>
                </c:pt>
                <c:pt idx="9">
                  <c:v>2022</c:v>
                </c:pt>
                <c:pt idx="10">
                  <c:v>2023</c:v>
                </c:pt>
                <c:pt idx="11">
                  <c:v>2024</c:v>
                </c:pt>
              </c:numCache>
            </c:numRef>
          </c:cat>
          <c:val>
            <c:numRef>
              <c:f>SLD!$B$2:$B$18</c:f>
              <c:numCache>
                <c:formatCode>General</c:formatCode>
                <c:ptCount val="17"/>
                <c:pt idx="0">
                  <c:v>2613</c:v>
                </c:pt>
                <c:pt idx="1">
                  <c:v>2613</c:v>
                </c:pt>
                <c:pt idx="2">
                  <c:v>2613</c:v>
                </c:pt>
                <c:pt idx="3">
                  <c:v>2613</c:v>
                </c:pt>
                <c:pt idx="4">
                  <c:v>2613</c:v>
                </c:pt>
                <c:pt idx="5">
                  <c:v>2613</c:v>
                </c:pt>
                <c:pt idx="6">
                  <c:v>2613</c:v>
                </c:pt>
                <c:pt idx="7">
                  <c:v>2613</c:v>
                </c:pt>
                <c:pt idx="8">
                  <c:v>2613</c:v>
                </c:pt>
                <c:pt idx="9">
                  <c:v>2613</c:v>
                </c:pt>
                <c:pt idx="10">
                  <c:v>2613</c:v>
                </c:pt>
                <c:pt idx="11">
                  <c:v>2613</c:v>
                </c:pt>
                <c:pt idx="12">
                  <c:v>2613</c:v>
                </c:pt>
                <c:pt idx="13">
                  <c:v>2613</c:v>
                </c:pt>
                <c:pt idx="14">
                  <c:v>2613</c:v>
                </c:pt>
                <c:pt idx="15">
                  <c:v>2613</c:v>
                </c:pt>
                <c:pt idx="16">
                  <c:v>2613</c:v>
                </c:pt>
              </c:numCache>
            </c:numRef>
          </c:val>
          <c:smooth val="0"/>
          <c:extLst>
            <c:ext xmlns:c16="http://schemas.microsoft.com/office/drawing/2014/chart" uri="{C3380CC4-5D6E-409C-BE32-E72D297353CC}">
              <c16:uniqueId val="{00000002-ADCC-4527-9D95-4AE15AE7D572}"/>
            </c:ext>
          </c:extLst>
        </c:ser>
        <c:dLbls>
          <c:showLegendKey val="0"/>
          <c:showVal val="0"/>
          <c:showCatName val="0"/>
          <c:showSerName val="0"/>
          <c:showPercent val="0"/>
          <c:showBubbleSize val="0"/>
        </c:dLbls>
        <c:marker val="1"/>
        <c:smooth val="0"/>
        <c:axId val="2027498911"/>
        <c:axId val="212388543"/>
      </c:lineChart>
      <c:catAx>
        <c:axId val="20274989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000099"/>
                    </a:solidFill>
                    <a:latin typeface="Arial" panose="020B0604020202020204" pitchFamily="34" charset="0"/>
                    <a:ea typeface="+mn-ea"/>
                    <a:cs typeface="Arial" panose="020B0604020202020204" pitchFamily="34" charset="0"/>
                  </a:defRPr>
                </a:pPr>
                <a:r>
                  <a:rPr lang="en-US">
                    <a:solidFill>
                      <a:srgbClr val="000099"/>
                    </a:solidFill>
                    <a:latin typeface="Arial" panose="020B0604020202020204" pitchFamily="34" charset="0"/>
                    <a:cs typeface="Arial" panose="020B0604020202020204" pitchFamily="34" charset="0"/>
                  </a:rPr>
                  <a:t>Năm</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0099"/>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Arial" panose="020B0604020202020204" pitchFamily="34" charset="0"/>
                <a:ea typeface="+mn-ea"/>
                <a:cs typeface="Arial" panose="020B0604020202020204" pitchFamily="34" charset="0"/>
              </a:defRPr>
            </a:pPr>
            <a:endParaRPr lang="en-US"/>
          </a:p>
        </c:txPr>
        <c:crossAx val="212388543"/>
        <c:crossesAt val="0"/>
        <c:auto val="1"/>
        <c:lblAlgn val="ctr"/>
        <c:lblOffset val="100"/>
        <c:tickMarkSkip val="1"/>
        <c:noMultiLvlLbl val="0"/>
      </c:catAx>
      <c:valAx>
        <c:axId val="212388543"/>
        <c:scaling>
          <c:orientation val="minMax"/>
          <c:max val="4000"/>
          <c:min val="0"/>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rgbClr val="000099"/>
                    </a:solidFill>
                    <a:latin typeface="+mn-lt"/>
                    <a:ea typeface="+mn-ea"/>
                    <a:cs typeface="+mn-cs"/>
                  </a:defRPr>
                </a:pPr>
                <a:r>
                  <a:rPr lang="en-US">
                    <a:solidFill>
                      <a:srgbClr val="000099"/>
                    </a:solidFill>
                  </a:rPr>
                  <a:t>tr.kwh</a:t>
                </a:r>
              </a:p>
            </c:rich>
          </c:tx>
          <c:layout>
            <c:manualLayout>
              <c:xMode val="edge"/>
              <c:yMode val="edge"/>
              <c:x val="2.6508766261145161E-3"/>
              <c:y val="5.2989425664356882E-2"/>
            </c:manualLayout>
          </c:layout>
          <c:overlay val="0"/>
          <c:spPr>
            <a:noFill/>
            <a:ln>
              <a:noFill/>
            </a:ln>
            <a:effectLst/>
          </c:spPr>
          <c:txPr>
            <a:bodyPr rot="0" spcFirstLastPara="1" vertOverflow="ellipsis" wrap="square" anchor="ctr" anchorCtr="1"/>
            <a:lstStyle/>
            <a:p>
              <a:pPr>
                <a:defRPr sz="1000" b="0" i="0" u="none" strike="noStrike" kern="1200" baseline="0">
                  <a:solidFill>
                    <a:srgbClr val="000099"/>
                  </a:solidFill>
                  <a:latin typeface="+mn-lt"/>
                  <a:ea typeface="+mn-ea"/>
                  <a:cs typeface="+mn-cs"/>
                </a:defRPr>
              </a:pPr>
              <a:endParaRPr lang="en-US"/>
            </a:p>
          </c:txPr>
        </c:title>
        <c:numFmt formatCode="@"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Arial" panose="020B0604020202020204" pitchFamily="34" charset="0"/>
                <a:ea typeface="+mn-ea"/>
                <a:cs typeface="Arial" panose="020B0604020202020204" pitchFamily="34" charset="0"/>
              </a:defRPr>
            </a:pPr>
            <a:endParaRPr lang="en-US"/>
          </a:p>
        </c:txPr>
        <c:crossAx val="202749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609599</xdr:colOff>
      <xdr:row>0</xdr:row>
      <xdr:rowOff>181926</xdr:rowOff>
    </xdr:from>
    <xdr:to>
      <xdr:col>22</xdr:col>
      <xdr:colOff>600074</xdr:colOff>
      <xdr:row>24</xdr:row>
      <xdr:rowOff>38100</xdr:rowOff>
    </xdr:to>
    <xdr:graphicFrame macro="">
      <xdr:nvGraphicFramePr>
        <xdr:cNvPr id="3" name="Chart 2">
          <a:extLst>
            <a:ext uri="{FF2B5EF4-FFF2-40B4-BE49-F238E27FC236}">
              <a16:creationId xmlns:a16="http://schemas.microsoft.com/office/drawing/2014/main" id="{781D4AC3-2BE1-4FC9-861C-278607A93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6"/>
  <sheetViews>
    <sheetView tabSelected="1" zoomScale="85" zoomScaleNormal="85" workbookViewId="0">
      <pane ySplit="5" topLeftCell="A53" activePane="bottomLeft" state="frozen"/>
      <selection pane="bottomLeft" activeCell="C55" sqref="C55:H55"/>
    </sheetView>
  </sheetViews>
  <sheetFormatPr defaultRowHeight="15"/>
  <cols>
    <col min="1" max="1" width="9.28515625" customWidth="1"/>
    <col min="2" max="15" width="10.7109375" customWidth="1"/>
    <col min="20" max="20" width="11" bestFit="1" customWidth="1"/>
  </cols>
  <sheetData>
    <row r="1" spans="1:19" ht="15.75">
      <c r="A1" s="109" t="s">
        <v>0</v>
      </c>
      <c r="B1" s="109"/>
      <c r="C1" s="109"/>
      <c r="D1" s="109"/>
      <c r="E1" s="109"/>
      <c r="F1" s="109"/>
      <c r="G1" s="109"/>
      <c r="H1" s="109"/>
      <c r="I1" s="109"/>
      <c r="J1" s="109"/>
      <c r="K1" s="109"/>
      <c r="L1" s="109"/>
      <c r="M1" s="109"/>
      <c r="N1" s="109"/>
      <c r="O1" s="109"/>
    </row>
    <row r="2" spans="1:19" ht="15.75">
      <c r="A2" s="110" t="s">
        <v>1</v>
      </c>
      <c r="B2" s="110"/>
      <c r="C2" s="111" t="s">
        <v>2</v>
      </c>
      <c r="D2" s="111"/>
      <c r="E2" s="111"/>
      <c r="F2" s="111"/>
      <c r="G2" s="111"/>
      <c r="H2" s="111"/>
      <c r="I2" s="111"/>
      <c r="J2" s="111"/>
      <c r="K2" s="111"/>
      <c r="L2" s="111"/>
      <c r="M2" s="111"/>
      <c r="N2" s="111"/>
      <c r="O2" s="111"/>
    </row>
    <row r="3" spans="1:19" ht="15.75">
      <c r="A3" s="2"/>
      <c r="B3" s="3"/>
      <c r="C3" s="1"/>
      <c r="D3" s="1"/>
      <c r="E3" s="1"/>
      <c r="F3" s="1"/>
      <c r="G3" s="1"/>
      <c r="H3" s="1"/>
      <c r="I3" s="1"/>
      <c r="J3" s="1"/>
      <c r="K3" s="1"/>
      <c r="L3" s="1"/>
      <c r="M3" s="1"/>
      <c r="N3" s="1"/>
      <c r="O3" s="1"/>
    </row>
    <row r="4" spans="1:19" ht="18">
      <c r="A4" s="1"/>
      <c r="B4" s="1"/>
      <c r="C4" s="1"/>
      <c r="D4" s="1"/>
      <c r="E4" s="1"/>
      <c r="F4" s="1"/>
      <c r="G4" s="1"/>
      <c r="H4" s="1"/>
      <c r="I4" s="1"/>
      <c r="J4" s="1"/>
      <c r="K4" s="1"/>
      <c r="L4" s="1"/>
      <c r="M4" s="1"/>
      <c r="N4" s="6" t="s">
        <v>3</v>
      </c>
      <c r="O4" s="1" t="s">
        <v>4</v>
      </c>
    </row>
    <row r="5" spans="1:19" ht="22.5" customHeight="1">
      <c r="A5" s="4" t="s">
        <v>5</v>
      </c>
      <c r="B5" s="4" t="s">
        <v>6</v>
      </c>
      <c r="C5" s="4" t="s">
        <v>7</v>
      </c>
      <c r="D5" s="4" t="s">
        <v>8</v>
      </c>
      <c r="E5" s="4" t="s">
        <v>9</v>
      </c>
      <c r="F5" s="4" t="s">
        <v>10</v>
      </c>
      <c r="G5" s="4" t="s">
        <v>11</v>
      </c>
      <c r="H5" s="4" t="s">
        <v>12</v>
      </c>
      <c r="I5" s="4" t="s">
        <v>13</v>
      </c>
      <c r="J5" s="4" t="s">
        <v>14</v>
      </c>
      <c r="K5" s="4" t="s">
        <v>15</v>
      </c>
      <c r="L5" s="4" t="s">
        <v>16</v>
      </c>
      <c r="M5" s="4" t="s">
        <v>17</v>
      </c>
      <c r="N5" s="4" t="s">
        <v>18</v>
      </c>
      <c r="O5" s="4" t="s">
        <v>19</v>
      </c>
    </row>
    <row r="6" spans="1:19" ht="22.5" customHeight="1">
      <c r="A6" s="5">
        <v>1</v>
      </c>
      <c r="B6" s="5">
        <v>1977</v>
      </c>
      <c r="C6" s="8">
        <v>38.6</v>
      </c>
      <c r="D6" s="8">
        <v>26.9</v>
      </c>
      <c r="E6" s="8">
        <v>18.2</v>
      </c>
      <c r="F6" s="8">
        <v>12.5</v>
      </c>
      <c r="G6" s="8">
        <v>17.3</v>
      </c>
      <c r="H6" s="8">
        <v>14.4</v>
      </c>
      <c r="I6" s="8">
        <v>49</v>
      </c>
      <c r="J6" s="8">
        <v>49.5</v>
      </c>
      <c r="K6" s="8">
        <v>166</v>
      </c>
      <c r="L6" s="8">
        <v>154</v>
      </c>
      <c r="M6" s="8">
        <v>88.2</v>
      </c>
      <c r="N6" s="8">
        <v>44</v>
      </c>
      <c r="O6" s="8">
        <f>AVERAGE(C6:N6)</f>
        <v>56.550000000000004</v>
      </c>
      <c r="R6">
        <f>CORREL($C$61:$M$61,C6:M6)</f>
        <v>0.57646603232795135</v>
      </c>
      <c r="S6">
        <f t="shared" ref="S6:S53" si="0">R6-$S$56</f>
        <v>-0.23804573996923439</v>
      </c>
    </row>
    <row r="7" spans="1:19" ht="22.5" customHeight="1">
      <c r="A7" s="5">
        <v>2</v>
      </c>
      <c r="B7" s="5">
        <v>1978</v>
      </c>
      <c r="C7" s="8">
        <v>23</v>
      </c>
      <c r="D7" s="8">
        <v>16.2</v>
      </c>
      <c r="E7" s="8">
        <v>15.1</v>
      </c>
      <c r="F7" s="8">
        <v>14.7</v>
      </c>
      <c r="G7" s="8">
        <v>29.8</v>
      </c>
      <c r="H7" s="8">
        <v>31</v>
      </c>
      <c r="I7" s="8">
        <v>75.2</v>
      </c>
      <c r="J7" s="8">
        <v>196</v>
      </c>
      <c r="K7" s="8">
        <v>225</v>
      </c>
      <c r="L7" s="8">
        <v>275</v>
      </c>
      <c r="M7" s="8">
        <v>145</v>
      </c>
      <c r="N7" s="8">
        <v>62.6</v>
      </c>
      <c r="O7" s="8">
        <f t="shared" ref="O7:O57" si="1">AVERAGE(C7:N7)</f>
        <v>92.383333333333326</v>
      </c>
      <c r="R7">
        <f t="shared" ref="R7:R53" si="2">CORREL($C$61:$M$61,C7:M7)</f>
        <v>9.5045003981056961E-2</v>
      </c>
      <c r="S7">
        <f t="shared" si="0"/>
        <v>-0.71946676831612877</v>
      </c>
    </row>
    <row r="8" spans="1:19" ht="22.5" customHeight="1">
      <c r="A8" s="5">
        <v>3</v>
      </c>
      <c r="B8" s="5">
        <v>1979</v>
      </c>
      <c r="C8" s="8">
        <v>37</v>
      </c>
      <c r="D8" s="8">
        <v>26.9</v>
      </c>
      <c r="E8" s="8">
        <v>21.5</v>
      </c>
      <c r="F8" s="8">
        <v>25.8</v>
      </c>
      <c r="G8" s="8">
        <v>34.9</v>
      </c>
      <c r="H8" s="8">
        <v>88.4</v>
      </c>
      <c r="I8" s="8">
        <v>165</v>
      </c>
      <c r="J8" s="8">
        <v>244</v>
      </c>
      <c r="K8" s="8">
        <v>129</v>
      </c>
      <c r="L8" s="8">
        <v>209</v>
      </c>
      <c r="M8" s="8">
        <v>150</v>
      </c>
      <c r="N8" s="8">
        <v>81.2</v>
      </c>
      <c r="O8" s="8">
        <f t="shared" si="1"/>
        <v>101.05833333333334</v>
      </c>
      <c r="R8">
        <f t="shared" si="2"/>
        <v>0.1098593126490062</v>
      </c>
      <c r="S8">
        <f t="shared" si="0"/>
        <v>-0.70465245964817957</v>
      </c>
    </row>
    <row r="9" spans="1:19" ht="22.5" customHeight="1">
      <c r="A9" s="5">
        <v>4</v>
      </c>
      <c r="B9" s="5">
        <v>1980</v>
      </c>
      <c r="C9" s="8">
        <v>57</v>
      </c>
      <c r="D9" s="8">
        <v>39.299999999999997</v>
      </c>
      <c r="E9" s="8">
        <v>28.3</v>
      </c>
      <c r="F9" s="8">
        <v>28.2</v>
      </c>
      <c r="G9" s="8">
        <v>47.3</v>
      </c>
      <c r="H9" s="8">
        <v>82.8</v>
      </c>
      <c r="I9" s="8">
        <v>84.7</v>
      </c>
      <c r="J9" s="8">
        <v>129</v>
      </c>
      <c r="K9" s="8">
        <v>249</v>
      </c>
      <c r="L9" s="8">
        <v>241</v>
      </c>
      <c r="M9" s="8">
        <v>183</v>
      </c>
      <c r="N9" s="8">
        <v>78.3</v>
      </c>
      <c r="O9" s="8">
        <f t="shared" si="1"/>
        <v>103.99166666666666</v>
      </c>
      <c r="R9">
        <f t="shared" si="2"/>
        <v>0.4093755952776027</v>
      </c>
      <c r="S9">
        <f t="shared" si="0"/>
        <v>-0.40513617701958304</v>
      </c>
    </row>
    <row r="10" spans="1:19" s="25" customFormat="1" ht="22.5" customHeight="1">
      <c r="A10" s="23">
        <v>5</v>
      </c>
      <c r="B10" s="23">
        <v>1981</v>
      </c>
      <c r="C10" s="24">
        <v>47.2</v>
      </c>
      <c r="D10" s="24">
        <v>34</v>
      </c>
      <c r="E10" s="24">
        <v>25.5</v>
      </c>
      <c r="F10" s="24">
        <v>24.1</v>
      </c>
      <c r="G10" s="24">
        <v>34.6</v>
      </c>
      <c r="H10" s="24">
        <v>104</v>
      </c>
      <c r="I10" s="24">
        <v>74.099999999999994</v>
      </c>
      <c r="J10" s="24">
        <v>282</v>
      </c>
      <c r="K10" s="24">
        <v>150</v>
      </c>
      <c r="L10" s="24">
        <v>274</v>
      </c>
      <c r="M10" s="24">
        <v>235</v>
      </c>
      <c r="N10" s="24">
        <v>158</v>
      </c>
      <c r="O10" s="24">
        <f t="shared" si="1"/>
        <v>120.20833333333333</v>
      </c>
      <c r="R10">
        <f t="shared" si="2"/>
        <v>0.31963649882789091</v>
      </c>
      <c r="S10" s="25">
        <f t="shared" si="0"/>
        <v>-0.49487527346929483</v>
      </c>
    </row>
    <row r="11" spans="1:19" ht="22.5" customHeight="1">
      <c r="A11" s="5">
        <v>6</v>
      </c>
      <c r="B11" s="5">
        <v>1982</v>
      </c>
      <c r="C11" s="8">
        <v>60.9</v>
      </c>
      <c r="D11" s="8">
        <v>39</v>
      </c>
      <c r="E11" s="8">
        <v>29.4</v>
      </c>
      <c r="F11" s="8">
        <v>31.5</v>
      </c>
      <c r="G11" s="8">
        <v>29</v>
      </c>
      <c r="H11" s="8">
        <v>75.099999999999994</v>
      </c>
      <c r="I11" s="8">
        <v>89</v>
      </c>
      <c r="J11" s="8">
        <v>76.7</v>
      </c>
      <c r="K11" s="8">
        <v>307</v>
      </c>
      <c r="L11" s="8">
        <v>135</v>
      </c>
      <c r="M11" s="8">
        <v>80.7</v>
      </c>
      <c r="N11" s="8">
        <v>49</v>
      </c>
      <c r="O11" s="8">
        <f t="shared" si="1"/>
        <v>83.524999999999991</v>
      </c>
      <c r="R11">
        <f t="shared" si="2"/>
        <v>0.4806058680936543</v>
      </c>
      <c r="S11">
        <f t="shared" si="0"/>
        <v>-0.33390590420353145</v>
      </c>
    </row>
    <row r="12" spans="1:19" ht="22.5" customHeight="1">
      <c r="A12" s="5">
        <v>7</v>
      </c>
      <c r="B12" s="5">
        <v>1983</v>
      </c>
      <c r="C12" s="8">
        <v>38.1</v>
      </c>
      <c r="D12" s="8">
        <v>27.6</v>
      </c>
      <c r="E12" s="8">
        <v>22.1</v>
      </c>
      <c r="F12" s="8">
        <v>18.3</v>
      </c>
      <c r="G12" s="8">
        <v>28.5</v>
      </c>
      <c r="H12" s="8">
        <v>50</v>
      </c>
      <c r="I12" s="8">
        <v>41.8</v>
      </c>
      <c r="J12" s="8">
        <v>106</v>
      </c>
      <c r="K12" s="8">
        <v>107</v>
      </c>
      <c r="L12" s="8">
        <v>302</v>
      </c>
      <c r="M12" s="8">
        <v>123</v>
      </c>
      <c r="N12" s="8">
        <v>61.1</v>
      </c>
      <c r="O12" s="8">
        <f t="shared" si="1"/>
        <v>77.125000000000014</v>
      </c>
      <c r="R12">
        <f t="shared" si="2"/>
        <v>0.56963126085619387</v>
      </c>
      <c r="S12">
        <f t="shared" si="0"/>
        <v>-0.24488051144099188</v>
      </c>
    </row>
    <row r="13" spans="1:19" ht="22.5" customHeight="1">
      <c r="A13" s="5">
        <v>8</v>
      </c>
      <c r="B13" s="5">
        <v>1984</v>
      </c>
      <c r="C13" s="8">
        <v>41.4</v>
      </c>
      <c r="D13" s="8">
        <v>28.4</v>
      </c>
      <c r="E13" s="8">
        <v>21.9</v>
      </c>
      <c r="F13" s="8">
        <v>26.7</v>
      </c>
      <c r="G13" s="8">
        <v>43.9</v>
      </c>
      <c r="H13" s="8">
        <v>81.099999999999994</v>
      </c>
      <c r="I13" s="8">
        <v>94.9</v>
      </c>
      <c r="J13" s="8">
        <v>296</v>
      </c>
      <c r="K13" s="8">
        <v>250</v>
      </c>
      <c r="L13" s="8">
        <v>254</v>
      </c>
      <c r="M13" s="8">
        <v>115</v>
      </c>
      <c r="N13" s="8">
        <v>79</v>
      </c>
      <c r="O13" s="8">
        <f t="shared" si="1"/>
        <v>111.02499999999999</v>
      </c>
      <c r="R13">
        <f t="shared" si="2"/>
        <v>0.19583669335009701</v>
      </c>
      <c r="S13">
        <f t="shared" si="0"/>
        <v>-0.61867507894708873</v>
      </c>
    </row>
    <row r="14" spans="1:19" ht="22.5" customHeight="1">
      <c r="A14" s="5">
        <v>9</v>
      </c>
      <c r="B14" s="5">
        <v>1985</v>
      </c>
      <c r="C14" s="8">
        <v>43</v>
      </c>
      <c r="D14" s="8">
        <v>30</v>
      </c>
      <c r="E14" s="8">
        <v>23.4</v>
      </c>
      <c r="F14" s="8">
        <v>36.299999999999997</v>
      </c>
      <c r="G14" s="8">
        <v>43.3</v>
      </c>
      <c r="H14" s="8">
        <v>81.2</v>
      </c>
      <c r="I14" s="8">
        <v>112</v>
      </c>
      <c r="J14" s="8">
        <v>105</v>
      </c>
      <c r="K14" s="8">
        <v>178</v>
      </c>
      <c r="L14" s="8">
        <v>155</v>
      </c>
      <c r="M14" s="8">
        <v>90</v>
      </c>
      <c r="N14" s="8">
        <v>71.400000000000006</v>
      </c>
      <c r="O14" s="8">
        <f t="shared" si="1"/>
        <v>80.716666666666669</v>
      </c>
      <c r="R14">
        <f t="shared" si="2"/>
        <v>0.1288352182388815</v>
      </c>
      <c r="S14">
        <f t="shared" si="0"/>
        <v>-0.6856765540583043</v>
      </c>
    </row>
    <row r="15" spans="1:19" ht="22.5" customHeight="1">
      <c r="A15" s="5">
        <v>10</v>
      </c>
      <c r="B15" s="5">
        <v>1986</v>
      </c>
      <c r="C15" s="8">
        <v>39</v>
      </c>
      <c r="D15" s="8">
        <v>25.2</v>
      </c>
      <c r="E15" s="8">
        <v>19.399999999999999</v>
      </c>
      <c r="F15" s="8">
        <v>13.1</v>
      </c>
      <c r="G15" s="8">
        <v>24.6</v>
      </c>
      <c r="H15" s="8">
        <v>34.200000000000003</v>
      </c>
      <c r="I15" s="8">
        <v>70</v>
      </c>
      <c r="J15" s="8">
        <v>231</v>
      </c>
      <c r="K15" s="8">
        <v>167</v>
      </c>
      <c r="L15" s="8">
        <v>164</v>
      </c>
      <c r="M15" s="8">
        <v>96.7</v>
      </c>
      <c r="N15" s="8">
        <v>113</v>
      </c>
      <c r="O15" s="8">
        <f t="shared" si="1"/>
        <v>83.100000000000009</v>
      </c>
      <c r="R15">
        <f t="shared" si="2"/>
        <v>0.42394552508403582</v>
      </c>
      <c r="S15">
        <f t="shared" si="0"/>
        <v>-0.39056624721314992</v>
      </c>
    </row>
    <row r="16" spans="1:19" ht="22.5" customHeight="1">
      <c r="A16" s="5">
        <v>11</v>
      </c>
      <c r="B16" s="5">
        <v>1987</v>
      </c>
      <c r="C16" s="8">
        <v>51</v>
      </c>
      <c r="D16" s="8">
        <v>33.200000000000003</v>
      </c>
      <c r="E16" s="8">
        <v>24.8</v>
      </c>
      <c r="F16" s="8">
        <v>16.7</v>
      </c>
      <c r="G16" s="8">
        <v>22.4</v>
      </c>
      <c r="H16" s="8">
        <v>64</v>
      </c>
      <c r="I16" s="8">
        <v>118</v>
      </c>
      <c r="J16" s="8">
        <v>122</v>
      </c>
      <c r="K16" s="8">
        <v>213</v>
      </c>
      <c r="L16" s="8">
        <v>139</v>
      </c>
      <c r="M16" s="8">
        <v>111</v>
      </c>
      <c r="N16" s="8">
        <v>69.3</v>
      </c>
      <c r="O16" s="8">
        <f t="shared" si="1"/>
        <v>82.033333333333331</v>
      </c>
      <c r="R16">
        <f t="shared" si="2"/>
        <v>0.34634649133296752</v>
      </c>
      <c r="S16">
        <f t="shared" si="0"/>
        <v>-0.46816528096421822</v>
      </c>
    </row>
    <row r="17" spans="1:19" ht="22.5" customHeight="1">
      <c r="A17" s="5">
        <v>12</v>
      </c>
      <c r="B17" s="5">
        <v>1988</v>
      </c>
      <c r="C17" s="8">
        <v>44.4</v>
      </c>
      <c r="D17" s="8">
        <v>31.6</v>
      </c>
      <c r="E17" s="8">
        <v>21.5</v>
      </c>
      <c r="F17" s="8">
        <v>22</v>
      </c>
      <c r="G17" s="8">
        <v>41.2</v>
      </c>
      <c r="H17" s="8">
        <v>62.8</v>
      </c>
      <c r="I17" s="8">
        <v>66.7</v>
      </c>
      <c r="J17" s="8">
        <v>82</v>
      </c>
      <c r="K17" s="8">
        <v>139</v>
      </c>
      <c r="L17" s="8">
        <v>211</v>
      </c>
      <c r="M17" s="8">
        <v>173</v>
      </c>
      <c r="N17" s="8">
        <v>81.099999999999994</v>
      </c>
      <c r="O17" s="8">
        <f t="shared" si="1"/>
        <v>81.358333333333334</v>
      </c>
      <c r="R17">
        <f t="shared" si="2"/>
        <v>0.38928134232228612</v>
      </c>
      <c r="S17">
        <f t="shared" si="0"/>
        <v>-0.42523042997489963</v>
      </c>
    </row>
    <row r="18" spans="1:19" ht="22.5" customHeight="1">
      <c r="A18" s="5">
        <v>13</v>
      </c>
      <c r="B18" s="5">
        <v>1989</v>
      </c>
      <c r="C18" s="8">
        <v>55.3</v>
      </c>
      <c r="D18" s="8">
        <v>33.6</v>
      </c>
      <c r="E18" s="8">
        <v>31.4</v>
      </c>
      <c r="F18" s="8">
        <v>31.2</v>
      </c>
      <c r="G18" s="8">
        <v>73.2</v>
      </c>
      <c r="H18" s="8">
        <v>105</v>
      </c>
      <c r="I18" s="8">
        <v>131</v>
      </c>
      <c r="J18" s="8">
        <v>193</v>
      </c>
      <c r="K18" s="8">
        <v>243</v>
      </c>
      <c r="L18" s="8">
        <v>173</v>
      </c>
      <c r="M18" s="8">
        <v>93.9</v>
      </c>
      <c r="N18" s="8">
        <v>56.3</v>
      </c>
      <c r="O18" s="8">
        <f t="shared" si="1"/>
        <v>101.65833333333335</v>
      </c>
      <c r="R18">
        <f t="shared" si="2"/>
        <v>0.17129859399741712</v>
      </c>
      <c r="S18">
        <f t="shared" si="0"/>
        <v>-0.64321317829976865</v>
      </c>
    </row>
    <row r="19" spans="1:19" ht="22.5" customHeight="1">
      <c r="A19" s="5">
        <v>14</v>
      </c>
      <c r="B19" s="5">
        <v>1990</v>
      </c>
      <c r="C19" s="8">
        <v>37.700000000000003</v>
      </c>
      <c r="D19" s="8">
        <v>26.6</v>
      </c>
      <c r="E19" s="8">
        <v>20.5</v>
      </c>
      <c r="F19" s="8">
        <v>21.6</v>
      </c>
      <c r="G19" s="8">
        <v>27.8</v>
      </c>
      <c r="H19" s="8">
        <v>179</v>
      </c>
      <c r="I19" s="8">
        <v>134</v>
      </c>
      <c r="J19" s="8">
        <v>271</v>
      </c>
      <c r="K19" s="8">
        <v>260</v>
      </c>
      <c r="L19" s="8">
        <v>176</v>
      </c>
      <c r="M19" s="8">
        <v>229</v>
      </c>
      <c r="N19" s="8">
        <v>101</v>
      </c>
      <c r="O19" s="8">
        <f t="shared" si="1"/>
        <v>123.68333333333334</v>
      </c>
      <c r="R19">
        <f t="shared" si="2"/>
        <v>0.16596916160055908</v>
      </c>
      <c r="S19">
        <f t="shared" si="0"/>
        <v>-0.64854261069662666</v>
      </c>
    </row>
    <row r="20" spans="1:19" ht="22.5" customHeight="1">
      <c r="A20" s="5">
        <v>15</v>
      </c>
      <c r="B20" s="5">
        <v>1991</v>
      </c>
      <c r="C20" s="8">
        <v>62.2</v>
      </c>
      <c r="D20" s="8">
        <v>38.799999999999997</v>
      </c>
      <c r="E20" s="8">
        <v>30.4</v>
      </c>
      <c r="F20" s="8">
        <v>27.4</v>
      </c>
      <c r="G20" s="8">
        <v>40.700000000000003</v>
      </c>
      <c r="H20" s="8">
        <v>53.3</v>
      </c>
      <c r="I20" s="8">
        <v>87.3</v>
      </c>
      <c r="J20" s="8">
        <v>137</v>
      </c>
      <c r="K20" s="8">
        <v>178</v>
      </c>
      <c r="L20" s="8">
        <v>181</v>
      </c>
      <c r="M20" s="8">
        <v>81.400000000000006</v>
      </c>
      <c r="N20" s="8">
        <v>42.5</v>
      </c>
      <c r="O20" s="8">
        <f t="shared" si="1"/>
        <v>80</v>
      </c>
      <c r="R20">
        <f t="shared" si="2"/>
        <v>0.52722682846958235</v>
      </c>
      <c r="S20">
        <f t="shared" si="0"/>
        <v>-0.28728494382760339</v>
      </c>
    </row>
    <row r="21" spans="1:19" ht="22.5" customHeight="1">
      <c r="A21" s="5">
        <v>16</v>
      </c>
      <c r="B21" s="5">
        <v>1992</v>
      </c>
      <c r="C21" s="8">
        <v>27.6</v>
      </c>
      <c r="D21" s="8">
        <v>19.899999999999999</v>
      </c>
      <c r="E21" s="8">
        <v>16.3</v>
      </c>
      <c r="F21" s="8">
        <v>19.7</v>
      </c>
      <c r="G21" s="8">
        <v>31.5</v>
      </c>
      <c r="H21" s="8">
        <v>105</v>
      </c>
      <c r="I21" s="8">
        <v>87.1</v>
      </c>
      <c r="J21" s="8">
        <v>241</v>
      </c>
      <c r="K21" s="8">
        <v>225</v>
      </c>
      <c r="L21" s="8">
        <v>292</v>
      </c>
      <c r="M21" s="8">
        <v>173</v>
      </c>
      <c r="N21" s="8">
        <v>92.7</v>
      </c>
      <c r="O21" s="8">
        <f t="shared" si="1"/>
        <v>110.89999999999999</v>
      </c>
      <c r="R21">
        <f t="shared" si="2"/>
        <v>0.13498072192920885</v>
      </c>
      <c r="S21">
        <f t="shared" si="0"/>
        <v>-0.6795310503679769</v>
      </c>
    </row>
    <row r="22" spans="1:19" ht="22.5" customHeight="1">
      <c r="A22" s="5">
        <v>17</v>
      </c>
      <c r="B22" s="5">
        <v>1993</v>
      </c>
      <c r="C22" s="8">
        <v>50.3</v>
      </c>
      <c r="D22" s="8">
        <v>35.9</v>
      </c>
      <c r="E22" s="8">
        <v>31.9</v>
      </c>
      <c r="F22" s="8">
        <v>26.9</v>
      </c>
      <c r="G22" s="8">
        <v>43.3</v>
      </c>
      <c r="H22" s="8">
        <v>50.4</v>
      </c>
      <c r="I22" s="8">
        <v>103</v>
      </c>
      <c r="J22" s="8">
        <v>115</v>
      </c>
      <c r="K22" s="8">
        <v>137</v>
      </c>
      <c r="L22" s="8">
        <v>316</v>
      </c>
      <c r="M22" s="8">
        <v>133</v>
      </c>
      <c r="N22" s="8">
        <v>186</v>
      </c>
      <c r="O22" s="8">
        <f t="shared" si="1"/>
        <v>102.39166666666667</v>
      </c>
      <c r="R22">
        <f t="shared" si="2"/>
        <v>0.27054162752216127</v>
      </c>
      <c r="S22">
        <f t="shared" si="0"/>
        <v>-0.54397014477502448</v>
      </c>
    </row>
    <row r="23" spans="1:19" ht="22.5" customHeight="1">
      <c r="A23" s="5">
        <v>18</v>
      </c>
      <c r="B23" s="5">
        <v>1994</v>
      </c>
      <c r="C23" s="8">
        <v>65.5</v>
      </c>
      <c r="D23" s="8">
        <v>43.9</v>
      </c>
      <c r="E23" s="8">
        <v>32.700000000000003</v>
      </c>
      <c r="F23" s="8">
        <v>32.9</v>
      </c>
      <c r="G23" s="8">
        <v>41.6</v>
      </c>
      <c r="H23" s="8">
        <v>55.2</v>
      </c>
      <c r="I23" s="8">
        <v>121</v>
      </c>
      <c r="J23" s="8">
        <v>124</v>
      </c>
      <c r="K23" s="8">
        <v>201</v>
      </c>
      <c r="L23" s="8">
        <v>174</v>
      </c>
      <c r="M23" s="8">
        <v>76.7</v>
      </c>
      <c r="N23" s="8">
        <v>50</v>
      </c>
      <c r="O23" s="8">
        <f t="shared" si="1"/>
        <v>84.875</v>
      </c>
      <c r="R23">
        <f t="shared" si="2"/>
        <v>0.35402418349197867</v>
      </c>
      <c r="S23">
        <f t="shared" si="0"/>
        <v>-0.46048758880520707</v>
      </c>
    </row>
    <row r="24" spans="1:19" ht="22.5" customHeight="1">
      <c r="A24" s="5">
        <v>19</v>
      </c>
      <c r="B24" s="5">
        <v>1995</v>
      </c>
      <c r="C24" s="8">
        <v>33.4</v>
      </c>
      <c r="D24" s="8">
        <v>25.7</v>
      </c>
      <c r="E24" s="8">
        <v>21.7</v>
      </c>
      <c r="F24" s="8">
        <v>18.899999999999999</v>
      </c>
      <c r="G24" s="8">
        <v>25.5</v>
      </c>
      <c r="H24" s="8">
        <v>31.7</v>
      </c>
      <c r="I24" s="8">
        <v>59.5</v>
      </c>
      <c r="J24" s="8">
        <v>62.9</v>
      </c>
      <c r="K24" s="8">
        <v>138</v>
      </c>
      <c r="L24" s="8">
        <v>165</v>
      </c>
      <c r="M24" s="8">
        <v>73.400000000000006</v>
      </c>
      <c r="N24" s="8">
        <v>64.7</v>
      </c>
      <c r="O24" s="8">
        <f t="shared" si="1"/>
        <v>60.033333333333331</v>
      </c>
      <c r="R24">
        <f t="shared" si="2"/>
        <v>0.33442220185181448</v>
      </c>
      <c r="S24">
        <f t="shared" si="0"/>
        <v>-0.48008957044537126</v>
      </c>
    </row>
    <row r="25" spans="1:19" ht="22.5" customHeight="1">
      <c r="A25" s="5">
        <v>20</v>
      </c>
      <c r="B25" s="5">
        <v>1996</v>
      </c>
      <c r="C25" s="8">
        <v>47</v>
      </c>
      <c r="D25" s="8">
        <v>31.7</v>
      </c>
      <c r="E25" s="8">
        <v>25.9</v>
      </c>
      <c r="F25" s="8">
        <v>31.1</v>
      </c>
      <c r="G25" s="8">
        <v>67.2</v>
      </c>
      <c r="H25" s="8">
        <v>94.9</v>
      </c>
      <c r="I25" s="8">
        <v>125</v>
      </c>
      <c r="J25" s="8">
        <v>161</v>
      </c>
      <c r="K25" s="8">
        <v>249</v>
      </c>
      <c r="L25" s="8">
        <v>348</v>
      </c>
      <c r="M25" s="8">
        <v>267</v>
      </c>
      <c r="N25" s="8">
        <v>189</v>
      </c>
      <c r="O25" s="8">
        <f t="shared" si="1"/>
        <v>136.4</v>
      </c>
      <c r="R25">
        <f t="shared" si="2"/>
        <v>0.12167688455612456</v>
      </c>
      <c r="S25">
        <f t="shared" si="0"/>
        <v>-0.69283488774106117</v>
      </c>
    </row>
    <row r="26" spans="1:19" ht="22.5" customHeight="1">
      <c r="A26" s="5">
        <v>21</v>
      </c>
      <c r="B26" s="5">
        <v>1997</v>
      </c>
      <c r="C26" s="8">
        <v>78.400000000000006</v>
      </c>
      <c r="D26" s="8">
        <v>56.2</v>
      </c>
      <c r="E26" s="8">
        <v>39.4</v>
      </c>
      <c r="F26" s="8">
        <v>42.5</v>
      </c>
      <c r="G26" s="8">
        <v>56.4</v>
      </c>
      <c r="H26" s="8">
        <v>52.5</v>
      </c>
      <c r="I26" s="8">
        <v>144</v>
      </c>
      <c r="J26" s="8">
        <v>221</v>
      </c>
      <c r="K26" s="8">
        <v>211</v>
      </c>
      <c r="L26" s="8">
        <v>165</v>
      </c>
      <c r="M26" s="8">
        <v>106</v>
      </c>
      <c r="N26" s="8">
        <v>50.8</v>
      </c>
      <c r="O26" s="8">
        <f t="shared" si="1"/>
        <v>101.93333333333334</v>
      </c>
      <c r="R26">
        <f t="shared" si="2"/>
        <v>0.3115781548964614</v>
      </c>
      <c r="S26">
        <f t="shared" si="0"/>
        <v>-0.5029336174007244</v>
      </c>
    </row>
    <row r="27" spans="1:19" ht="22.5" customHeight="1">
      <c r="A27" s="5">
        <v>22</v>
      </c>
      <c r="B27" s="5">
        <v>1998</v>
      </c>
      <c r="C27" s="8">
        <v>40.1</v>
      </c>
      <c r="D27" s="8">
        <v>30.3</v>
      </c>
      <c r="E27" s="8">
        <v>21.7</v>
      </c>
      <c r="F27" s="8">
        <v>21</v>
      </c>
      <c r="G27" s="8">
        <v>38</v>
      </c>
      <c r="H27" s="8">
        <v>31.1</v>
      </c>
      <c r="I27" s="8">
        <v>50.6</v>
      </c>
      <c r="J27" s="8">
        <v>69.8</v>
      </c>
      <c r="K27" s="8">
        <v>82.7</v>
      </c>
      <c r="L27" s="8">
        <v>179</v>
      </c>
      <c r="M27" s="8">
        <v>312</v>
      </c>
      <c r="N27" s="8">
        <v>265</v>
      </c>
      <c r="O27" s="8">
        <f t="shared" si="1"/>
        <v>95.108333333333334</v>
      </c>
      <c r="R27">
        <f t="shared" si="2"/>
        <v>0.47249991312891043</v>
      </c>
      <c r="S27">
        <f t="shared" si="0"/>
        <v>-0.34201185916827531</v>
      </c>
    </row>
    <row r="28" spans="1:19" ht="22.5" customHeight="1">
      <c r="A28" s="5">
        <v>23</v>
      </c>
      <c r="B28" s="5">
        <v>1999</v>
      </c>
      <c r="C28" s="8">
        <v>136</v>
      </c>
      <c r="D28" s="8">
        <v>77.7</v>
      </c>
      <c r="E28" s="8">
        <v>61.9</v>
      </c>
      <c r="F28" s="8">
        <v>70.400000000000006</v>
      </c>
      <c r="G28" s="8">
        <v>149</v>
      </c>
      <c r="H28" s="8">
        <v>223</v>
      </c>
      <c r="I28" s="8">
        <v>180</v>
      </c>
      <c r="J28" s="8">
        <v>271</v>
      </c>
      <c r="K28" s="8">
        <v>180</v>
      </c>
      <c r="L28" s="8">
        <v>204</v>
      </c>
      <c r="M28" s="8">
        <v>186</v>
      </c>
      <c r="N28" s="8">
        <v>166</v>
      </c>
      <c r="O28" s="8">
        <f t="shared" si="1"/>
        <v>158.75</v>
      </c>
      <c r="R28">
        <f t="shared" si="2"/>
        <v>0.32787888143942623</v>
      </c>
      <c r="S28">
        <f t="shared" si="0"/>
        <v>-0.48663289085775951</v>
      </c>
    </row>
    <row r="29" spans="1:19" ht="22.5" customHeight="1">
      <c r="A29" s="5">
        <v>24</v>
      </c>
      <c r="B29" s="5">
        <v>2000</v>
      </c>
      <c r="C29" s="8">
        <v>70.8</v>
      </c>
      <c r="D29" s="8">
        <v>51.4</v>
      </c>
      <c r="E29" s="8">
        <v>41.5</v>
      </c>
      <c r="F29" s="8">
        <v>46.6</v>
      </c>
      <c r="G29" s="8">
        <v>52.1</v>
      </c>
      <c r="H29" s="8">
        <v>84.3</v>
      </c>
      <c r="I29" s="8">
        <v>145</v>
      </c>
      <c r="J29" s="8">
        <v>147</v>
      </c>
      <c r="K29" s="8">
        <v>289</v>
      </c>
      <c r="L29" s="8">
        <v>688</v>
      </c>
      <c r="M29" s="8">
        <v>288</v>
      </c>
      <c r="N29" s="8">
        <v>211</v>
      </c>
      <c r="O29" s="8">
        <f t="shared" si="1"/>
        <v>176.22499999999999</v>
      </c>
      <c r="R29">
        <f t="shared" si="2"/>
        <v>0.2595838807097286</v>
      </c>
      <c r="S29">
        <f t="shared" si="0"/>
        <v>-0.55492789158745714</v>
      </c>
    </row>
    <row r="30" spans="1:19" ht="22.5" customHeight="1">
      <c r="A30" s="5">
        <v>25</v>
      </c>
      <c r="B30" s="5">
        <v>2001</v>
      </c>
      <c r="C30" s="8">
        <v>74.099999999999994</v>
      </c>
      <c r="D30" s="8">
        <v>39.200000000000003</v>
      </c>
      <c r="E30" s="8">
        <v>33.799999999999997</v>
      </c>
      <c r="F30" s="8">
        <v>33</v>
      </c>
      <c r="G30" s="8">
        <v>39.6</v>
      </c>
      <c r="H30" s="8">
        <v>72.599999999999994</v>
      </c>
      <c r="I30" s="8">
        <v>95</v>
      </c>
      <c r="J30" s="8">
        <v>242</v>
      </c>
      <c r="K30" s="8">
        <v>204</v>
      </c>
      <c r="L30" s="8">
        <v>148</v>
      </c>
      <c r="M30" s="8">
        <v>121</v>
      </c>
      <c r="N30" s="8">
        <v>71.599999999999994</v>
      </c>
      <c r="O30" s="8">
        <f t="shared" si="1"/>
        <v>97.824999999999989</v>
      </c>
      <c r="R30">
        <f t="shared" si="2"/>
        <v>0.58224631751036116</v>
      </c>
      <c r="S30">
        <f t="shared" si="0"/>
        <v>-0.23226545478682459</v>
      </c>
    </row>
    <row r="31" spans="1:19" ht="22.5" customHeight="1">
      <c r="A31" s="5">
        <v>26</v>
      </c>
      <c r="B31" s="5">
        <v>2002</v>
      </c>
      <c r="C31" s="8">
        <v>65.599999999999994</v>
      </c>
      <c r="D31" s="8">
        <v>35</v>
      </c>
      <c r="E31" s="8">
        <v>30.8</v>
      </c>
      <c r="F31" s="8">
        <v>25.8</v>
      </c>
      <c r="G31" s="8">
        <v>21.9</v>
      </c>
      <c r="H31" s="8">
        <v>79.900000000000006</v>
      </c>
      <c r="I31" s="8">
        <v>63.2</v>
      </c>
      <c r="J31" s="8">
        <v>304</v>
      </c>
      <c r="K31" s="8">
        <v>225</v>
      </c>
      <c r="L31" s="8">
        <v>146</v>
      </c>
      <c r="M31" s="8">
        <v>122</v>
      </c>
      <c r="N31" s="8">
        <v>63.5</v>
      </c>
      <c r="O31" s="8">
        <f t="shared" si="1"/>
        <v>98.558333333333337</v>
      </c>
      <c r="R31">
        <f t="shared" si="2"/>
        <v>0.66291148420386026</v>
      </c>
      <c r="S31">
        <f t="shared" si="0"/>
        <v>-0.15160028809332549</v>
      </c>
    </row>
    <row r="32" spans="1:19" ht="22.5" customHeight="1">
      <c r="A32" s="5">
        <v>27</v>
      </c>
      <c r="B32" s="5">
        <v>2003</v>
      </c>
      <c r="C32" s="8">
        <v>51.8</v>
      </c>
      <c r="D32" s="8">
        <v>37.299999999999997</v>
      </c>
      <c r="E32" s="8">
        <v>28</v>
      </c>
      <c r="F32" s="8">
        <v>23.9</v>
      </c>
      <c r="G32" s="8">
        <v>52.4</v>
      </c>
      <c r="H32" s="8">
        <v>62.2</v>
      </c>
      <c r="I32" s="8">
        <v>82.2</v>
      </c>
      <c r="J32" s="8">
        <v>126</v>
      </c>
      <c r="K32" s="8">
        <v>171</v>
      </c>
      <c r="L32" s="8">
        <v>164</v>
      </c>
      <c r="M32" s="8">
        <v>107</v>
      </c>
      <c r="N32" s="8">
        <v>55.7</v>
      </c>
      <c r="O32" s="8">
        <f t="shared" si="1"/>
        <v>80.125</v>
      </c>
      <c r="R32">
        <f t="shared" si="2"/>
        <v>0.37499113825711977</v>
      </c>
      <c r="S32">
        <f t="shared" si="0"/>
        <v>-0.43952063404006597</v>
      </c>
    </row>
    <row r="33" spans="1:20" ht="22.5" customHeight="1">
      <c r="A33" s="23">
        <v>28</v>
      </c>
      <c r="B33" s="23">
        <v>2004</v>
      </c>
      <c r="C33" s="24">
        <v>43.2</v>
      </c>
      <c r="D33" s="24">
        <v>29.2</v>
      </c>
      <c r="E33" s="24">
        <v>21.4</v>
      </c>
      <c r="F33" s="24">
        <v>25.6</v>
      </c>
      <c r="G33" s="24">
        <v>29.9</v>
      </c>
      <c r="H33" s="24">
        <v>60.3</v>
      </c>
      <c r="I33" s="24">
        <v>60.9</v>
      </c>
      <c r="J33" s="24">
        <v>151</v>
      </c>
      <c r="K33" s="24">
        <v>94.1</v>
      </c>
      <c r="L33" s="24">
        <v>57.6</v>
      </c>
      <c r="M33" s="24">
        <v>32.5</v>
      </c>
      <c r="N33" s="24">
        <v>22.4</v>
      </c>
      <c r="O33" s="24">
        <f t="shared" si="1"/>
        <v>52.341666666666669</v>
      </c>
      <c r="P33" s="25"/>
      <c r="Q33" s="25"/>
      <c r="R33">
        <f t="shared" si="2"/>
        <v>0.4224046415368658</v>
      </c>
      <c r="S33" s="25">
        <f t="shared" si="0"/>
        <v>-0.39210713076031994</v>
      </c>
    </row>
    <row r="34" spans="1:20" ht="22.5" customHeight="1">
      <c r="A34" s="5">
        <v>29</v>
      </c>
      <c r="B34" s="5">
        <v>2005</v>
      </c>
      <c r="C34" s="8">
        <v>17.899999999999999</v>
      </c>
      <c r="D34" s="8">
        <v>15</v>
      </c>
      <c r="E34" s="8">
        <v>13.1</v>
      </c>
      <c r="F34" s="8">
        <v>13.6</v>
      </c>
      <c r="G34" s="8">
        <v>19.899999999999999</v>
      </c>
      <c r="H34" s="8">
        <v>25.7</v>
      </c>
      <c r="I34" s="8">
        <v>46.9</v>
      </c>
      <c r="J34" s="8">
        <v>94.9</v>
      </c>
      <c r="K34" s="8">
        <v>217</v>
      </c>
      <c r="L34" s="8">
        <v>118</v>
      </c>
      <c r="M34" s="8">
        <v>68.099999999999994</v>
      </c>
      <c r="N34" s="8">
        <v>169</v>
      </c>
      <c r="O34" s="8">
        <f t="shared" si="1"/>
        <v>68.25833333333334</v>
      </c>
      <c r="R34">
        <f t="shared" si="2"/>
        <v>0.11515499525875113</v>
      </c>
      <c r="S34">
        <f t="shared" si="0"/>
        <v>-0.69935677703843457</v>
      </c>
    </row>
    <row r="35" spans="1:20" ht="22.5" customHeight="1">
      <c r="A35" s="5">
        <v>30</v>
      </c>
      <c r="B35" s="5">
        <v>2006</v>
      </c>
      <c r="C35" s="8">
        <v>55.1</v>
      </c>
      <c r="D35" s="8">
        <v>41.1</v>
      </c>
      <c r="E35" s="8">
        <v>35.200000000000003</v>
      </c>
      <c r="F35" s="8">
        <v>36.200000000000003</v>
      </c>
      <c r="G35" s="8">
        <v>40</v>
      </c>
      <c r="H35" s="8">
        <v>47.8</v>
      </c>
      <c r="I35" s="8">
        <v>109</v>
      </c>
      <c r="J35" s="8">
        <v>201</v>
      </c>
      <c r="K35" s="8">
        <v>164</v>
      </c>
      <c r="L35" s="8">
        <v>230</v>
      </c>
      <c r="M35" s="8">
        <v>70.5</v>
      </c>
      <c r="N35" s="8">
        <v>51.5</v>
      </c>
      <c r="O35" s="8">
        <f t="shared" si="1"/>
        <v>90.116666666666674</v>
      </c>
      <c r="R35">
        <f t="shared" si="2"/>
        <v>0.25229956835135681</v>
      </c>
      <c r="S35">
        <f t="shared" si="0"/>
        <v>-0.56221220394582894</v>
      </c>
      <c r="T35">
        <v>2006</v>
      </c>
    </row>
    <row r="36" spans="1:20" ht="22.5" customHeight="1">
      <c r="A36" s="5">
        <v>31</v>
      </c>
      <c r="B36" s="5">
        <v>2007</v>
      </c>
      <c r="C36" s="8">
        <v>44.4</v>
      </c>
      <c r="D36" s="8">
        <v>30.2</v>
      </c>
      <c r="E36" s="8">
        <v>26.8</v>
      </c>
      <c r="F36" s="8">
        <v>25.2</v>
      </c>
      <c r="G36" s="8">
        <v>50.3</v>
      </c>
      <c r="H36" s="8">
        <v>66.099999999999994</v>
      </c>
      <c r="I36" s="8">
        <v>110</v>
      </c>
      <c r="J36" s="8">
        <v>374</v>
      </c>
      <c r="K36" s="8">
        <v>273</v>
      </c>
      <c r="L36" s="8">
        <v>284</v>
      </c>
      <c r="M36" s="8">
        <v>192</v>
      </c>
      <c r="N36" s="8">
        <v>95.2</v>
      </c>
      <c r="O36" s="8">
        <f t="shared" si="1"/>
        <v>130.93333333333334</v>
      </c>
      <c r="R36">
        <f t="shared" si="2"/>
        <v>0.18318123612506276</v>
      </c>
      <c r="S36">
        <f t="shared" si="0"/>
        <v>-0.63133053617212298</v>
      </c>
    </row>
    <row r="37" spans="1:20" ht="22.5" customHeight="1">
      <c r="A37" s="5">
        <v>32</v>
      </c>
      <c r="B37" s="5">
        <v>2008</v>
      </c>
      <c r="C37" s="8">
        <v>67.599999999999994</v>
      </c>
      <c r="D37" s="8">
        <v>50.4</v>
      </c>
      <c r="E37" s="8">
        <v>39.700000000000003</v>
      </c>
      <c r="F37" s="8">
        <v>35.4</v>
      </c>
      <c r="G37" s="8">
        <v>52.5</v>
      </c>
      <c r="H37" s="8">
        <v>50.9</v>
      </c>
      <c r="I37" s="8">
        <v>62.1</v>
      </c>
      <c r="J37" s="8">
        <v>106</v>
      </c>
      <c r="K37" s="8">
        <v>118</v>
      </c>
      <c r="L37" s="8">
        <v>126</v>
      </c>
      <c r="M37" s="8">
        <v>139</v>
      </c>
      <c r="N37" s="8">
        <v>79.3</v>
      </c>
      <c r="O37" s="8">
        <f t="shared" si="1"/>
        <v>77.24166666666666</v>
      </c>
      <c r="R37">
        <f t="shared" si="2"/>
        <v>0.81451177229718574</v>
      </c>
      <c r="S37">
        <f t="shared" si="0"/>
        <v>0</v>
      </c>
    </row>
    <row r="38" spans="1:20" ht="22.5" customHeight="1">
      <c r="A38" s="5">
        <v>33</v>
      </c>
      <c r="B38" s="5">
        <v>2009</v>
      </c>
      <c r="C38" s="8">
        <v>67.599999999999994</v>
      </c>
      <c r="D38" s="8">
        <v>50.4</v>
      </c>
      <c r="E38" s="8">
        <v>39.700000000000003</v>
      </c>
      <c r="F38" s="8">
        <v>35.4</v>
      </c>
      <c r="G38" s="8">
        <v>52.5</v>
      </c>
      <c r="H38" s="8">
        <v>50.9</v>
      </c>
      <c r="I38" s="8">
        <v>62.1</v>
      </c>
      <c r="J38" s="8">
        <v>106</v>
      </c>
      <c r="K38" s="8">
        <v>118</v>
      </c>
      <c r="L38" s="8">
        <v>126</v>
      </c>
      <c r="M38" s="8">
        <v>139</v>
      </c>
      <c r="N38" s="8">
        <v>79.3</v>
      </c>
      <c r="O38" s="8">
        <f t="shared" si="1"/>
        <v>77.24166666666666</v>
      </c>
      <c r="R38">
        <f t="shared" si="2"/>
        <v>0.81451177229718574</v>
      </c>
      <c r="S38">
        <f t="shared" si="0"/>
        <v>0</v>
      </c>
    </row>
    <row r="39" spans="1:20" ht="22.5" customHeight="1">
      <c r="A39" s="5">
        <v>34</v>
      </c>
      <c r="B39" s="5">
        <v>2010</v>
      </c>
      <c r="C39" s="8">
        <v>53.159612903225799</v>
      </c>
      <c r="D39" s="8">
        <v>33.250964285714289</v>
      </c>
      <c r="E39" s="8">
        <v>24.897000000000006</v>
      </c>
      <c r="F39" s="8">
        <v>26.511999537035603</v>
      </c>
      <c r="G39" s="8">
        <v>33.533806451612897</v>
      </c>
      <c r="H39" s="8">
        <v>47.043899999999994</v>
      </c>
      <c r="I39" s="8">
        <v>62.497508512549778</v>
      </c>
      <c r="J39" s="8">
        <v>88.085387096774198</v>
      </c>
      <c r="K39" s="8">
        <v>85.945666666666682</v>
      </c>
      <c r="L39" s="8">
        <v>114.58412903225809</v>
      </c>
      <c r="M39" s="8">
        <v>176.37712808642021</v>
      </c>
      <c r="N39" s="8">
        <v>87.431612903225798</v>
      </c>
      <c r="O39" s="8">
        <f t="shared" si="1"/>
        <v>69.44322628962361</v>
      </c>
      <c r="R39">
        <f t="shared" si="2"/>
        <v>0.62878046899330353</v>
      </c>
      <c r="S39">
        <f t="shared" si="0"/>
        <v>-0.18573130330388221</v>
      </c>
    </row>
    <row r="40" spans="1:20" ht="22.5" customHeight="1">
      <c r="A40" s="5">
        <v>35</v>
      </c>
      <c r="B40" s="5">
        <v>2011</v>
      </c>
      <c r="C40" s="8">
        <v>38.738900836320433</v>
      </c>
      <c r="D40" s="8">
        <v>27.375714285714288</v>
      </c>
      <c r="E40" s="8">
        <v>31.266451612903225</v>
      </c>
      <c r="F40" s="8">
        <v>28.102333333333331</v>
      </c>
      <c r="G40" s="8">
        <v>44.50928248207201</v>
      </c>
      <c r="H40" s="8">
        <v>93.037875231509133</v>
      </c>
      <c r="I40" s="8">
        <v>99.70354838709676</v>
      </c>
      <c r="J40" s="8">
        <v>132.49586648744747</v>
      </c>
      <c r="K40" s="8">
        <v>178.27868518519443</v>
      </c>
      <c r="L40" s="8">
        <v>269.91673596172609</v>
      </c>
      <c r="M40" s="8">
        <v>114.62363580246019</v>
      </c>
      <c r="N40" s="8">
        <v>78.933500597372273</v>
      </c>
      <c r="O40" s="8">
        <f t="shared" si="1"/>
        <v>94.748544183595811</v>
      </c>
      <c r="R40">
        <f t="shared" si="2"/>
        <v>0.13872087948796374</v>
      </c>
      <c r="S40">
        <f t="shared" si="0"/>
        <v>-0.675790892809222</v>
      </c>
    </row>
    <row r="41" spans="1:20" ht="22.5" customHeight="1">
      <c r="A41" s="5">
        <v>36</v>
      </c>
      <c r="B41" s="5">
        <v>2012</v>
      </c>
      <c r="C41" s="8">
        <v>55.972894265237954</v>
      </c>
      <c r="D41" s="8">
        <v>40.181792784181681</v>
      </c>
      <c r="E41" s="8">
        <v>32.362717517938343</v>
      </c>
      <c r="F41" s="8">
        <v>67.798986111149347</v>
      </c>
      <c r="G41" s="8">
        <v>64.25935573475536</v>
      </c>
      <c r="H41" s="8">
        <v>69.118345679022283</v>
      </c>
      <c r="I41" s="8">
        <v>99.439608721656029</v>
      </c>
      <c r="J41" s="8">
        <v>99.352768070596838</v>
      </c>
      <c r="K41" s="8">
        <v>216.54865725316139</v>
      </c>
      <c r="L41" s="8">
        <v>230.99617682199681</v>
      </c>
      <c r="M41" s="8">
        <v>85.825743827153886</v>
      </c>
      <c r="N41" s="8">
        <v>50.229206989236509</v>
      </c>
      <c r="O41" s="8">
        <f t="shared" si="1"/>
        <v>92.673854481340541</v>
      </c>
      <c r="R41">
        <f t="shared" si="2"/>
        <v>-6.1391149992982119E-2</v>
      </c>
      <c r="S41">
        <f t="shared" si="0"/>
        <v>-0.87590292229016786</v>
      </c>
    </row>
    <row r="42" spans="1:20" ht="22.5" customHeight="1">
      <c r="A42" s="5">
        <v>37</v>
      </c>
      <c r="B42" s="5">
        <v>2013</v>
      </c>
      <c r="C42" s="8">
        <v>41.046547192375925</v>
      </c>
      <c r="D42" s="8">
        <v>28.786989252657925</v>
      </c>
      <c r="E42" s="8">
        <v>25.524187948015204</v>
      </c>
      <c r="F42" s="8">
        <v>31.451485185186737</v>
      </c>
      <c r="G42" s="8">
        <v>50.590147849364676</v>
      </c>
      <c r="H42" s="8">
        <v>99.378532407469706</v>
      </c>
      <c r="I42" s="8">
        <v>133.13818443851662</v>
      </c>
      <c r="J42" s="8">
        <v>128.81654136793136</v>
      </c>
      <c r="K42" s="8">
        <v>188.24694506176547</v>
      </c>
      <c r="L42" s="8">
        <v>161.75350209077899</v>
      </c>
      <c r="M42" s="8">
        <v>97.149582716033137</v>
      </c>
      <c r="N42" s="8">
        <v>56.430753882905776</v>
      </c>
      <c r="O42" s="8">
        <f t="shared" si="1"/>
        <v>86.859449949416785</v>
      </c>
      <c r="R42">
        <f t="shared" si="2"/>
        <v>0.10646655517992076</v>
      </c>
      <c r="S42">
        <f t="shared" si="0"/>
        <v>-0.70804521711726498</v>
      </c>
    </row>
    <row r="43" spans="1:20" ht="22.5" customHeight="1">
      <c r="A43" s="5">
        <v>38</v>
      </c>
      <c r="B43" s="5">
        <v>2014</v>
      </c>
      <c r="C43" s="8">
        <v>35.146559737070518</v>
      </c>
      <c r="D43" s="8">
        <v>27.15906580688775</v>
      </c>
      <c r="E43" s="8">
        <v>23.631079375733613</v>
      </c>
      <c r="F43" s="8">
        <v>40.349888271594381</v>
      </c>
      <c r="G43" s="8">
        <v>51.112523894887069</v>
      </c>
      <c r="H43" s="8">
        <v>91.451206790143999</v>
      </c>
      <c r="I43" s="8">
        <v>161.72910170254349</v>
      </c>
      <c r="J43" s="8">
        <v>192.08524955206752</v>
      </c>
      <c r="K43" s="8">
        <v>178.71934567903116</v>
      </c>
      <c r="L43" s="8">
        <v>117.00135394264403</v>
      </c>
      <c r="M43" s="8">
        <v>66.744210493805511</v>
      </c>
      <c r="N43" s="8">
        <v>56.586698924764292</v>
      </c>
      <c r="O43" s="8">
        <f t="shared" si="1"/>
        <v>86.809690347597794</v>
      </c>
      <c r="R43">
        <f t="shared" si="2"/>
        <v>9.7841681452687408E-3</v>
      </c>
      <c r="S43">
        <f t="shared" si="0"/>
        <v>-0.80472760415191702</v>
      </c>
    </row>
    <row r="44" spans="1:20" ht="22.5" customHeight="1">
      <c r="A44" s="5">
        <v>39</v>
      </c>
      <c r="B44" s="5">
        <v>2015</v>
      </c>
      <c r="C44" s="8">
        <v>36.899219235444427</v>
      </c>
      <c r="D44" s="8">
        <v>27.700377976303493</v>
      </c>
      <c r="E44" s="8">
        <v>21.834744250359524</v>
      </c>
      <c r="F44" s="8">
        <v>20.873681249971828</v>
      </c>
      <c r="G44" s="8">
        <v>32.755230510842587</v>
      </c>
      <c r="H44" s="8">
        <v>65.172759490823239</v>
      </c>
      <c r="I44" s="8">
        <v>84.748947207350341</v>
      </c>
      <c r="J44" s="8">
        <v>100.64193548387097</v>
      </c>
      <c r="K44" s="8">
        <v>89.368023865740454</v>
      </c>
      <c r="L44" s="8">
        <v>95.338733042582007</v>
      </c>
      <c r="M44" s="8">
        <v>65.611737461419381</v>
      </c>
      <c r="N44" s="8">
        <v>49.560215247355998</v>
      </c>
      <c r="O44" s="8">
        <f t="shared" si="1"/>
        <v>57.542133751838684</v>
      </c>
      <c r="R44">
        <f t="shared" si="2"/>
        <v>0.24057025474551383</v>
      </c>
      <c r="S44">
        <f t="shared" si="0"/>
        <v>-0.57394151755167189</v>
      </c>
    </row>
    <row r="45" spans="1:20" ht="22.5" customHeight="1">
      <c r="A45" s="5">
        <v>40</v>
      </c>
      <c r="B45" s="5">
        <v>2016</v>
      </c>
      <c r="C45" s="8">
        <v>29.580185111435593</v>
      </c>
      <c r="D45" s="8">
        <v>16.848667478675001</v>
      </c>
      <c r="E45" s="8">
        <v>18.407985485793549</v>
      </c>
      <c r="F45" s="8">
        <v>16.031014531152952</v>
      </c>
      <c r="G45" s="8">
        <v>33.494146653889509</v>
      </c>
      <c r="H45" s="8">
        <v>59.305720097166024</v>
      </c>
      <c r="I45" s="8">
        <v>76.74981678818763</v>
      </c>
      <c r="J45" s="8">
        <v>99.231310763888885</v>
      </c>
      <c r="K45" s="8">
        <v>121.84469738618897</v>
      </c>
      <c r="L45" s="8">
        <v>202.08879389572627</v>
      </c>
      <c r="M45" s="8">
        <v>187.2208672249819</v>
      </c>
      <c r="N45" s="8">
        <v>135.96849792845055</v>
      </c>
      <c r="O45" s="8">
        <f t="shared" si="1"/>
        <v>83.064308612128073</v>
      </c>
      <c r="R45">
        <f t="shared" si="2"/>
        <v>0.18617260630156388</v>
      </c>
      <c r="S45">
        <f t="shared" si="0"/>
        <v>-0.6283391659956219</v>
      </c>
    </row>
    <row r="46" spans="1:20" ht="22.5" customHeight="1">
      <c r="A46" s="5">
        <v>41</v>
      </c>
      <c r="B46" s="5">
        <v>2017</v>
      </c>
      <c r="C46" s="8">
        <v>82.219469729025406</v>
      </c>
      <c r="D46" s="8">
        <v>52.005773137814423</v>
      </c>
      <c r="E46" s="8">
        <v>36.55785361077907</v>
      </c>
      <c r="F46" s="8">
        <v>43.784481540871404</v>
      </c>
      <c r="G46" s="8">
        <v>118.53983196664123</v>
      </c>
      <c r="H46" s="8">
        <v>102.65489337902204</v>
      </c>
      <c r="I46" s="8">
        <v>183.00931298605718</v>
      </c>
      <c r="J46" s="8">
        <v>189.46759352616743</v>
      </c>
      <c r="K46" s="8">
        <v>162.03646946132204</v>
      </c>
      <c r="L46" s="8">
        <v>187.77007677030474</v>
      </c>
      <c r="M46" s="8">
        <v>185.4505127565362</v>
      </c>
      <c r="N46" s="8">
        <v>118.3095881519756</v>
      </c>
      <c r="O46" s="8">
        <f t="shared" si="1"/>
        <v>121.81715475137639</v>
      </c>
      <c r="R46">
        <f t="shared" si="2"/>
        <v>0.15863570474777644</v>
      </c>
      <c r="S46">
        <f t="shared" si="0"/>
        <v>-0.6558760675494093</v>
      </c>
    </row>
    <row r="47" spans="1:20" ht="22.5" customHeight="1">
      <c r="A47" s="5">
        <v>42</v>
      </c>
      <c r="B47" s="5">
        <v>2018</v>
      </c>
      <c r="C47" s="8">
        <v>60.156740964755059</v>
      </c>
      <c r="D47" s="8">
        <v>39.041922395718593</v>
      </c>
      <c r="E47" s="8">
        <v>36.13144236323707</v>
      </c>
      <c r="F47" s="8">
        <v>29.832382908950844</v>
      </c>
      <c r="G47" s="8">
        <v>53.662190486857497</v>
      </c>
      <c r="H47" s="8">
        <v>69.586726820957182</v>
      </c>
      <c r="I47" s="8">
        <v>144.02002126632186</v>
      </c>
      <c r="J47" s="8">
        <v>225.96622996004422</v>
      </c>
      <c r="K47" s="8">
        <v>218.48002961033882</v>
      </c>
      <c r="L47" s="8">
        <v>116.32078511424751</v>
      </c>
      <c r="M47" s="8">
        <v>91.773558063271778</v>
      </c>
      <c r="N47" s="8">
        <v>84.968060161558284</v>
      </c>
      <c r="O47" s="8">
        <f t="shared" si="1"/>
        <v>97.495007509688222</v>
      </c>
      <c r="R47">
        <f t="shared" si="2"/>
        <v>0.2339962111481336</v>
      </c>
      <c r="S47">
        <f t="shared" si="0"/>
        <v>-0.58051556114905212</v>
      </c>
    </row>
    <row r="48" spans="1:20" ht="20.25" customHeight="1">
      <c r="A48" s="5">
        <v>43</v>
      </c>
      <c r="B48" s="5">
        <v>2019</v>
      </c>
      <c r="C48" s="10">
        <v>71.103282258064525</v>
      </c>
      <c r="D48" s="10">
        <v>33.986028465608349</v>
      </c>
      <c r="E48" s="10">
        <v>27.042327168577021</v>
      </c>
      <c r="F48" s="10">
        <v>29.647687975555311</v>
      </c>
      <c r="G48" s="10">
        <v>32.275657863003438</v>
      </c>
      <c r="H48" s="10">
        <v>46.812662552806401</v>
      </c>
      <c r="I48" s="10">
        <v>63.078359366171476</v>
      </c>
      <c r="J48" s="10">
        <v>151.61792792840828</v>
      </c>
      <c r="K48" s="10">
        <v>234.25467597557554</v>
      </c>
      <c r="L48" s="10">
        <v>107.68453867460541</v>
      </c>
      <c r="M48" s="10">
        <v>167.07581858945139</v>
      </c>
      <c r="N48" s="10">
        <v>66.735622909200004</v>
      </c>
      <c r="O48" s="8">
        <f t="shared" si="1"/>
        <v>85.942882477252269</v>
      </c>
      <c r="R48">
        <f t="shared" si="2"/>
        <v>0.81378328897228414</v>
      </c>
      <c r="S48">
        <f t="shared" si="0"/>
        <v>-7.2848332490160761E-4</v>
      </c>
    </row>
    <row r="49" spans="1:20" ht="20.25" customHeight="1">
      <c r="A49" s="5">
        <v>44</v>
      </c>
      <c r="B49" s="5">
        <v>2020</v>
      </c>
      <c r="C49" s="10">
        <v>38.33574257133629</v>
      </c>
      <c r="D49" s="10">
        <v>30.678342911877447</v>
      </c>
      <c r="E49" s="10">
        <v>21.352688172043006</v>
      </c>
      <c r="F49" s="10">
        <v>21.049055555555551</v>
      </c>
      <c r="G49" s="10">
        <v>20.578763440860214</v>
      </c>
      <c r="H49" s="10">
        <v>56.84350000000002</v>
      </c>
      <c r="I49" s="10">
        <v>81.693978494623664</v>
      </c>
      <c r="J49" s="10">
        <v>161.20344086021507</v>
      </c>
      <c r="K49" s="10">
        <v>148.64894555555554</v>
      </c>
      <c r="L49" s="10">
        <v>207.94838709677421</v>
      </c>
      <c r="M49" s="10">
        <v>154.26261111111111</v>
      </c>
      <c r="N49" s="10">
        <v>120.95</v>
      </c>
      <c r="O49" s="8">
        <f t="shared" si="1"/>
        <v>88.628787980829358</v>
      </c>
      <c r="R49">
        <f t="shared" si="2"/>
        <v>0.3115823010435757</v>
      </c>
      <c r="S49">
        <f t="shared" si="0"/>
        <v>-0.50292947125361009</v>
      </c>
    </row>
    <row r="50" spans="1:20" ht="20.25" customHeight="1">
      <c r="A50" s="5">
        <v>45</v>
      </c>
      <c r="B50" s="5">
        <v>2021</v>
      </c>
      <c r="C50" s="10">
        <v>58.965483870967766</v>
      </c>
      <c r="D50" s="10">
        <v>38.899464285714281</v>
      </c>
      <c r="E50" s="10">
        <v>25.662795698924729</v>
      </c>
      <c r="F50" s="10">
        <v>32.283333333333331</v>
      </c>
      <c r="G50" s="10">
        <v>39.448387096774198</v>
      </c>
      <c r="H50" s="10">
        <v>43.951500000000003</v>
      </c>
      <c r="I50" s="10">
        <v>74.111021505376357</v>
      </c>
      <c r="J50" s="10">
        <v>86.702096774193549</v>
      </c>
      <c r="K50" s="10">
        <v>191.96166666666667</v>
      </c>
      <c r="L50" s="10">
        <v>257.33811827956987</v>
      </c>
      <c r="M50" s="10">
        <v>189.4975</v>
      </c>
      <c r="N50" s="10">
        <v>132.20188172043012</v>
      </c>
      <c r="O50" s="8">
        <f t="shared" si="1"/>
        <v>97.585270769329227</v>
      </c>
      <c r="R50">
        <f t="shared" si="2"/>
        <v>0.54059052167519073</v>
      </c>
      <c r="S50">
        <f t="shared" si="0"/>
        <v>-0.27392125062199502</v>
      </c>
    </row>
    <row r="51" spans="1:20" ht="20.25" customHeight="1">
      <c r="A51" s="5">
        <v>46</v>
      </c>
      <c r="B51" s="5">
        <v>2022</v>
      </c>
      <c r="C51" s="10">
        <v>63.148602150537641</v>
      </c>
      <c r="D51" s="10">
        <v>48.989226190476202</v>
      </c>
      <c r="E51" s="10">
        <v>35.236559139784951</v>
      </c>
      <c r="F51" s="10">
        <v>40.715333333333326</v>
      </c>
      <c r="G51" s="10">
        <v>81.481720430107529</v>
      </c>
      <c r="H51" s="10">
        <v>90.426888888888897</v>
      </c>
      <c r="I51" s="10">
        <v>119.99634408602152</v>
      </c>
      <c r="J51" s="10">
        <v>197.58252688172044</v>
      </c>
      <c r="K51" s="10">
        <v>186.16005555555557</v>
      </c>
      <c r="L51" s="10">
        <v>154.8290322580645</v>
      </c>
      <c r="M51" s="10">
        <v>92.518555555555565</v>
      </c>
      <c r="N51" s="10">
        <v>76.388763440860231</v>
      </c>
      <c r="O51" s="8">
        <f t="shared" si="1"/>
        <v>98.956133992575531</v>
      </c>
      <c r="P51" s="57">
        <f>O51/O50</f>
        <v>1.0140478497670691</v>
      </c>
      <c r="R51">
        <f t="shared" si="2"/>
        <v>0.18550861300226709</v>
      </c>
      <c r="S51">
        <f t="shared" si="0"/>
        <v>-0.62900315929491868</v>
      </c>
    </row>
    <row r="52" spans="1:20" ht="20.25" customHeight="1">
      <c r="A52" s="5">
        <v>47</v>
      </c>
      <c r="B52" s="5">
        <v>2023</v>
      </c>
      <c r="C52" s="10">
        <v>65.299086021505389</v>
      </c>
      <c r="D52" s="10">
        <v>36.709523809523809</v>
      </c>
      <c r="E52" s="10">
        <v>22.855645161290326</v>
      </c>
      <c r="F52" s="10">
        <v>27.988111111111106</v>
      </c>
      <c r="G52" s="10">
        <v>48.204838709677418</v>
      </c>
      <c r="H52" s="10">
        <v>83.425333333333327</v>
      </c>
      <c r="I52" s="10">
        <v>171.28838709677419</v>
      </c>
      <c r="J52" s="10">
        <v>200.94758709677419</v>
      </c>
      <c r="K52" s="10">
        <v>206.59583000000001</v>
      </c>
      <c r="L52" s="10">
        <v>169.93816774193547</v>
      </c>
      <c r="M52" s="10">
        <v>123.92639</v>
      </c>
      <c r="N52" s="10">
        <v>83</v>
      </c>
      <c r="O52" s="8">
        <f t="shared" si="1"/>
        <v>103.34824167349377</v>
      </c>
      <c r="R52">
        <f t="shared" si="2"/>
        <v>0.25354796158288317</v>
      </c>
      <c r="S52">
        <f t="shared" si="0"/>
        <v>-0.56096381071430257</v>
      </c>
    </row>
    <row r="53" spans="1:20" ht="20.25" customHeight="1">
      <c r="A53" s="5">
        <v>48</v>
      </c>
      <c r="B53" s="51">
        <v>2024</v>
      </c>
      <c r="C53" s="50">
        <v>42.162625806451615</v>
      </c>
      <c r="D53" s="50">
        <v>32.270000000000003</v>
      </c>
      <c r="E53" s="50">
        <v>20.516132258064516</v>
      </c>
      <c r="F53" s="50">
        <v>23.573613333333334</v>
      </c>
      <c r="G53" s="50">
        <v>55.271509677419353</v>
      </c>
      <c r="H53" s="50">
        <v>51.7</v>
      </c>
      <c r="I53" s="50">
        <v>142.86289677419356</v>
      </c>
      <c r="J53" s="50">
        <v>140.49596774193546</v>
      </c>
      <c r="K53" s="50">
        <v>240.57499999999999</v>
      </c>
      <c r="L53" s="50">
        <v>137.51209354838701</v>
      </c>
      <c r="M53" s="50">
        <v>113.17129629629629</v>
      </c>
      <c r="N53" s="50">
        <v>112.0967806451613</v>
      </c>
      <c r="O53" s="8">
        <f t="shared" si="1"/>
        <v>92.683993006770208</v>
      </c>
      <c r="P53" s="57">
        <f>O53/O55</f>
        <v>0.9748174638940339</v>
      </c>
      <c r="R53">
        <f t="shared" si="2"/>
        <v>0.10883736301433894</v>
      </c>
      <c r="S53">
        <f t="shared" si="0"/>
        <v>-0.70567440928284686</v>
      </c>
    </row>
    <row r="54" spans="1:20" ht="20.25" customHeight="1">
      <c r="A54" s="5">
        <v>49</v>
      </c>
      <c r="B54" s="51">
        <v>2025</v>
      </c>
      <c r="C54" s="50">
        <v>58.057796774193548</v>
      </c>
      <c r="D54" s="50">
        <v>38.39</v>
      </c>
      <c r="E54" s="50">
        <v>31.147848387096776</v>
      </c>
      <c r="F54" s="50">
        <v>31.900006666666666</v>
      </c>
      <c r="G54" s="50">
        <v>59.98</v>
      </c>
      <c r="H54" s="50">
        <v>106.77638333333331</v>
      </c>
      <c r="I54" s="50">
        <v>110.5309129032258</v>
      </c>
      <c r="J54" s="50">
        <v>136.34811612903226</v>
      </c>
      <c r="K54" s="50">
        <v>244.45555333333331</v>
      </c>
      <c r="L54" s="50">
        <v>200.34005483870968</v>
      </c>
      <c r="M54" s="88">
        <v>316.8236133333333</v>
      </c>
      <c r="N54" s="88">
        <v>148.00941290322578</v>
      </c>
      <c r="O54" s="8">
        <f t="shared" si="1"/>
        <v>123.56330821684587</v>
      </c>
      <c r="P54" s="57"/>
    </row>
    <row r="55" spans="1:20" ht="20.25" customHeight="1">
      <c r="A55" s="7"/>
      <c r="B55" s="7" t="s">
        <v>19</v>
      </c>
      <c r="C55" s="9">
        <f>AVERAGE(C6:C54)</f>
        <v>51.881484682203002</v>
      </c>
      <c r="D55" s="9">
        <f t="shared" ref="D55:N55" si="3">AVERAGE(D6:D54)</f>
        <v>34.899466389119759</v>
      </c>
      <c r="E55" s="9">
        <f t="shared" si="3"/>
        <v>27.537295064296753</v>
      </c>
      <c r="F55" s="9">
        <f t="shared" si="3"/>
        <v>29.103946815880306</v>
      </c>
      <c r="G55" s="9">
        <f t="shared" si="3"/>
        <v>45.34280394385236</v>
      </c>
      <c r="H55" s="9">
        <f t="shared" si="3"/>
        <v>71.989514857234212</v>
      </c>
      <c r="I55" s="9">
        <f t="shared" si="3"/>
        <v>100.16118265789113</v>
      </c>
      <c r="J55" s="9">
        <f t="shared" si="3"/>
        <v>162.62939889226669</v>
      </c>
      <c r="K55" s="9">
        <f t="shared" si="3"/>
        <v>186.73306627053259</v>
      </c>
      <c r="L55" s="9">
        <f t="shared" si="3"/>
        <v>198.06042202265937</v>
      </c>
      <c r="M55" s="9">
        <f t="shared" si="3"/>
        <v>139.37046451669039</v>
      </c>
      <c r="N55" s="9">
        <f t="shared" si="3"/>
        <v>93.23062441644332</v>
      </c>
      <c r="O55" s="8">
        <f>AVERAGE(C55:N55)</f>
        <v>95.078305877422494</v>
      </c>
    </row>
    <row r="56" spans="1:20" ht="20.25" customHeight="1">
      <c r="A56" s="53">
        <v>49</v>
      </c>
      <c r="B56" s="11"/>
      <c r="C56" s="58">
        <f>FORECAST($A$56,C6:C53,$A$6:$A$53)</f>
        <v>57.802852568840237</v>
      </c>
      <c r="D56" s="58">
        <f>FORECAST($A$56,D6:D53,$A$6:$A$53)</f>
        <v>38.482941452511419</v>
      </c>
      <c r="E56" s="58">
        <f t="shared" ref="E56:N56" si="4">FORECAST($A$56,E6:E53,$A$6:$A$53)</f>
        <v>30.215691523642537</v>
      </c>
      <c r="F56" s="58">
        <f t="shared" si="4"/>
        <v>34.652591489904708</v>
      </c>
      <c r="G56" s="58">
        <f t="shared" si="4"/>
        <v>55.673970460925098</v>
      </c>
      <c r="H56" s="58">
        <f t="shared" si="4"/>
        <v>69.664262272621073</v>
      </c>
      <c r="I56" s="58">
        <f t="shared" si="4"/>
        <v>113.62046988332776</v>
      </c>
      <c r="J56" s="58">
        <f t="shared" si="4"/>
        <v>155.66932447323219</v>
      </c>
      <c r="K56" s="58">
        <f t="shared" si="4"/>
        <v>174.61825106830065</v>
      </c>
      <c r="L56" s="58">
        <f t="shared" si="4"/>
        <v>162.26381288151657</v>
      </c>
      <c r="M56" s="58">
        <f t="shared" si="4"/>
        <v>128.79532824379768</v>
      </c>
      <c r="N56" s="58">
        <f t="shared" si="4"/>
        <v>96.956373786065939</v>
      </c>
      <c r="O56" s="27">
        <f t="shared" si="1"/>
        <v>93.20132250872382</v>
      </c>
      <c r="P56" s="54" t="s">
        <v>20</v>
      </c>
      <c r="Q56">
        <v>2025</v>
      </c>
      <c r="S56">
        <f>MAX(R6:R53)</f>
        <v>0.81451177229718574</v>
      </c>
      <c r="T56">
        <f>MIN(R6:R53)</f>
        <v>-6.1391149992982119E-2</v>
      </c>
    </row>
    <row r="57" spans="1:20" ht="20.25" customHeight="1">
      <c r="A57" s="53"/>
      <c r="B57" s="90">
        <v>2026</v>
      </c>
      <c r="C57" s="91">
        <f>FORECAST($A$57,C6:C54,$A$6:$A$54)</f>
        <v>45.692364572466708</v>
      </c>
      <c r="D57" s="91">
        <f t="shared" ref="D57:N57" si="5">FORECAST($A$57,D6:D54,$A$6:$A$54)</f>
        <v>31.174345953948691</v>
      </c>
      <c r="E57" s="91">
        <f t="shared" si="5"/>
        <v>24.670411664251137</v>
      </c>
      <c r="F57" s="91">
        <f t="shared" si="5"/>
        <v>23.551150049021633</v>
      </c>
      <c r="G57" s="91">
        <f t="shared" si="5"/>
        <v>34.225997950056119</v>
      </c>
      <c r="H57" s="91">
        <f t="shared" si="5"/>
        <v>71.350534137218901</v>
      </c>
      <c r="I57" s="91">
        <f t="shared" si="5"/>
        <v>86.395927705433678</v>
      </c>
      <c r="J57" s="91">
        <f t="shared" si="5"/>
        <v>171.47314750851217</v>
      </c>
      <c r="K57" s="91">
        <f t="shared" si="5"/>
        <v>193.5922757118812</v>
      </c>
      <c r="L57" s="91">
        <f t="shared" si="5"/>
        <v>232.20791413835002</v>
      </c>
      <c r="M57" s="91">
        <f t="shared" si="5"/>
        <v>134.87709570768411</v>
      </c>
      <c r="N57" s="91">
        <f t="shared" si="5"/>
        <v>85.138628011551987</v>
      </c>
      <c r="O57" s="39">
        <f t="shared" si="1"/>
        <v>94.529149425864674</v>
      </c>
      <c r="P57" s="54" t="s">
        <v>20</v>
      </c>
      <c r="Q57" s="89">
        <v>2026</v>
      </c>
      <c r="R57" s="89"/>
      <c r="S57" s="89"/>
      <c r="T57" s="89"/>
    </row>
    <row r="58" spans="1:20" ht="20.25" customHeight="1">
      <c r="A58" s="11"/>
      <c r="B58" s="11"/>
      <c r="C58" s="43">
        <f>1-C61/C56</f>
        <v>-0.20928287953873359</v>
      </c>
      <c r="D58" s="43">
        <f>1-D61/D56</f>
        <v>-0.14856085142409214</v>
      </c>
      <c r="E58" s="43">
        <f t="shared" ref="E58:L58" si="6">1-E61/E56</f>
        <v>-0.34698224490920304</v>
      </c>
      <c r="F58" s="43">
        <f t="shared" si="6"/>
        <v>0.17726211015687587</v>
      </c>
      <c r="G58" s="43">
        <f t="shared" si="6"/>
        <v>0.33379998421287904</v>
      </c>
      <c r="H58" s="43">
        <f t="shared" si="6"/>
        <v>0.31945019650868078</v>
      </c>
      <c r="I58" s="43">
        <f t="shared" si="6"/>
        <v>0.6039446057016955</v>
      </c>
      <c r="J58" s="43">
        <f t="shared" si="6"/>
        <v>1</v>
      </c>
      <c r="K58" s="43">
        <f t="shared" si="6"/>
        <v>1</v>
      </c>
      <c r="L58" s="43">
        <f t="shared" si="6"/>
        <v>1</v>
      </c>
      <c r="M58" s="12"/>
      <c r="N58" s="12"/>
      <c r="O58" s="12"/>
      <c r="P58" s="55" t="s">
        <v>21</v>
      </c>
    </row>
    <row r="59" spans="1:20" ht="20.25" customHeight="1">
      <c r="A59" s="11"/>
      <c r="B59" s="11" t="s">
        <v>22</v>
      </c>
      <c r="C59" s="35">
        <f>C61/C54</f>
        <v>1.2039726597250116</v>
      </c>
      <c r="D59" s="35">
        <f t="shared" ref="D59:G59" si="7">D61/D54</f>
        <v>1.1513414951810368</v>
      </c>
      <c r="E59" s="35">
        <f t="shared" si="7"/>
        <v>1.3066713146343769</v>
      </c>
      <c r="F59" s="35">
        <f t="shared" si="7"/>
        <v>0.89373022074603548</v>
      </c>
      <c r="G59" s="102">
        <f t="shared" si="7"/>
        <v>0.61837279093031017</v>
      </c>
      <c r="H59" s="102">
        <f>H61/H54</f>
        <v>0.44401204198868577</v>
      </c>
      <c r="I59" s="102">
        <f>I61/I54</f>
        <v>0.40712592358120925</v>
      </c>
      <c r="J59" s="56"/>
      <c r="K59" s="56"/>
      <c r="L59" s="56"/>
      <c r="M59" s="56"/>
      <c r="N59" s="56"/>
      <c r="O59" s="43"/>
    </row>
    <row r="60" spans="1:20" ht="20.25" customHeight="1">
      <c r="A60" s="11"/>
      <c r="B60" s="11" t="s">
        <v>23</v>
      </c>
      <c r="C60" s="35">
        <f>C61/C55</f>
        <v>1.3473014588570154</v>
      </c>
      <c r="D60" s="35">
        <f t="shared" ref="D60:F60" si="8">D61/D55</f>
        <v>1.2664950090405902</v>
      </c>
      <c r="E60" s="35">
        <f t="shared" si="8"/>
        <v>1.4779955658306194</v>
      </c>
      <c r="F60" s="35">
        <f t="shared" si="8"/>
        <v>0.97959222439355809</v>
      </c>
      <c r="G60" s="102">
        <f>G61/G55</f>
        <v>0.81799087780121094</v>
      </c>
      <c r="H60" s="102">
        <f>H61/H55</f>
        <v>0.65856812751163829</v>
      </c>
      <c r="I60" s="102">
        <f>I61/I55</f>
        <v>0.44927584525136099</v>
      </c>
      <c r="J60" s="43"/>
      <c r="K60" s="43"/>
      <c r="L60" s="43"/>
      <c r="M60" s="43"/>
      <c r="N60" s="43"/>
      <c r="O60" s="43"/>
    </row>
    <row r="61" spans="1:20" ht="20.25" customHeight="1">
      <c r="A61" s="11" t="s">
        <v>24</v>
      </c>
      <c r="B61" s="38">
        <v>2026</v>
      </c>
      <c r="C61" s="37">
        <v>69.900000000000006</v>
      </c>
      <c r="D61" s="37">
        <v>44.2</v>
      </c>
      <c r="E61" s="59">
        <v>40.700000000000003</v>
      </c>
      <c r="F61" s="37">
        <v>28.51</v>
      </c>
      <c r="G61" s="37">
        <v>37.090000000000003</v>
      </c>
      <c r="H61" s="12">
        <v>47.41</v>
      </c>
      <c r="I61" s="108">
        <v>45</v>
      </c>
      <c r="J61" s="83"/>
      <c r="K61" s="83"/>
      <c r="L61" s="83"/>
      <c r="M61" s="83"/>
      <c r="N61" s="100"/>
      <c r="O61" s="45"/>
      <c r="P61" s="47">
        <f>AVERAGE(O38:O52)</f>
        <v>89.477090229116854</v>
      </c>
      <c r="Q61" s="48">
        <f>O61/P61</f>
        <v>0</v>
      </c>
    </row>
    <row r="62" spans="1:20" ht="15.75">
      <c r="A62" s="1"/>
      <c r="B62" s="1"/>
      <c r="C62" s="13"/>
      <c r="D62" s="28">
        <f>D61/D52</f>
        <v>1.2040472175379429</v>
      </c>
      <c r="E62" s="28">
        <f>(E61-E52)/E52</f>
        <v>0.78074168166260882</v>
      </c>
      <c r="F62" s="28">
        <f>(F61-F52)/F52</f>
        <v>1.8646806382075169E-2</v>
      </c>
      <c r="G62" s="28">
        <f>(G61-G52)/G52</f>
        <v>-0.23057516646033382</v>
      </c>
      <c r="H62" s="28">
        <f>(H61-H52)/H52</f>
        <v>-0.4317073950358804</v>
      </c>
      <c r="I62" s="30"/>
      <c r="J62" s="13"/>
      <c r="K62" s="14"/>
      <c r="L62" s="28"/>
      <c r="M62" s="28"/>
      <c r="N62" s="28"/>
      <c r="O62" s="1"/>
    </row>
    <row r="63" spans="1:20" ht="15.75">
      <c r="A63" s="1"/>
      <c r="B63" s="1"/>
      <c r="C63" s="13"/>
      <c r="D63" s="28"/>
      <c r="E63" s="28">
        <f>(E61-E55)/E55</f>
        <v>0.47799556583061942</v>
      </c>
      <c r="F63" s="28">
        <f>(F61-F55)/F55</f>
        <v>-2.04077756064419E-2</v>
      </c>
      <c r="G63" s="28">
        <f>(G61-G55)/G55</f>
        <v>-0.18200912219878901</v>
      </c>
      <c r="H63" s="28">
        <f>(H61-H55)/H55</f>
        <v>-0.34143187248836177</v>
      </c>
      <c r="I63" s="13"/>
      <c r="J63" s="13"/>
      <c r="K63" s="14"/>
      <c r="L63" s="14"/>
      <c r="M63" s="14"/>
      <c r="N63" s="1"/>
      <c r="O63" s="1"/>
    </row>
    <row r="64" spans="1:20" ht="15.75">
      <c r="A64" s="1"/>
      <c r="B64" s="11" t="s">
        <v>25</v>
      </c>
      <c r="C64" s="52">
        <f>C61/C53</f>
        <v>1.6578663843394708</v>
      </c>
      <c r="D64" s="52">
        <f>D61/D53</f>
        <v>1.3696932135110009</v>
      </c>
      <c r="E64" s="28">
        <f>E61/E53</f>
        <v>1.9838047195275599</v>
      </c>
      <c r="F64" s="28">
        <f>F61/F53</f>
        <v>1.2094030557329354</v>
      </c>
      <c r="G64" s="28">
        <f t="shared" ref="G64:O64" si="9">G61/G53</f>
        <v>0.67105096669998809</v>
      </c>
      <c r="H64" s="28">
        <f>H61/H53</f>
        <v>0.91702127659574462</v>
      </c>
      <c r="I64" s="28">
        <f t="shared" si="9"/>
        <v>0.31498731312389783</v>
      </c>
      <c r="J64" s="28">
        <f t="shared" si="9"/>
        <v>0</v>
      </c>
      <c r="K64" s="28">
        <f t="shared" si="9"/>
        <v>0</v>
      </c>
      <c r="L64" s="28">
        <f t="shared" si="9"/>
        <v>0</v>
      </c>
      <c r="M64" s="28">
        <f t="shared" si="9"/>
        <v>0</v>
      </c>
      <c r="N64" s="28">
        <f t="shared" si="9"/>
        <v>0</v>
      </c>
      <c r="O64" s="28">
        <f t="shared" si="9"/>
        <v>0</v>
      </c>
    </row>
    <row r="65" spans="1:20" ht="15.75">
      <c r="A65" s="1"/>
      <c r="B65" s="11" t="s">
        <v>23</v>
      </c>
      <c r="C65" s="52">
        <f>C61/C55</f>
        <v>1.3473014588570154</v>
      </c>
      <c r="D65" s="52">
        <f>D61/D55</f>
        <v>1.2664950090405902</v>
      </c>
      <c r="E65" s="28">
        <f t="shared" ref="E65:O65" si="10">E61/E55</f>
        <v>1.4779955658306194</v>
      </c>
      <c r="F65" s="28">
        <f>F61/F55</f>
        <v>0.97959222439355809</v>
      </c>
      <c r="G65" s="28">
        <f t="shared" si="10"/>
        <v>0.81799087780121094</v>
      </c>
      <c r="H65" s="28">
        <f>H61/H55</f>
        <v>0.65856812751163829</v>
      </c>
      <c r="I65" s="28">
        <f t="shared" si="10"/>
        <v>0.44927584525136099</v>
      </c>
      <c r="J65" s="28">
        <f t="shared" si="10"/>
        <v>0</v>
      </c>
      <c r="K65" s="28">
        <f t="shared" si="10"/>
        <v>0</v>
      </c>
      <c r="L65" s="28">
        <f t="shared" si="10"/>
        <v>0</v>
      </c>
      <c r="M65" s="28">
        <f t="shared" si="10"/>
        <v>0</v>
      </c>
      <c r="N65" s="28">
        <f t="shared" si="10"/>
        <v>0</v>
      </c>
      <c r="O65" s="28">
        <f t="shared" si="10"/>
        <v>0</v>
      </c>
    </row>
    <row r="66" spans="1:20" ht="15.75">
      <c r="A66" s="1"/>
      <c r="B66" s="2" t="s">
        <v>26</v>
      </c>
      <c r="C66" s="112" t="s">
        <v>27</v>
      </c>
      <c r="D66" s="113"/>
      <c r="E66" s="113"/>
      <c r="F66" s="113"/>
      <c r="G66" s="113"/>
      <c r="H66" s="113"/>
      <c r="I66" s="113"/>
      <c r="J66" s="113"/>
      <c r="K66" s="113"/>
      <c r="L66" s="113"/>
      <c r="M66" s="113"/>
      <c r="N66" s="113"/>
      <c r="O66" s="113"/>
    </row>
    <row r="67" spans="1:20" ht="15.75">
      <c r="A67" s="1"/>
      <c r="B67" s="1"/>
      <c r="C67" s="113"/>
      <c r="D67" s="113"/>
      <c r="E67" s="113"/>
      <c r="F67" s="113"/>
      <c r="G67" s="113"/>
      <c r="H67" s="113"/>
      <c r="I67" s="113"/>
      <c r="J67" s="113"/>
      <c r="K67" s="113"/>
      <c r="L67" s="113"/>
      <c r="M67" s="113"/>
      <c r="N67" s="113"/>
      <c r="O67" s="113"/>
    </row>
    <row r="68" spans="1:20" ht="15.75">
      <c r="A68" s="1"/>
      <c r="B68" s="1"/>
      <c r="C68" s="113"/>
      <c r="D68" s="113"/>
      <c r="E68" s="113"/>
      <c r="F68" s="113"/>
      <c r="G68" s="113"/>
      <c r="H68" s="113"/>
      <c r="I68" s="113"/>
      <c r="J68" s="113"/>
      <c r="K68" s="113"/>
      <c r="L68" s="113"/>
      <c r="M68" s="113"/>
      <c r="N68" s="113"/>
      <c r="O68" s="113"/>
      <c r="T68">
        <f>SUM(C61:H61)/5.8</f>
        <v>46.174137931034487</v>
      </c>
    </row>
    <row r="69" spans="1:20" ht="15.75">
      <c r="A69" s="1"/>
      <c r="B69" s="1"/>
      <c r="C69" s="14">
        <v>42.162258064516131</v>
      </c>
      <c r="D69" s="14">
        <v>32.273448275862066</v>
      </c>
      <c r="E69" s="14">
        <v>20.528387096774193</v>
      </c>
      <c r="F69" s="14">
        <v>23.573666666666671</v>
      </c>
      <c r="G69" s="14">
        <v>55.272258064516123</v>
      </c>
      <c r="H69" s="14">
        <v>51.700999999999993</v>
      </c>
      <c r="I69" s="1"/>
      <c r="J69" s="1"/>
      <c r="K69" s="1"/>
      <c r="L69" s="1"/>
      <c r="M69" s="1"/>
      <c r="N69" s="1"/>
      <c r="O69" s="1"/>
    </row>
    <row r="70" spans="1:20">
      <c r="J70" s="60">
        <f>AVERAGE(C54:H54)</f>
        <v>54.375339193548378</v>
      </c>
      <c r="K70" s="44">
        <f>AVERAGE(C55:H55)</f>
        <v>43.459085292097733</v>
      </c>
      <c r="L70" s="57"/>
      <c r="M70" s="61"/>
      <c r="N70" s="103"/>
    </row>
    <row r="71" spans="1:20">
      <c r="C71" s="44">
        <f t="shared" ref="C71:H71" si="11">C61-C69</f>
        <v>27.737741935483875</v>
      </c>
      <c r="D71" s="44">
        <f t="shared" si="11"/>
        <v>11.926551724137937</v>
      </c>
      <c r="E71" s="44">
        <f t="shared" si="11"/>
        <v>20.17161290322581</v>
      </c>
      <c r="F71" s="44">
        <f>F61-F69</f>
        <v>4.9363333333333301</v>
      </c>
      <c r="G71" s="44">
        <f t="shared" si="11"/>
        <v>-18.18225806451612</v>
      </c>
      <c r="H71" s="44">
        <f t="shared" si="11"/>
        <v>-4.2909999999999968</v>
      </c>
      <c r="J71">
        <v>44.73</v>
      </c>
      <c r="K71">
        <v>44.73</v>
      </c>
      <c r="L71" s="107"/>
      <c r="M71" s="61">
        <f>AVERAGE(C61:H61)</f>
        <v>44.634999999999998</v>
      </c>
      <c r="N71" s="48"/>
    </row>
    <row r="72" spans="1:20">
      <c r="J72" s="48">
        <f>J71/J70</f>
        <v>0.82261555814454945</v>
      </c>
      <c r="K72" s="48">
        <f>K71/K70</f>
        <v>1.0292439359770271</v>
      </c>
    </row>
    <row r="73" spans="1:20">
      <c r="E73" t="s">
        <v>28</v>
      </c>
      <c r="K73" s="44"/>
      <c r="L73" s="48"/>
    </row>
    <row r="74" spans="1:20">
      <c r="D74">
        <v>2024</v>
      </c>
      <c r="E74" s="60">
        <f>AVERAGE(C53:E53)</f>
        <v>31.649586021505382</v>
      </c>
      <c r="G74" s="44">
        <f>AVERAGE(C55:G55)</f>
        <v>37.752999379070431</v>
      </c>
      <c r="L74" s="57"/>
    </row>
    <row r="75" spans="1:20">
      <c r="D75">
        <v>2025</v>
      </c>
      <c r="E75" s="44">
        <f>AVERAGE(C61:E61)</f>
        <v>51.6</v>
      </c>
      <c r="G75" s="44">
        <f>AVERAGE(C61:G61)</f>
        <v>44.08</v>
      </c>
      <c r="H75">
        <f>G75/G74</f>
        <v>1.1675893498527468</v>
      </c>
    </row>
    <row r="76" spans="1:20">
      <c r="D76" t="s">
        <v>29</v>
      </c>
      <c r="E76" s="44">
        <f>AVERAGE(C55:E55)</f>
        <v>38.106082045206506</v>
      </c>
    </row>
  </sheetData>
  <mergeCells count="4">
    <mergeCell ref="A1:O1"/>
    <mergeCell ref="A2:B2"/>
    <mergeCell ref="C2:O2"/>
    <mergeCell ref="C66:O68"/>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6FD72-6A9A-4646-9D45-D23ED8A6BE19}">
  <dimension ref="A1:T76"/>
  <sheetViews>
    <sheetView zoomScaleNormal="100" workbookViewId="0">
      <pane ySplit="5" topLeftCell="A56" activePane="bottomLeft" state="frozen"/>
      <selection pane="bottomLeft" activeCell="J70" sqref="J70:J71"/>
    </sheetView>
  </sheetViews>
  <sheetFormatPr defaultRowHeight="15"/>
  <cols>
    <col min="1" max="1" width="8.42578125" customWidth="1"/>
    <col min="2" max="15" width="10.7109375" customWidth="1"/>
  </cols>
  <sheetData>
    <row r="1" spans="1:19" ht="15.75">
      <c r="A1" s="114" t="s">
        <v>30</v>
      </c>
      <c r="B1" s="114"/>
      <c r="C1" s="114"/>
      <c r="D1" s="114"/>
      <c r="E1" s="114"/>
      <c r="F1" s="114"/>
      <c r="G1" s="114"/>
      <c r="H1" s="114"/>
      <c r="I1" s="114"/>
      <c r="J1" s="114"/>
      <c r="K1" s="114"/>
      <c r="L1" s="114"/>
      <c r="M1" s="114"/>
      <c r="N1" s="114"/>
      <c r="O1" s="114"/>
    </row>
    <row r="2" spans="1:19" ht="15.75">
      <c r="A2" s="110" t="s">
        <v>1</v>
      </c>
      <c r="B2" s="110"/>
      <c r="C2" s="111" t="s">
        <v>31</v>
      </c>
      <c r="D2" s="111"/>
      <c r="E2" s="111"/>
      <c r="F2" s="111"/>
      <c r="G2" s="111"/>
      <c r="H2" s="111"/>
      <c r="I2" s="111"/>
      <c r="J2" s="111"/>
      <c r="K2" s="111"/>
      <c r="L2" s="111"/>
      <c r="M2" s="111"/>
      <c r="N2" s="111"/>
      <c r="O2" s="111"/>
    </row>
    <row r="3" spans="1:19" ht="15.75">
      <c r="A3" s="2"/>
      <c r="B3" s="3"/>
      <c r="C3" s="1"/>
      <c r="D3" s="1"/>
      <c r="E3" s="1"/>
      <c r="F3" s="1"/>
      <c r="G3" s="1"/>
      <c r="H3" s="1"/>
      <c r="I3" s="1"/>
      <c r="J3" s="1"/>
      <c r="K3" s="1"/>
      <c r="L3" s="1"/>
      <c r="M3" s="1"/>
      <c r="N3" s="1"/>
      <c r="O3" s="1"/>
    </row>
    <row r="4" spans="1:19" ht="18">
      <c r="A4" s="1"/>
      <c r="B4" s="1"/>
      <c r="C4" s="1"/>
      <c r="D4" s="1"/>
      <c r="E4" s="1"/>
      <c r="F4" s="1"/>
      <c r="G4" s="1"/>
      <c r="H4" s="1"/>
      <c r="I4" s="1"/>
      <c r="J4" s="1"/>
      <c r="K4" s="1"/>
      <c r="L4" s="1"/>
      <c r="M4" s="1"/>
      <c r="N4" s="6" t="s">
        <v>3</v>
      </c>
      <c r="O4" s="1" t="s">
        <v>4</v>
      </c>
    </row>
    <row r="5" spans="1:19" ht="22.5" customHeight="1">
      <c r="A5" s="4" t="s">
        <v>5</v>
      </c>
      <c r="B5" s="4" t="s">
        <v>6</v>
      </c>
      <c r="C5" s="4" t="s">
        <v>7</v>
      </c>
      <c r="D5" s="4" t="s">
        <v>8</v>
      </c>
      <c r="E5" s="4" t="s">
        <v>9</v>
      </c>
      <c r="F5" s="4" t="s">
        <v>10</v>
      </c>
      <c r="G5" s="4" t="s">
        <v>11</v>
      </c>
      <c r="H5" s="4" t="s">
        <v>12</v>
      </c>
      <c r="I5" s="4" t="s">
        <v>13</v>
      </c>
      <c r="J5" s="4" t="s">
        <v>14</v>
      </c>
      <c r="K5" s="4" t="s">
        <v>15</v>
      </c>
      <c r="L5" s="4" t="s">
        <v>16</v>
      </c>
      <c r="M5" s="4" t="s">
        <v>17</v>
      </c>
      <c r="N5" s="4" t="s">
        <v>18</v>
      </c>
      <c r="O5" s="4" t="s">
        <v>19</v>
      </c>
    </row>
    <row r="6" spans="1:19" ht="22.5" customHeight="1">
      <c r="A6" s="5">
        <v>1</v>
      </c>
      <c r="B6" s="5">
        <v>1977</v>
      </c>
      <c r="C6" s="8">
        <v>80.599999999999994</v>
      </c>
      <c r="D6" s="8">
        <v>55.9</v>
      </c>
      <c r="E6" s="8">
        <v>37.9</v>
      </c>
      <c r="F6" s="8">
        <v>26</v>
      </c>
      <c r="G6" s="8">
        <v>30.3</v>
      </c>
      <c r="H6" s="8">
        <v>36.200000000000003</v>
      </c>
      <c r="I6" s="8">
        <v>102.2</v>
      </c>
      <c r="J6" s="8">
        <v>102.9</v>
      </c>
      <c r="K6" s="8">
        <v>345.3</v>
      </c>
      <c r="L6" s="8">
        <v>320</v>
      </c>
      <c r="M6" s="8">
        <v>183.5</v>
      </c>
      <c r="N6" s="8">
        <v>91.3</v>
      </c>
      <c r="O6" s="8">
        <f>AVERAGE(C6:N6)</f>
        <v>117.675</v>
      </c>
      <c r="R6">
        <f>CORREL($C$61:$M$61,C6:M6)</f>
        <v>0.92676599714962982</v>
      </c>
      <c r="S6">
        <f t="shared" ref="S6:S53" si="0">R6-$R$56</f>
        <v>-5.5503569745478543E-2</v>
      </c>
    </row>
    <row r="7" spans="1:19" ht="22.5" customHeight="1">
      <c r="A7" s="5">
        <v>2</v>
      </c>
      <c r="B7" s="5">
        <v>1978</v>
      </c>
      <c r="C7" s="8">
        <v>53.5</v>
      </c>
      <c r="D7" s="8">
        <v>35.9</v>
      </c>
      <c r="E7" s="8">
        <v>32.6</v>
      </c>
      <c r="F7" s="8">
        <v>29.8</v>
      </c>
      <c r="G7" s="8">
        <v>71.7</v>
      </c>
      <c r="H7" s="8">
        <v>81.099999999999994</v>
      </c>
      <c r="I7" s="8">
        <v>170.5</v>
      </c>
      <c r="J7" s="8">
        <v>265.39999999999998</v>
      </c>
      <c r="K7" s="8">
        <v>405.3</v>
      </c>
      <c r="L7" s="8">
        <v>505.7</v>
      </c>
      <c r="M7" s="8">
        <v>366</v>
      </c>
      <c r="N7" s="8">
        <v>167.2</v>
      </c>
      <c r="O7" s="8">
        <f t="shared" ref="O7:O57" si="1">AVERAGE(C7:N7)</f>
        <v>182.05833333333331</v>
      </c>
      <c r="R7">
        <f t="shared" ref="R7:R53" si="2">CORREL($C$61:$M$61,C7:M7)</f>
        <v>0.13354670185477868</v>
      </c>
      <c r="S7">
        <f t="shared" si="0"/>
        <v>-0.84872286504032968</v>
      </c>
    </row>
    <row r="8" spans="1:19" ht="22.5" customHeight="1">
      <c r="A8" s="5">
        <v>3</v>
      </c>
      <c r="B8" s="5">
        <v>1979</v>
      </c>
      <c r="C8" s="8">
        <v>95.2</v>
      </c>
      <c r="D8" s="8">
        <v>54.3</v>
      </c>
      <c r="E8" s="8">
        <v>34.5</v>
      </c>
      <c r="F8" s="8">
        <v>35.799999999999997</v>
      </c>
      <c r="G8" s="8">
        <v>63.2</v>
      </c>
      <c r="H8" s="8">
        <v>147.1</v>
      </c>
      <c r="I8" s="8">
        <v>296.8</v>
      </c>
      <c r="J8" s="8">
        <v>348.4</v>
      </c>
      <c r="K8" s="8">
        <v>224.2</v>
      </c>
      <c r="L8" s="8">
        <v>412.7</v>
      </c>
      <c r="M8" s="8">
        <v>319.8</v>
      </c>
      <c r="N8" s="8">
        <v>240.4</v>
      </c>
      <c r="O8" s="8">
        <f t="shared" si="1"/>
        <v>189.36666666666667</v>
      </c>
      <c r="R8">
        <f t="shared" si="2"/>
        <v>0.46280613897695977</v>
      </c>
      <c r="S8">
        <f t="shared" si="0"/>
        <v>-0.51946342791814859</v>
      </c>
    </row>
    <row r="9" spans="1:19" ht="22.5" customHeight="1">
      <c r="A9" s="5">
        <v>4</v>
      </c>
      <c r="B9" s="5">
        <v>1980</v>
      </c>
      <c r="C9" s="8">
        <v>116.2</v>
      </c>
      <c r="D9" s="8">
        <v>82.1</v>
      </c>
      <c r="E9" s="8">
        <v>59.7</v>
      </c>
      <c r="F9" s="8">
        <v>56.9</v>
      </c>
      <c r="G9" s="8">
        <v>100.9</v>
      </c>
      <c r="H9" s="8">
        <v>166.7</v>
      </c>
      <c r="I9" s="8">
        <v>187.2</v>
      </c>
      <c r="J9" s="8">
        <v>212.8</v>
      </c>
      <c r="K9" s="8">
        <v>497.1</v>
      </c>
      <c r="L9" s="8">
        <v>484.8</v>
      </c>
      <c r="M9" s="8">
        <v>530.5</v>
      </c>
      <c r="N9" s="8">
        <v>240.1</v>
      </c>
      <c r="O9" s="8">
        <f t="shared" si="1"/>
        <v>227.91666666666663</v>
      </c>
      <c r="R9">
        <f t="shared" si="2"/>
        <v>0.40910742030985775</v>
      </c>
      <c r="S9">
        <f t="shared" si="0"/>
        <v>-0.57316214658525055</v>
      </c>
    </row>
    <row r="10" spans="1:19" ht="22.5" customHeight="1">
      <c r="A10" s="5">
        <v>5</v>
      </c>
      <c r="B10" s="5">
        <v>1981</v>
      </c>
      <c r="C10" s="8">
        <v>125.2</v>
      </c>
      <c r="D10" s="8">
        <v>89.6</v>
      </c>
      <c r="E10" s="8">
        <v>57</v>
      </c>
      <c r="F10" s="8">
        <v>55</v>
      </c>
      <c r="G10" s="8">
        <v>86.8</v>
      </c>
      <c r="H10" s="8">
        <v>214.2</v>
      </c>
      <c r="I10" s="8">
        <v>178</v>
      </c>
      <c r="J10" s="8">
        <v>442</v>
      </c>
      <c r="K10" s="8">
        <v>281.7</v>
      </c>
      <c r="L10" s="8">
        <v>675.8</v>
      </c>
      <c r="M10" s="8">
        <v>784.9</v>
      </c>
      <c r="N10" s="8">
        <v>441.4</v>
      </c>
      <c r="O10" s="8">
        <f t="shared" si="1"/>
        <v>285.9666666666667</v>
      </c>
      <c r="R10">
        <f t="shared" si="2"/>
        <v>0.40047590529610788</v>
      </c>
      <c r="S10">
        <f t="shared" si="0"/>
        <v>-0.58179366159900048</v>
      </c>
    </row>
    <row r="11" spans="1:19" ht="22.5" customHeight="1">
      <c r="A11" s="5">
        <v>6</v>
      </c>
      <c r="B11" s="5">
        <v>1982</v>
      </c>
      <c r="C11" s="8">
        <v>177.5</v>
      </c>
      <c r="D11" s="8">
        <v>96.6</v>
      </c>
      <c r="E11" s="8">
        <v>66.400000000000006</v>
      </c>
      <c r="F11" s="8">
        <v>69.3</v>
      </c>
      <c r="G11" s="8">
        <v>75.599999999999994</v>
      </c>
      <c r="H11" s="8">
        <v>178.5</v>
      </c>
      <c r="I11" s="8">
        <v>196.5</v>
      </c>
      <c r="J11" s="8">
        <v>165.3</v>
      </c>
      <c r="K11" s="8">
        <v>488.1</v>
      </c>
      <c r="L11" s="8">
        <v>269.7</v>
      </c>
      <c r="M11" s="8">
        <v>160.9</v>
      </c>
      <c r="N11" s="8">
        <v>94.4</v>
      </c>
      <c r="O11" s="8">
        <f t="shared" si="1"/>
        <v>169.90000000000003</v>
      </c>
      <c r="R11">
        <f t="shared" si="2"/>
        <v>0.7825612689284438</v>
      </c>
      <c r="S11">
        <f t="shared" si="0"/>
        <v>-0.19970829796666456</v>
      </c>
    </row>
    <row r="12" spans="1:19" ht="22.5" customHeight="1">
      <c r="A12" s="5">
        <v>7</v>
      </c>
      <c r="B12" s="5">
        <v>1983</v>
      </c>
      <c r="C12" s="8">
        <v>72.2</v>
      </c>
      <c r="D12" s="8">
        <v>53.5</v>
      </c>
      <c r="E12" s="8">
        <v>41.4</v>
      </c>
      <c r="F12" s="8">
        <v>33.4</v>
      </c>
      <c r="G12" s="8">
        <v>50.2</v>
      </c>
      <c r="H12" s="8">
        <v>79.7</v>
      </c>
      <c r="I12" s="8">
        <v>88.4</v>
      </c>
      <c r="J12" s="8">
        <v>190.8</v>
      </c>
      <c r="K12" s="8">
        <v>202.3</v>
      </c>
      <c r="L12" s="8">
        <v>515</v>
      </c>
      <c r="M12" s="8">
        <v>348.2</v>
      </c>
      <c r="N12" s="8">
        <v>147.19999999999999</v>
      </c>
      <c r="O12" s="8">
        <f t="shared" si="1"/>
        <v>151.85833333333332</v>
      </c>
      <c r="R12">
        <f t="shared" si="2"/>
        <v>0.67880549069641338</v>
      </c>
      <c r="S12">
        <f t="shared" si="0"/>
        <v>-0.30346407619869498</v>
      </c>
    </row>
    <row r="13" spans="1:19" ht="22.5" customHeight="1">
      <c r="A13" s="5">
        <v>8</v>
      </c>
      <c r="B13" s="5">
        <v>1984</v>
      </c>
      <c r="C13" s="8">
        <v>101.6</v>
      </c>
      <c r="D13" s="8">
        <v>75.5</v>
      </c>
      <c r="E13" s="8">
        <v>51.2</v>
      </c>
      <c r="F13" s="8">
        <v>57.9</v>
      </c>
      <c r="G13" s="8">
        <v>104.6</v>
      </c>
      <c r="H13" s="8">
        <v>164.8</v>
      </c>
      <c r="I13" s="8">
        <v>190.4</v>
      </c>
      <c r="J13" s="8">
        <v>416.5</v>
      </c>
      <c r="K13" s="8">
        <v>441.9</v>
      </c>
      <c r="L13" s="8">
        <v>526.4</v>
      </c>
      <c r="M13" s="8">
        <v>273.39999999999998</v>
      </c>
      <c r="N13" s="8">
        <v>230.4</v>
      </c>
      <c r="O13" s="8">
        <f t="shared" si="1"/>
        <v>219.55000000000004</v>
      </c>
      <c r="R13">
        <f t="shared" si="2"/>
        <v>0.26558361959548765</v>
      </c>
      <c r="S13">
        <f t="shared" si="0"/>
        <v>-0.71668594729962076</v>
      </c>
    </row>
    <row r="14" spans="1:19" ht="22.5" customHeight="1">
      <c r="A14" s="5">
        <v>9</v>
      </c>
      <c r="B14" s="5">
        <v>1985</v>
      </c>
      <c r="C14" s="8">
        <v>113.5</v>
      </c>
      <c r="D14" s="8">
        <v>77.599999999999994</v>
      </c>
      <c r="E14" s="8">
        <v>59.6</v>
      </c>
      <c r="F14" s="8">
        <v>76.400000000000006</v>
      </c>
      <c r="G14" s="8">
        <v>114.8</v>
      </c>
      <c r="H14" s="8">
        <v>133.80000000000001</v>
      </c>
      <c r="I14" s="8">
        <v>186.8</v>
      </c>
      <c r="J14" s="8">
        <v>198.5</v>
      </c>
      <c r="K14" s="8">
        <v>284.2</v>
      </c>
      <c r="L14" s="8">
        <v>315.89999999999998</v>
      </c>
      <c r="M14" s="8">
        <v>180.4</v>
      </c>
      <c r="N14" s="8">
        <v>240.2</v>
      </c>
      <c r="O14" s="8">
        <f t="shared" si="1"/>
        <v>165.14166666666668</v>
      </c>
      <c r="R14">
        <f t="shared" si="2"/>
        <v>0.33636746595942035</v>
      </c>
      <c r="S14">
        <f t="shared" si="0"/>
        <v>-0.64590210093568801</v>
      </c>
    </row>
    <row r="15" spans="1:19" ht="22.5" customHeight="1">
      <c r="A15" s="5">
        <v>10</v>
      </c>
      <c r="B15" s="5">
        <v>1986</v>
      </c>
      <c r="C15" s="8">
        <v>102.5</v>
      </c>
      <c r="D15" s="8">
        <v>72.3</v>
      </c>
      <c r="E15" s="8">
        <v>58</v>
      </c>
      <c r="F15" s="8">
        <v>49.2</v>
      </c>
      <c r="G15" s="8">
        <v>63.7</v>
      </c>
      <c r="H15" s="8">
        <v>79.3</v>
      </c>
      <c r="I15" s="8">
        <v>134.69999999999999</v>
      </c>
      <c r="J15" s="8">
        <v>372.1</v>
      </c>
      <c r="K15" s="8">
        <v>322.10000000000002</v>
      </c>
      <c r="L15" s="8">
        <v>338.1</v>
      </c>
      <c r="M15" s="8">
        <v>201.6</v>
      </c>
      <c r="N15" s="8">
        <v>313.10000000000002</v>
      </c>
      <c r="O15" s="8">
        <f t="shared" si="1"/>
        <v>175.55833333333331</v>
      </c>
      <c r="R15">
        <f t="shared" si="2"/>
        <v>0.9317875453588006</v>
      </c>
      <c r="S15">
        <f t="shared" si="0"/>
        <v>-5.0482021536307764E-2</v>
      </c>
    </row>
    <row r="16" spans="1:19" ht="22.5" customHeight="1">
      <c r="A16" s="5">
        <v>11</v>
      </c>
      <c r="B16" s="5">
        <v>1987</v>
      </c>
      <c r="C16" s="8">
        <v>122</v>
      </c>
      <c r="D16" s="8">
        <v>77.5</v>
      </c>
      <c r="E16" s="8">
        <v>61.3</v>
      </c>
      <c r="F16" s="8">
        <v>46.5</v>
      </c>
      <c r="G16" s="8">
        <v>55.2</v>
      </c>
      <c r="H16" s="8">
        <v>122</v>
      </c>
      <c r="I16" s="8">
        <v>216.3</v>
      </c>
      <c r="J16" s="8">
        <v>200.3</v>
      </c>
      <c r="K16" s="8">
        <v>371.8</v>
      </c>
      <c r="L16" s="8">
        <v>267.2</v>
      </c>
      <c r="M16" s="8">
        <v>217.5</v>
      </c>
      <c r="N16" s="8">
        <v>196.1</v>
      </c>
      <c r="O16" s="8">
        <f t="shared" si="1"/>
        <v>162.80833333333331</v>
      </c>
      <c r="R16">
        <f t="shared" si="2"/>
        <v>0.81495868330143373</v>
      </c>
      <c r="S16">
        <f t="shared" si="0"/>
        <v>-0.16731088359367463</v>
      </c>
    </row>
    <row r="17" spans="1:19" ht="22.5" customHeight="1">
      <c r="A17" s="5">
        <v>12</v>
      </c>
      <c r="B17" s="5">
        <v>1988</v>
      </c>
      <c r="C17" s="8">
        <v>104.4</v>
      </c>
      <c r="D17" s="8">
        <v>69.7</v>
      </c>
      <c r="E17" s="8">
        <v>49.6</v>
      </c>
      <c r="F17" s="8">
        <v>49.1</v>
      </c>
      <c r="G17" s="8">
        <v>87.5</v>
      </c>
      <c r="H17" s="8">
        <v>132</v>
      </c>
      <c r="I17" s="8">
        <v>153.80000000000001</v>
      </c>
      <c r="J17" s="8">
        <v>184</v>
      </c>
      <c r="K17" s="8">
        <v>285.8</v>
      </c>
      <c r="L17" s="8">
        <v>542.9</v>
      </c>
      <c r="M17" s="8">
        <v>514.20000000000005</v>
      </c>
      <c r="N17" s="8">
        <v>217</v>
      </c>
      <c r="O17" s="8">
        <f t="shared" si="1"/>
        <v>199.16666666666666</v>
      </c>
      <c r="R17">
        <f t="shared" si="2"/>
        <v>0.48685469464999592</v>
      </c>
      <c r="S17">
        <f t="shared" si="0"/>
        <v>-0.49541487224511244</v>
      </c>
    </row>
    <row r="18" spans="1:19" ht="22.5" customHeight="1">
      <c r="A18" s="5">
        <v>13</v>
      </c>
      <c r="B18" s="5">
        <v>1989</v>
      </c>
      <c r="C18" s="8">
        <v>130.6</v>
      </c>
      <c r="D18" s="8">
        <v>77.900000000000006</v>
      </c>
      <c r="E18" s="8">
        <v>71</v>
      </c>
      <c r="F18" s="8">
        <v>74.3</v>
      </c>
      <c r="G18" s="8">
        <v>153.4</v>
      </c>
      <c r="H18" s="8">
        <v>243.9</v>
      </c>
      <c r="I18" s="8">
        <v>280.8</v>
      </c>
      <c r="J18" s="8">
        <v>377.7</v>
      </c>
      <c r="K18" s="8">
        <v>478.9</v>
      </c>
      <c r="L18" s="8">
        <v>434.1</v>
      </c>
      <c r="M18" s="8">
        <v>243.7</v>
      </c>
      <c r="N18" s="8">
        <v>139.5</v>
      </c>
      <c r="O18" s="8">
        <f t="shared" si="1"/>
        <v>225.48333333333332</v>
      </c>
      <c r="R18">
        <f t="shared" si="2"/>
        <v>0.17698507425832841</v>
      </c>
      <c r="S18">
        <f t="shared" si="0"/>
        <v>-0.80528449263677992</v>
      </c>
    </row>
    <row r="19" spans="1:19" ht="22.5" customHeight="1">
      <c r="A19" s="5">
        <v>14</v>
      </c>
      <c r="B19" s="5">
        <v>1990</v>
      </c>
      <c r="C19" s="8">
        <v>75</v>
      </c>
      <c r="D19" s="8">
        <v>48.7</v>
      </c>
      <c r="E19" s="8">
        <v>37.9</v>
      </c>
      <c r="F19" s="8">
        <v>42.9</v>
      </c>
      <c r="G19" s="8">
        <v>58.8</v>
      </c>
      <c r="H19" s="8">
        <v>313.89999999999998</v>
      </c>
      <c r="I19" s="8">
        <v>254.6</v>
      </c>
      <c r="J19" s="8">
        <v>376.7</v>
      </c>
      <c r="K19" s="8">
        <v>519.70000000000005</v>
      </c>
      <c r="L19" s="8">
        <v>373.7</v>
      </c>
      <c r="M19" s="8">
        <v>526.4</v>
      </c>
      <c r="N19" s="8">
        <v>267</v>
      </c>
      <c r="O19" s="8">
        <f t="shared" si="1"/>
        <v>241.27500000000001</v>
      </c>
      <c r="R19">
        <f t="shared" si="2"/>
        <v>0.14251666580783962</v>
      </c>
      <c r="S19">
        <f t="shared" si="0"/>
        <v>-0.83975290108726874</v>
      </c>
    </row>
    <row r="20" spans="1:19" ht="22.5" customHeight="1">
      <c r="A20" s="5">
        <v>15</v>
      </c>
      <c r="B20" s="5">
        <v>1991</v>
      </c>
      <c r="C20" s="8">
        <v>129</v>
      </c>
      <c r="D20" s="8">
        <v>84.7</v>
      </c>
      <c r="E20" s="8">
        <v>65.599999999999994</v>
      </c>
      <c r="F20" s="8">
        <v>57.4</v>
      </c>
      <c r="G20" s="8">
        <v>72.099999999999994</v>
      </c>
      <c r="H20" s="8">
        <v>90.4</v>
      </c>
      <c r="I20" s="8">
        <v>127.2</v>
      </c>
      <c r="J20" s="8">
        <v>189.1</v>
      </c>
      <c r="K20" s="8">
        <v>292.89999999999998</v>
      </c>
      <c r="L20" s="8">
        <v>341.1</v>
      </c>
      <c r="M20" s="8">
        <v>160.9</v>
      </c>
      <c r="N20" s="8">
        <v>96.7</v>
      </c>
      <c r="O20" s="8">
        <f t="shared" si="1"/>
        <v>142.25833333333335</v>
      </c>
      <c r="R20">
        <f t="shared" si="2"/>
        <v>0.95526419314454403</v>
      </c>
      <c r="S20">
        <f t="shared" si="0"/>
        <v>-2.7005373750564332E-2</v>
      </c>
    </row>
    <row r="21" spans="1:19" ht="22.5" customHeight="1">
      <c r="A21" s="5">
        <v>16</v>
      </c>
      <c r="B21" s="5">
        <v>1992</v>
      </c>
      <c r="C21" s="8">
        <v>65.2</v>
      </c>
      <c r="D21" s="8">
        <v>45.4</v>
      </c>
      <c r="E21" s="8">
        <v>37</v>
      </c>
      <c r="F21" s="8">
        <v>47.1</v>
      </c>
      <c r="G21" s="8">
        <v>83</v>
      </c>
      <c r="H21" s="8">
        <v>208.1</v>
      </c>
      <c r="I21" s="8">
        <v>241.5</v>
      </c>
      <c r="J21" s="8">
        <v>396.5</v>
      </c>
      <c r="K21" s="8">
        <v>408.9</v>
      </c>
      <c r="L21" s="8">
        <v>471.9</v>
      </c>
      <c r="M21" s="8">
        <v>474.8</v>
      </c>
      <c r="N21" s="8">
        <v>184.6</v>
      </c>
      <c r="O21" s="8">
        <f t="shared" si="1"/>
        <v>222</v>
      </c>
      <c r="R21">
        <f t="shared" si="2"/>
        <v>7.5086780871289338E-2</v>
      </c>
      <c r="S21">
        <f t="shared" si="0"/>
        <v>-0.90718278602381908</v>
      </c>
    </row>
    <row r="22" spans="1:19" ht="22.5" customHeight="1">
      <c r="A22" s="5">
        <v>17</v>
      </c>
      <c r="B22" s="5">
        <v>1993</v>
      </c>
      <c r="C22" s="8">
        <v>105.2</v>
      </c>
      <c r="D22" s="8">
        <v>68.5</v>
      </c>
      <c r="E22" s="8">
        <v>58.8</v>
      </c>
      <c r="F22" s="8">
        <v>51</v>
      </c>
      <c r="G22" s="8">
        <v>85.2</v>
      </c>
      <c r="H22" s="8">
        <v>120.5</v>
      </c>
      <c r="I22" s="8">
        <v>194.8</v>
      </c>
      <c r="J22" s="8">
        <v>212.8</v>
      </c>
      <c r="K22" s="8">
        <v>262.2</v>
      </c>
      <c r="L22" s="8">
        <v>762.3</v>
      </c>
      <c r="M22" s="8">
        <v>263.5</v>
      </c>
      <c r="N22" s="8">
        <v>590.4</v>
      </c>
      <c r="O22" s="8">
        <f t="shared" si="1"/>
        <v>231.26666666666668</v>
      </c>
      <c r="R22">
        <f t="shared" si="2"/>
        <v>0.57191897273716019</v>
      </c>
      <c r="S22">
        <f t="shared" si="0"/>
        <v>-0.41035059415794817</v>
      </c>
    </row>
    <row r="23" spans="1:19" ht="22.5" customHeight="1">
      <c r="A23" s="5">
        <v>18</v>
      </c>
      <c r="B23" s="5">
        <v>1994</v>
      </c>
      <c r="C23" s="8">
        <v>213.8</v>
      </c>
      <c r="D23" s="8">
        <v>106.9</v>
      </c>
      <c r="E23" s="8">
        <v>69.2</v>
      </c>
      <c r="F23" s="8">
        <v>73.8</v>
      </c>
      <c r="G23" s="8">
        <v>112.3</v>
      </c>
      <c r="H23" s="8">
        <v>153.30000000000001</v>
      </c>
      <c r="I23" s="8">
        <v>270.39999999999998</v>
      </c>
      <c r="J23" s="8">
        <v>242.9</v>
      </c>
      <c r="K23" s="8">
        <v>338.4</v>
      </c>
      <c r="L23" s="8">
        <v>325.3</v>
      </c>
      <c r="M23" s="8">
        <v>221.9</v>
      </c>
      <c r="N23" s="8">
        <v>145.5</v>
      </c>
      <c r="O23" s="8">
        <f t="shared" si="1"/>
        <v>189.47499999999999</v>
      </c>
      <c r="R23">
        <f t="shared" si="2"/>
        <v>0.87581613492710009</v>
      </c>
      <c r="S23">
        <f t="shared" si="0"/>
        <v>-0.10645343196800827</v>
      </c>
    </row>
    <row r="24" spans="1:19" ht="22.5" customHeight="1">
      <c r="A24" s="5">
        <v>19</v>
      </c>
      <c r="B24" s="5">
        <v>1995</v>
      </c>
      <c r="C24" s="8">
        <v>82.9</v>
      </c>
      <c r="D24" s="8">
        <v>56.2</v>
      </c>
      <c r="E24" s="8">
        <v>43.2</v>
      </c>
      <c r="F24" s="8">
        <v>39</v>
      </c>
      <c r="G24" s="8">
        <v>55.9</v>
      </c>
      <c r="H24" s="8">
        <v>79.5</v>
      </c>
      <c r="I24" s="8">
        <v>163.19999999999999</v>
      </c>
      <c r="J24" s="8">
        <v>170.9</v>
      </c>
      <c r="K24" s="8">
        <v>328.8</v>
      </c>
      <c r="L24" s="8">
        <v>446.3</v>
      </c>
      <c r="M24" s="8">
        <v>279.5</v>
      </c>
      <c r="N24" s="8">
        <v>222.3</v>
      </c>
      <c r="O24" s="8">
        <f t="shared" si="1"/>
        <v>163.97499999999999</v>
      </c>
      <c r="R24">
        <f t="shared" si="2"/>
        <v>0.77433458417755685</v>
      </c>
      <c r="S24">
        <f t="shared" si="0"/>
        <v>-0.20793498271755151</v>
      </c>
    </row>
    <row r="25" spans="1:19" ht="22.5" customHeight="1">
      <c r="A25" s="5">
        <v>20</v>
      </c>
      <c r="B25" s="5">
        <v>1996</v>
      </c>
      <c r="C25" s="8">
        <v>178.4</v>
      </c>
      <c r="D25" s="8">
        <v>78.3</v>
      </c>
      <c r="E25" s="8">
        <v>47.8</v>
      </c>
      <c r="F25" s="8">
        <v>53.9</v>
      </c>
      <c r="G25" s="8">
        <v>174.9</v>
      </c>
      <c r="H25" s="8">
        <v>250.1</v>
      </c>
      <c r="I25" s="8">
        <v>297.10000000000002</v>
      </c>
      <c r="J25" s="8">
        <v>326.89999999999998</v>
      </c>
      <c r="K25" s="8">
        <v>468.8</v>
      </c>
      <c r="L25" s="8">
        <v>647.6</v>
      </c>
      <c r="M25" s="8">
        <v>767</v>
      </c>
      <c r="N25" s="8">
        <v>646</v>
      </c>
      <c r="O25" s="8">
        <f t="shared" si="1"/>
        <v>328.06666666666666</v>
      </c>
      <c r="R25">
        <f t="shared" si="2"/>
        <v>0.37655953116972729</v>
      </c>
      <c r="S25">
        <f t="shared" si="0"/>
        <v>-0.60571003572538107</v>
      </c>
    </row>
    <row r="26" spans="1:19" ht="22.5" customHeight="1">
      <c r="A26" s="5">
        <v>21</v>
      </c>
      <c r="B26" s="5">
        <v>1997</v>
      </c>
      <c r="C26" s="8">
        <v>304.10000000000002</v>
      </c>
      <c r="D26" s="8">
        <v>127.7</v>
      </c>
      <c r="E26" s="8">
        <v>61.3</v>
      </c>
      <c r="F26" s="8">
        <v>101</v>
      </c>
      <c r="G26" s="8">
        <v>135.6</v>
      </c>
      <c r="H26" s="8">
        <v>131.1</v>
      </c>
      <c r="I26" s="8">
        <v>294.8</v>
      </c>
      <c r="J26" s="8">
        <v>416.1</v>
      </c>
      <c r="K26" s="8">
        <v>434.9</v>
      </c>
      <c r="L26" s="8">
        <v>402.6</v>
      </c>
      <c r="M26" s="8">
        <v>286.89999999999998</v>
      </c>
      <c r="N26" s="8">
        <v>115.5</v>
      </c>
      <c r="O26" s="8">
        <f t="shared" si="1"/>
        <v>234.30000000000004</v>
      </c>
      <c r="R26">
        <f t="shared" si="2"/>
        <v>0.87336674793426416</v>
      </c>
      <c r="S26">
        <f t="shared" si="0"/>
        <v>-0.10890281896084419</v>
      </c>
    </row>
    <row r="27" spans="1:19" ht="22.5" customHeight="1">
      <c r="A27" s="5">
        <v>22</v>
      </c>
      <c r="B27" s="5">
        <v>1998</v>
      </c>
      <c r="C27" s="8">
        <v>67.099999999999994</v>
      </c>
      <c r="D27" s="8">
        <v>45</v>
      </c>
      <c r="E27" s="8">
        <v>26.7</v>
      </c>
      <c r="F27" s="8">
        <v>24.6</v>
      </c>
      <c r="G27" s="8">
        <v>61.8</v>
      </c>
      <c r="H27" s="8">
        <v>68.3</v>
      </c>
      <c r="I27" s="8">
        <v>115.9</v>
      </c>
      <c r="J27" s="8">
        <v>185</v>
      </c>
      <c r="K27" s="8">
        <v>205</v>
      </c>
      <c r="L27" s="8">
        <v>427.7</v>
      </c>
      <c r="M27" s="8">
        <v>957.4</v>
      </c>
      <c r="N27" s="8">
        <v>867.5</v>
      </c>
      <c r="O27" s="8">
        <f t="shared" si="1"/>
        <v>254.33333333333334</v>
      </c>
      <c r="R27">
        <f t="shared" si="2"/>
        <v>0.52107721272463459</v>
      </c>
      <c r="S27">
        <f t="shared" si="0"/>
        <v>-0.46119235417047377</v>
      </c>
    </row>
    <row r="28" spans="1:19" ht="22.5" customHeight="1">
      <c r="A28" s="5">
        <v>23</v>
      </c>
      <c r="B28" s="5">
        <v>1999</v>
      </c>
      <c r="C28" s="8">
        <v>331.9</v>
      </c>
      <c r="D28" s="8">
        <v>155.4</v>
      </c>
      <c r="E28" s="8">
        <v>96.4</v>
      </c>
      <c r="F28" s="8">
        <v>122</v>
      </c>
      <c r="G28" s="8">
        <v>357.8</v>
      </c>
      <c r="H28" s="8">
        <v>451.4</v>
      </c>
      <c r="I28" s="8">
        <v>306.2</v>
      </c>
      <c r="J28" s="8">
        <v>462.1</v>
      </c>
      <c r="K28" s="8">
        <v>389.8</v>
      </c>
      <c r="L28" s="8">
        <v>444.8</v>
      </c>
      <c r="M28" s="8">
        <v>634</v>
      </c>
      <c r="N28" s="8">
        <v>662.8</v>
      </c>
      <c r="O28" s="8">
        <f t="shared" si="1"/>
        <v>367.88333333333338</v>
      </c>
      <c r="R28">
        <f t="shared" si="2"/>
        <v>0.32687730805257564</v>
      </c>
      <c r="S28">
        <f t="shared" si="0"/>
        <v>-0.65539225884253272</v>
      </c>
    </row>
    <row r="29" spans="1:19" ht="22.5" customHeight="1">
      <c r="A29" s="5">
        <v>24</v>
      </c>
      <c r="B29" s="5">
        <v>2000</v>
      </c>
      <c r="C29" s="8">
        <v>230</v>
      </c>
      <c r="D29" s="8">
        <v>129.5</v>
      </c>
      <c r="E29" s="8">
        <v>85.7</v>
      </c>
      <c r="F29" s="8">
        <v>113.1</v>
      </c>
      <c r="G29" s="8">
        <v>159.1</v>
      </c>
      <c r="H29" s="8">
        <v>256.60000000000002</v>
      </c>
      <c r="I29" s="8">
        <v>341.1</v>
      </c>
      <c r="J29" s="8">
        <v>339</v>
      </c>
      <c r="K29" s="8">
        <v>542.5</v>
      </c>
      <c r="L29" s="8">
        <v>1217.0999999999999</v>
      </c>
      <c r="M29" s="8">
        <v>526.5</v>
      </c>
      <c r="N29" s="8">
        <v>551.5</v>
      </c>
      <c r="O29" s="8">
        <f t="shared" si="1"/>
        <v>374.30833333333334</v>
      </c>
      <c r="R29">
        <f t="shared" si="2"/>
        <v>0.59947280963269478</v>
      </c>
      <c r="S29">
        <f t="shared" si="0"/>
        <v>-0.38279675726241358</v>
      </c>
    </row>
    <row r="30" spans="1:19" ht="22.5" customHeight="1">
      <c r="A30" s="5">
        <v>25</v>
      </c>
      <c r="B30" s="5">
        <v>2001</v>
      </c>
      <c r="C30" s="8">
        <v>217.7</v>
      </c>
      <c r="D30" s="8">
        <v>106.8</v>
      </c>
      <c r="E30" s="8">
        <v>92.9</v>
      </c>
      <c r="F30" s="8">
        <v>82.9</v>
      </c>
      <c r="G30" s="8">
        <v>97.1</v>
      </c>
      <c r="H30" s="8">
        <v>172.2</v>
      </c>
      <c r="I30" s="8">
        <v>193.7</v>
      </c>
      <c r="J30" s="8">
        <v>524.1</v>
      </c>
      <c r="K30" s="8">
        <v>443.7</v>
      </c>
      <c r="L30" s="8">
        <v>343.2</v>
      </c>
      <c r="M30" s="8">
        <v>296</v>
      </c>
      <c r="N30" s="8">
        <v>178</v>
      </c>
      <c r="O30" s="8">
        <f t="shared" si="1"/>
        <v>229.02500000000001</v>
      </c>
      <c r="R30">
        <f t="shared" si="2"/>
        <v>0.91250456448951178</v>
      </c>
      <c r="S30">
        <f t="shared" si="0"/>
        <v>-6.9765002405596577E-2</v>
      </c>
    </row>
    <row r="31" spans="1:19" ht="22.5" customHeight="1">
      <c r="A31" s="5">
        <v>26</v>
      </c>
      <c r="B31" s="5">
        <v>2002</v>
      </c>
      <c r="C31" s="8">
        <v>99.7</v>
      </c>
      <c r="D31" s="8">
        <v>60.5</v>
      </c>
      <c r="E31" s="8">
        <v>39.299999999999997</v>
      </c>
      <c r="F31" s="8">
        <v>39.200000000000003</v>
      </c>
      <c r="G31" s="8">
        <v>42.6</v>
      </c>
      <c r="H31" s="8">
        <v>122.8</v>
      </c>
      <c r="I31" s="8">
        <v>113.1</v>
      </c>
      <c r="J31" s="8">
        <v>459.6</v>
      </c>
      <c r="K31" s="8">
        <v>471.5</v>
      </c>
      <c r="L31" s="8">
        <v>302.3</v>
      </c>
      <c r="M31" s="8">
        <v>344.5</v>
      </c>
      <c r="N31" s="8">
        <v>180.5</v>
      </c>
      <c r="O31" s="8">
        <f t="shared" si="1"/>
        <v>189.63333333333335</v>
      </c>
      <c r="R31">
        <f t="shared" si="2"/>
        <v>0.66130836988976094</v>
      </c>
      <c r="S31">
        <f t="shared" si="0"/>
        <v>-0.32096119700534742</v>
      </c>
    </row>
    <row r="32" spans="1:19" ht="22.5" customHeight="1">
      <c r="A32" s="5">
        <v>27</v>
      </c>
      <c r="B32" s="5">
        <v>2003</v>
      </c>
      <c r="C32" s="8">
        <v>93.966336501137732</v>
      </c>
      <c r="D32" s="8">
        <v>58.208641078838177</v>
      </c>
      <c r="E32" s="8">
        <v>40.811359925043504</v>
      </c>
      <c r="F32" s="8">
        <v>38.959553250345792</v>
      </c>
      <c r="G32" s="8">
        <v>85.315180029447191</v>
      </c>
      <c r="H32" s="8">
        <v>126.17442323651453</v>
      </c>
      <c r="I32" s="8">
        <v>148.46119662695759</v>
      </c>
      <c r="J32" s="8">
        <v>230.68859590416278</v>
      </c>
      <c r="K32" s="8">
        <v>287.30567081604426</v>
      </c>
      <c r="L32" s="8">
        <v>343.4864944451881</v>
      </c>
      <c r="M32" s="8">
        <v>313.37070357554785</v>
      </c>
      <c r="N32" s="8">
        <v>161.71377325659216</v>
      </c>
      <c r="O32" s="8">
        <f t="shared" si="1"/>
        <v>160.70516072048497</v>
      </c>
      <c r="R32">
        <f t="shared" si="2"/>
        <v>0.4251326777165288</v>
      </c>
      <c r="S32">
        <f t="shared" si="0"/>
        <v>-0.55713688917857951</v>
      </c>
    </row>
    <row r="33" spans="1:20" ht="22.5" customHeight="1">
      <c r="A33" s="23">
        <v>28</v>
      </c>
      <c r="B33" s="23">
        <v>2004</v>
      </c>
      <c r="C33" s="24">
        <v>95.674608486146425</v>
      </c>
      <c r="D33" s="24">
        <v>55.669552153383883</v>
      </c>
      <c r="E33" s="24">
        <v>38.343193682237988</v>
      </c>
      <c r="F33" s="24">
        <v>47.864149377593364</v>
      </c>
      <c r="G33" s="24">
        <v>61.681595502610094</v>
      </c>
      <c r="H33" s="24">
        <v>127.61170124481328</v>
      </c>
      <c r="I33" s="24">
        <v>134.84844063713024</v>
      </c>
      <c r="J33" s="24">
        <v>310.82233971355907</v>
      </c>
      <c r="K33" s="24">
        <v>195.73900414937759</v>
      </c>
      <c r="L33" s="24">
        <v>128.48333556418149</v>
      </c>
      <c r="M33" s="24">
        <v>84.080193637621022</v>
      </c>
      <c r="N33" s="24">
        <v>78.943581849819296</v>
      </c>
      <c r="O33" s="24">
        <f t="shared" si="1"/>
        <v>113.31347466653949</v>
      </c>
      <c r="P33" s="25"/>
      <c r="Q33" s="25"/>
      <c r="R33">
        <f t="shared" si="2"/>
        <v>0.52352472717176302</v>
      </c>
      <c r="S33" s="25">
        <f t="shared" si="0"/>
        <v>-0.45874483972334534</v>
      </c>
    </row>
    <row r="34" spans="1:20" ht="22.5" customHeight="1">
      <c r="A34" s="5">
        <v>29</v>
      </c>
      <c r="B34" s="5">
        <v>2005</v>
      </c>
      <c r="C34" s="8">
        <v>34.33282960781689</v>
      </c>
      <c r="D34" s="8">
        <v>23.391606401896855</v>
      </c>
      <c r="E34" s="8">
        <v>18.261290322580635</v>
      </c>
      <c r="F34" s="8">
        <v>21.10204702627939</v>
      </c>
      <c r="G34" s="8">
        <v>47.066724668719047</v>
      </c>
      <c r="H34" s="8">
        <v>58.533195020746888</v>
      </c>
      <c r="I34" s="8">
        <v>99.439726944184187</v>
      </c>
      <c r="J34" s="8">
        <v>218.50153928523628</v>
      </c>
      <c r="K34" s="8">
        <v>521.1430152143846</v>
      </c>
      <c r="L34" s="8">
        <v>323.97376522553873</v>
      </c>
      <c r="M34" s="8">
        <v>261.28271092669434</v>
      </c>
      <c r="N34" s="8">
        <v>661.06596718383753</v>
      </c>
      <c r="O34" s="8">
        <f t="shared" si="1"/>
        <v>190.67453481899292</v>
      </c>
      <c r="R34">
        <f t="shared" si="2"/>
        <v>0.10000263494385372</v>
      </c>
      <c r="S34">
        <f t="shared" si="0"/>
        <v>-0.88226693195125461</v>
      </c>
    </row>
    <row r="35" spans="1:20" ht="22.5" customHeight="1">
      <c r="A35" s="5">
        <v>30</v>
      </c>
      <c r="B35" s="5">
        <v>2006</v>
      </c>
      <c r="C35" s="8">
        <v>223.79949136661759</v>
      </c>
      <c r="D35" s="8">
        <v>95.429697688203902</v>
      </c>
      <c r="E35" s="8">
        <v>67.870967741935488</v>
      </c>
      <c r="F35" s="8">
        <v>66.491991701244814</v>
      </c>
      <c r="G35" s="8">
        <v>94.687190469816628</v>
      </c>
      <c r="H35" s="8">
        <v>117.65001383125866</v>
      </c>
      <c r="I35" s="8">
        <v>249.90439030919555</v>
      </c>
      <c r="J35" s="8">
        <v>400.77760674608487</v>
      </c>
      <c r="K35" s="8">
        <v>412.92697095435688</v>
      </c>
      <c r="L35" s="8">
        <v>513.64382278142148</v>
      </c>
      <c r="M35" s="8">
        <v>188.21181189488243</v>
      </c>
      <c r="N35" s="8">
        <v>141.33263284700843</v>
      </c>
      <c r="O35" s="8">
        <f t="shared" si="1"/>
        <v>214.39388236100226</v>
      </c>
      <c r="R35">
        <f t="shared" si="2"/>
        <v>0.94216700799705899</v>
      </c>
      <c r="S35">
        <f t="shared" si="0"/>
        <v>-4.0102558898049367E-2</v>
      </c>
    </row>
    <row r="36" spans="1:20" ht="22.5" customHeight="1">
      <c r="A36" s="5">
        <v>31</v>
      </c>
      <c r="B36" s="5">
        <v>2007</v>
      </c>
      <c r="C36" s="8">
        <v>104.0016062106813</v>
      </c>
      <c r="D36" s="8">
        <v>49.53592175459395</v>
      </c>
      <c r="E36" s="8">
        <v>40.468281354571005</v>
      </c>
      <c r="F36" s="8">
        <v>39.901867219917015</v>
      </c>
      <c r="G36" s="8">
        <v>115.85857314951144</v>
      </c>
      <c r="H36" s="8">
        <v>166.44872752420471</v>
      </c>
      <c r="I36" s="8">
        <v>248.40682639539551</v>
      </c>
      <c r="J36" s="8">
        <v>876.28871636996382</v>
      </c>
      <c r="K36" s="8">
        <v>617.21410788381741</v>
      </c>
      <c r="L36" s="8">
        <v>697.26863873644754</v>
      </c>
      <c r="M36" s="8">
        <v>735.29917012448129</v>
      </c>
      <c r="N36" s="8">
        <v>322.4689064382278</v>
      </c>
      <c r="O36" s="8">
        <f t="shared" si="1"/>
        <v>334.43011193015104</v>
      </c>
      <c r="R36">
        <f t="shared" si="2"/>
        <v>0.27561063828040605</v>
      </c>
      <c r="S36">
        <f t="shared" si="0"/>
        <v>-0.70665892861470225</v>
      </c>
    </row>
    <row r="37" spans="1:20" ht="22.5" customHeight="1">
      <c r="A37" s="5">
        <v>32</v>
      </c>
      <c r="B37" s="5">
        <v>2008</v>
      </c>
      <c r="C37" s="8">
        <v>168.10262347744612</v>
      </c>
      <c r="D37" s="8">
        <v>102.27563313778796</v>
      </c>
      <c r="E37" s="8">
        <v>74.733261946191959</v>
      </c>
      <c r="F37" s="8">
        <v>68.460470262793919</v>
      </c>
      <c r="G37" s="8">
        <v>172.02449471288986</v>
      </c>
      <c r="H37" s="8">
        <v>166.70081604426005</v>
      </c>
      <c r="I37" s="8">
        <v>176.35126489091152</v>
      </c>
      <c r="J37" s="8">
        <v>288.49129969214295</v>
      </c>
      <c r="K37" s="8">
        <v>345.5317980636238</v>
      </c>
      <c r="L37" s="8">
        <v>398.60503279346807</v>
      </c>
      <c r="M37" s="8">
        <v>543.79918395573998</v>
      </c>
      <c r="N37" s="8">
        <v>422.01270244947131</v>
      </c>
      <c r="O37" s="8">
        <f t="shared" si="1"/>
        <v>243.92404845222731</v>
      </c>
      <c r="R37">
        <f t="shared" si="2"/>
        <v>0.44228009623278547</v>
      </c>
      <c r="S37">
        <f t="shared" si="0"/>
        <v>-0.53998947066232295</v>
      </c>
    </row>
    <row r="38" spans="1:20" ht="22.5" customHeight="1">
      <c r="A38" s="5">
        <v>33</v>
      </c>
      <c r="B38" s="5">
        <v>2009</v>
      </c>
      <c r="C38" s="8">
        <v>168</v>
      </c>
      <c r="D38" s="8">
        <v>102</v>
      </c>
      <c r="E38" s="8">
        <v>74.7</v>
      </c>
      <c r="F38" s="8">
        <v>68.5</v>
      </c>
      <c r="G38" s="8">
        <v>172</v>
      </c>
      <c r="H38" s="8">
        <v>167</v>
      </c>
      <c r="I38" s="8">
        <v>176</v>
      </c>
      <c r="J38" s="8">
        <v>288</v>
      </c>
      <c r="K38" s="8">
        <v>346</v>
      </c>
      <c r="L38" s="8">
        <v>399</v>
      </c>
      <c r="M38" s="8">
        <v>544</v>
      </c>
      <c r="N38" s="8">
        <v>422</v>
      </c>
      <c r="O38" s="8">
        <f t="shared" si="1"/>
        <v>243.93333333333331</v>
      </c>
      <c r="R38">
        <f t="shared" si="2"/>
        <v>0.44124281181605191</v>
      </c>
      <c r="S38">
        <f t="shared" si="0"/>
        <v>-0.5410267550790564</v>
      </c>
    </row>
    <row r="39" spans="1:20" ht="22.5" customHeight="1">
      <c r="A39" s="5">
        <v>34</v>
      </c>
      <c r="B39" s="5">
        <v>2010</v>
      </c>
      <c r="C39" s="8">
        <v>73.075640040962696</v>
      </c>
      <c r="D39" s="8">
        <v>42.596964758125473</v>
      </c>
      <c r="E39" s="8">
        <v>65.393700930192864</v>
      </c>
      <c r="F39" s="8">
        <v>50.980846560846622</v>
      </c>
      <c r="G39" s="8">
        <v>50.069723928998123</v>
      </c>
      <c r="H39" s="8">
        <v>84.605453593474309</v>
      </c>
      <c r="I39" s="8">
        <v>142.01164874551975</v>
      </c>
      <c r="J39" s="8">
        <v>167.86127272145416</v>
      </c>
      <c r="K39" s="8">
        <v>209.13552689594354</v>
      </c>
      <c r="L39" s="8">
        <v>164.81646878733582</v>
      </c>
      <c r="M39" s="8">
        <v>523.56312632275115</v>
      </c>
      <c r="N39" s="8">
        <v>311.84394761264713</v>
      </c>
      <c r="O39" s="8">
        <f t="shared" si="1"/>
        <v>157.16286007485431</v>
      </c>
      <c r="R39">
        <f t="shared" si="2"/>
        <v>0.54152179983300153</v>
      </c>
      <c r="S39">
        <f t="shared" si="0"/>
        <v>-0.44074776706210683</v>
      </c>
    </row>
    <row r="40" spans="1:20" ht="22.5" customHeight="1">
      <c r="A40" s="5">
        <v>35</v>
      </c>
      <c r="B40" s="5">
        <v>2011</v>
      </c>
      <c r="C40" s="8">
        <v>102.52958002645522</v>
      </c>
      <c r="D40" s="8">
        <v>51.785294430271982</v>
      </c>
      <c r="E40" s="8">
        <v>95.840347648916222</v>
      </c>
      <c r="F40" s="8">
        <v>86.302944223985818</v>
      </c>
      <c r="G40" s="8">
        <v>63.986306856972021</v>
      </c>
      <c r="H40" s="8">
        <v>207.32219190917127</v>
      </c>
      <c r="I40" s="8">
        <v>206.37612220515447</v>
      </c>
      <c r="J40" s="8">
        <v>246.50640307646344</v>
      </c>
      <c r="K40" s="8">
        <v>256.36646108906535</v>
      </c>
      <c r="L40" s="8">
        <v>521.44681952978328</v>
      </c>
      <c r="M40" s="8">
        <v>296.26386893738993</v>
      </c>
      <c r="N40" s="8">
        <v>217.26831637224768</v>
      </c>
      <c r="O40" s="8">
        <f t="shared" si="1"/>
        <v>195.99955469215638</v>
      </c>
      <c r="R40">
        <f t="shared" si="2"/>
        <v>0.22635079337231739</v>
      </c>
      <c r="S40">
        <f t="shared" si="0"/>
        <v>-0.75591877352279102</v>
      </c>
    </row>
    <row r="41" spans="1:20" ht="22.5" customHeight="1">
      <c r="A41" s="5">
        <v>36</v>
      </c>
      <c r="B41" s="5">
        <v>2012</v>
      </c>
      <c r="C41" s="8">
        <v>107.80450588837699</v>
      </c>
      <c r="D41" s="8">
        <v>88.781740216201243</v>
      </c>
      <c r="E41" s="8">
        <v>106.74732334869441</v>
      </c>
      <c r="F41" s="8">
        <v>139.19058366402078</v>
      </c>
      <c r="G41" s="8">
        <v>166.96087493599643</v>
      </c>
      <c r="H41" s="8">
        <v>117.49010714285684</v>
      </c>
      <c r="I41" s="8">
        <v>142.87829781106007</v>
      </c>
      <c r="J41" s="8">
        <v>138.94242906212671</v>
      </c>
      <c r="K41" s="8">
        <v>215.86120590828926</v>
      </c>
      <c r="L41" s="8">
        <v>396.08518219832735</v>
      </c>
      <c r="M41" s="8">
        <v>198.77781889329799</v>
      </c>
      <c r="N41" s="8">
        <v>100.21832853302611</v>
      </c>
      <c r="O41" s="8">
        <f t="shared" si="1"/>
        <v>159.97819980018951</v>
      </c>
      <c r="R41">
        <f t="shared" si="2"/>
        <v>-0.51451890537552891</v>
      </c>
      <c r="S41">
        <f t="shared" si="0"/>
        <v>-1.4967884722706373</v>
      </c>
    </row>
    <row r="42" spans="1:20" ht="22.5" customHeight="1">
      <c r="A42" s="5">
        <v>37</v>
      </c>
      <c r="B42" s="5">
        <v>2013</v>
      </c>
      <c r="C42" s="8">
        <v>63.127122162485023</v>
      </c>
      <c r="D42" s="8">
        <v>43.621884684429475</v>
      </c>
      <c r="E42" s="8">
        <v>60.75331050520559</v>
      </c>
      <c r="F42" s="8">
        <v>56.528831018518559</v>
      </c>
      <c r="G42" s="8">
        <v>79.147663637139445</v>
      </c>
      <c r="H42" s="8">
        <v>159.44252854938259</v>
      </c>
      <c r="I42" s="8">
        <v>202.28723438300059</v>
      </c>
      <c r="J42" s="8">
        <v>193.73232430875589</v>
      </c>
      <c r="K42" s="8">
        <v>247.08142636684292</v>
      </c>
      <c r="L42" s="8">
        <v>397.59521836064187</v>
      </c>
      <c r="M42" s="8">
        <v>242.35144257054662</v>
      </c>
      <c r="N42" s="8">
        <v>141.83356086789553</v>
      </c>
      <c r="O42" s="8">
        <f t="shared" si="1"/>
        <v>157.29187895123701</v>
      </c>
      <c r="R42">
        <f t="shared" si="2"/>
        <v>2.3811105617206039E-2</v>
      </c>
      <c r="S42">
        <f t="shared" si="0"/>
        <v>-0.95845846127790235</v>
      </c>
    </row>
    <row r="43" spans="1:20" ht="22.5" customHeight="1">
      <c r="A43" s="5">
        <v>38</v>
      </c>
      <c r="B43" s="5">
        <v>2014</v>
      </c>
      <c r="C43" s="8">
        <v>93.210677910052809</v>
      </c>
      <c r="D43" s="8">
        <v>85.132578184051411</v>
      </c>
      <c r="E43" s="8">
        <v>96.811324884792711</v>
      </c>
      <c r="F43" s="8">
        <v>61.1311642416225</v>
      </c>
      <c r="G43" s="8">
        <v>75.179119623655993</v>
      </c>
      <c r="H43" s="8">
        <v>132.88200782627877</v>
      </c>
      <c r="I43" s="8">
        <v>298.58465843147297</v>
      </c>
      <c r="J43" s="8">
        <v>310.1737245050349</v>
      </c>
      <c r="K43" s="8">
        <v>254.12894609788364</v>
      </c>
      <c r="L43" s="8">
        <v>239.04484745690414</v>
      </c>
      <c r="M43" s="8">
        <v>111.36380731922345</v>
      </c>
      <c r="N43" s="8">
        <v>98.869481886840703</v>
      </c>
      <c r="O43" s="8">
        <f t="shared" si="1"/>
        <v>154.70936153065119</v>
      </c>
      <c r="R43">
        <f t="shared" si="2"/>
        <v>0.3752293765733159</v>
      </c>
      <c r="S43">
        <f t="shared" si="0"/>
        <v>-0.60704019032179246</v>
      </c>
    </row>
    <row r="44" spans="1:20" ht="22.5" customHeight="1">
      <c r="A44" s="5">
        <v>39</v>
      </c>
      <c r="B44" s="5">
        <v>2015</v>
      </c>
      <c r="C44" s="8">
        <v>76.865498165216209</v>
      </c>
      <c r="D44" s="8">
        <v>53.108223379629898</v>
      </c>
      <c r="E44" s="8">
        <v>58.292600486430885</v>
      </c>
      <c r="F44" s="8">
        <v>59.105111552028433</v>
      </c>
      <c r="G44" s="8">
        <v>58.009430683563444</v>
      </c>
      <c r="H44" s="8">
        <v>91.987962119708982</v>
      </c>
      <c r="I44" s="8">
        <v>170.74672533708821</v>
      </c>
      <c r="J44" s="8">
        <v>182.65645161290325</v>
      </c>
      <c r="K44" s="8">
        <v>151.25768606701936</v>
      </c>
      <c r="L44" s="8">
        <v>111.81286428998101</v>
      </c>
      <c r="M44" s="8">
        <v>87.662924272486777</v>
      </c>
      <c r="N44" s="8">
        <v>76.222091973886634</v>
      </c>
      <c r="O44" s="8">
        <f t="shared" si="1"/>
        <v>98.143964161661927</v>
      </c>
      <c r="R44">
        <f t="shared" si="2"/>
        <v>0.51357395918416904</v>
      </c>
      <c r="S44">
        <f t="shared" si="0"/>
        <v>-0.46869560771093932</v>
      </c>
    </row>
    <row r="45" spans="1:20" ht="22.5" customHeight="1">
      <c r="A45" s="5">
        <v>40</v>
      </c>
      <c r="B45" s="5">
        <v>2016</v>
      </c>
      <c r="C45" s="8">
        <v>70.392357804232773</v>
      </c>
      <c r="D45" s="8">
        <v>43.48714390622137</v>
      </c>
      <c r="E45" s="8">
        <v>45.855622226488912</v>
      </c>
      <c r="F45" s="8">
        <v>47.572160714285879</v>
      </c>
      <c r="G45" s="8">
        <v>57.765901177675076</v>
      </c>
      <c r="H45" s="8">
        <v>91.753909611993421</v>
      </c>
      <c r="I45" s="8">
        <v>143.95738148574824</v>
      </c>
      <c r="J45" s="8">
        <v>155.5818294504183</v>
      </c>
      <c r="K45" s="8">
        <v>123.9304475308643</v>
      </c>
      <c r="L45" s="8">
        <v>235.81003872247788</v>
      </c>
      <c r="M45" s="8">
        <v>504.52869808201115</v>
      </c>
      <c r="N45" s="8">
        <v>439.25057870370404</v>
      </c>
      <c r="O45" s="8">
        <f t="shared" si="1"/>
        <v>163.32383911801011</v>
      </c>
      <c r="R45">
        <f t="shared" si="2"/>
        <v>0.42921697649049173</v>
      </c>
      <c r="S45">
        <f t="shared" si="0"/>
        <v>-0.55305259040461663</v>
      </c>
    </row>
    <row r="46" spans="1:20" ht="22.5" customHeight="1">
      <c r="A46" s="5">
        <v>41</v>
      </c>
      <c r="B46" s="5">
        <v>2017</v>
      </c>
      <c r="C46" s="8">
        <v>222.9105720899467</v>
      </c>
      <c r="D46" s="8">
        <v>147.19554253781448</v>
      </c>
      <c r="E46" s="8">
        <v>94.039587624147572</v>
      </c>
      <c r="F46" s="8">
        <v>119.32147926622083</v>
      </c>
      <c r="G46" s="8">
        <v>209.19463870065158</v>
      </c>
      <c r="H46" s="8">
        <v>293.85304291352065</v>
      </c>
      <c r="I46" s="8">
        <v>238.38863041901342</v>
      </c>
      <c r="J46" s="8">
        <v>264.46796945732115</v>
      </c>
      <c r="K46" s="8">
        <v>278.70858376723453</v>
      </c>
      <c r="L46" s="8">
        <v>306.82673069027692</v>
      </c>
      <c r="M46" s="8">
        <v>394.47959347442736</v>
      </c>
      <c r="N46" s="8">
        <v>417.73705879842902</v>
      </c>
      <c r="O46" s="8">
        <f t="shared" si="1"/>
        <v>248.9269524782504</v>
      </c>
      <c r="R46">
        <f t="shared" si="2"/>
        <v>0.38426529034759671</v>
      </c>
      <c r="S46">
        <f t="shared" si="0"/>
        <v>-0.59800427654751165</v>
      </c>
    </row>
    <row r="47" spans="1:20" ht="22.5" customHeight="1">
      <c r="A47" s="5">
        <v>42</v>
      </c>
      <c r="B47" s="5">
        <v>2018</v>
      </c>
      <c r="C47" s="8">
        <v>195.88533986175187</v>
      </c>
      <c r="D47" s="8">
        <v>110.09903698979635</v>
      </c>
      <c r="E47" s="8">
        <v>109.62334672532553</v>
      </c>
      <c r="F47" s="8">
        <v>100.19695827360036</v>
      </c>
      <c r="G47" s="8">
        <v>88.834882765830486</v>
      </c>
      <c r="H47" s="8">
        <v>116.48197333478716</v>
      </c>
      <c r="I47" s="8">
        <v>182.10580965181762</v>
      </c>
      <c r="J47" s="8">
        <v>220.81792552056689</v>
      </c>
      <c r="K47" s="8">
        <v>307.06589825837744</v>
      </c>
      <c r="L47" s="8">
        <v>224.2887607740231</v>
      </c>
      <c r="M47" s="8">
        <v>142.88117504409132</v>
      </c>
      <c r="N47" s="8">
        <v>177.05547427035367</v>
      </c>
      <c r="O47" s="8">
        <f t="shared" si="1"/>
        <v>164.6113817891935</v>
      </c>
      <c r="R47">
        <f t="shared" si="2"/>
        <v>0.98226956689510836</v>
      </c>
      <c r="S47">
        <f t="shared" si="0"/>
        <v>0</v>
      </c>
      <c r="T47">
        <v>2018</v>
      </c>
    </row>
    <row r="48" spans="1:20" ht="20.25" customHeight="1">
      <c r="A48" s="5">
        <v>43</v>
      </c>
      <c r="B48" s="5">
        <v>2019</v>
      </c>
      <c r="C48" s="10">
        <v>191.71425485577777</v>
      </c>
      <c r="D48" s="10">
        <v>85.032031203459837</v>
      </c>
      <c r="E48" s="10">
        <v>95.812717027221908</v>
      </c>
      <c r="F48" s="10">
        <v>79.890779935467208</v>
      </c>
      <c r="G48" s="10">
        <v>79.719896206690436</v>
      </c>
      <c r="H48" s="10">
        <v>98.342429397057629</v>
      </c>
      <c r="I48" s="10">
        <v>83.888467505071617</v>
      </c>
      <c r="J48" s="10">
        <v>228.90794102001314</v>
      </c>
      <c r="K48" s="10">
        <v>279.39415564373883</v>
      </c>
      <c r="L48" s="10">
        <v>207.80494858337619</v>
      </c>
      <c r="M48" s="10">
        <v>361.99018960768484</v>
      </c>
      <c r="N48" s="10">
        <v>130.82224249018637</v>
      </c>
      <c r="O48" s="8">
        <f t="shared" si="1"/>
        <v>160.27667112297883</v>
      </c>
      <c r="R48">
        <f t="shared" si="2"/>
        <v>0.96641899669803455</v>
      </c>
      <c r="S48">
        <f t="shared" si="0"/>
        <v>-1.585057019707381E-2</v>
      </c>
    </row>
    <row r="49" spans="1:19" ht="20.25" customHeight="1">
      <c r="A49" s="5">
        <v>44</v>
      </c>
      <c r="B49" s="5">
        <v>2020</v>
      </c>
      <c r="C49" s="10">
        <v>81.947953062803563</v>
      </c>
      <c r="D49" s="10">
        <v>71.063773772261356</v>
      </c>
      <c r="E49" s="10">
        <v>76.290331182795697</v>
      </c>
      <c r="F49" s="10">
        <v>51.970844444444445</v>
      </c>
      <c r="G49" s="10">
        <v>54.088725806451606</v>
      </c>
      <c r="H49" s="10">
        <v>114.60418777777777</v>
      </c>
      <c r="I49" s="10">
        <v>152.08065698924733</v>
      </c>
      <c r="J49" s="10">
        <v>294.6357666666666</v>
      </c>
      <c r="K49" s="10">
        <v>281.70280111111111</v>
      </c>
      <c r="L49" s="10">
        <v>305.00406129032251</v>
      </c>
      <c r="M49" s="10">
        <v>375.0722422222222</v>
      </c>
      <c r="N49" s="10">
        <v>478.93006666666662</v>
      </c>
      <c r="O49" s="8">
        <f t="shared" si="1"/>
        <v>194.78261758273086</v>
      </c>
      <c r="R49">
        <f t="shared" si="2"/>
        <v>0.47112596470823703</v>
      </c>
      <c r="S49">
        <f t="shared" si="0"/>
        <v>-0.51114360218687138</v>
      </c>
    </row>
    <row r="50" spans="1:19" ht="20.25" customHeight="1">
      <c r="A50" s="5">
        <v>45</v>
      </c>
      <c r="B50" s="5">
        <v>2021</v>
      </c>
      <c r="C50" s="10">
        <v>168.78631505376339</v>
      </c>
      <c r="D50" s="10">
        <v>109.25753690476191</v>
      </c>
      <c r="E50" s="10">
        <v>96.941623460410582</v>
      </c>
      <c r="F50" s="10">
        <v>78.852806666666694</v>
      </c>
      <c r="G50" s="10">
        <v>82.61294193548386</v>
      </c>
      <c r="H50" s="10">
        <v>81.090311111111134</v>
      </c>
      <c r="I50" s="10">
        <v>124.71106451612899</v>
      </c>
      <c r="J50" s="10">
        <v>133.48928387096774</v>
      </c>
      <c r="K50" s="10">
        <v>267.21808888888881</v>
      </c>
      <c r="L50" s="10">
        <v>385.27039569892474</v>
      </c>
      <c r="M50" s="10">
        <v>536.5333333333333</v>
      </c>
      <c r="N50" s="10">
        <v>429.99193548387098</v>
      </c>
      <c r="O50" s="8">
        <f t="shared" si="1"/>
        <v>207.896303077026</v>
      </c>
      <c r="R50">
        <f t="shared" si="2"/>
        <v>0.92955484976572766</v>
      </c>
      <c r="S50">
        <f t="shared" si="0"/>
        <v>-5.2714717129380695E-2</v>
      </c>
    </row>
    <row r="51" spans="1:19" ht="20.25" customHeight="1">
      <c r="A51" s="5">
        <v>46</v>
      </c>
      <c r="B51" s="5">
        <v>2022</v>
      </c>
      <c r="C51" s="10">
        <v>187.2446247311828</v>
      </c>
      <c r="D51" s="10">
        <v>117.53720238095241</v>
      </c>
      <c r="E51" s="10">
        <v>117.4314516129032</v>
      </c>
      <c r="F51" s="10">
        <v>116.60138888888886</v>
      </c>
      <c r="G51" s="10">
        <v>165.90059139784947</v>
      </c>
      <c r="H51" s="10">
        <v>183.66533333333336</v>
      </c>
      <c r="I51" s="10">
        <v>245.81182795698922</v>
      </c>
      <c r="J51" s="10">
        <v>326.14773059606307</v>
      </c>
      <c r="K51" s="10">
        <v>344.36882689553721</v>
      </c>
      <c r="L51" s="10">
        <v>375.59049832896477</v>
      </c>
      <c r="M51" s="10">
        <v>269.2693534675721</v>
      </c>
      <c r="N51" s="10">
        <v>234.77126807868515</v>
      </c>
      <c r="O51" s="8">
        <f t="shared" si="1"/>
        <v>223.69500813907686</v>
      </c>
      <c r="P51" s="57">
        <f>O51/O50</f>
        <v>1.075993198667883</v>
      </c>
      <c r="R51">
        <f t="shared" si="2"/>
        <v>0.57563946939163968</v>
      </c>
      <c r="S51">
        <f t="shared" si="0"/>
        <v>-0.40663009750346868</v>
      </c>
    </row>
    <row r="52" spans="1:19" ht="20.25" customHeight="1">
      <c r="A52" s="5">
        <v>47</v>
      </c>
      <c r="B52" s="5">
        <v>2023</v>
      </c>
      <c r="C52" s="10">
        <v>174.73765561284768</v>
      </c>
      <c r="D52" s="10">
        <v>127.35625488144804</v>
      </c>
      <c r="E52" s="10">
        <v>108.60906275246862</v>
      </c>
      <c r="F52" s="10">
        <v>105.01789714709945</v>
      </c>
      <c r="G52" s="10">
        <v>64.385454002305039</v>
      </c>
      <c r="H52" s="10">
        <v>133.54334259243078</v>
      </c>
      <c r="I52" s="10">
        <v>220.71516721864697</v>
      </c>
      <c r="J52" s="10">
        <v>263.93816451612906</v>
      </c>
      <c r="K52" s="10">
        <v>392.73611333333332</v>
      </c>
      <c r="L52" s="10">
        <v>340.18951290322582</v>
      </c>
      <c r="M52" s="10">
        <v>273.68054666666671</v>
      </c>
      <c r="N52" s="10">
        <v>195.77149354838716</v>
      </c>
      <c r="O52" s="8">
        <f t="shared" si="1"/>
        <v>200.0567220979157</v>
      </c>
      <c r="R52">
        <f t="shared" si="2"/>
        <v>0.90128340549747488</v>
      </c>
      <c r="S52">
        <f t="shared" si="0"/>
        <v>-8.0986161397633483E-2</v>
      </c>
    </row>
    <row r="53" spans="1:19" ht="20.25" customHeight="1">
      <c r="A53" s="5">
        <v>48</v>
      </c>
      <c r="B53" s="5">
        <v>2024</v>
      </c>
      <c r="C53" s="10">
        <v>113.54301290322583</v>
      </c>
      <c r="D53" s="10">
        <v>75.31177586206897</v>
      </c>
      <c r="E53" s="10">
        <v>59.8763516129032</v>
      </c>
      <c r="F53" s="10">
        <v>62.27</v>
      </c>
      <c r="G53" s="10">
        <v>78.919354838709694</v>
      </c>
      <c r="H53" s="10">
        <v>118.23888333333333</v>
      </c>
      <c r="I53" s="10">
        <v>206.36828387096773</v>
      </c>
      <c r="J53" s="10">
        <v>267.68945161290327</v>
      </c>
      <c r="K53" s="10">
        <v>326.01</v>
      </c>
      <c r="L53" s="10">
        <v>290.95294838709685</v>
      </c>
      <c r="M53" s="10">
        <v>227.44</v>
      </c>
      <c r="N53" s="10">
        <v>220.07123870967743</v>
      </c>
      <c r="O53" s="8">
        <f t="shared" si="1"/>
        <v>170.55760842757385</v>
      </c>
      <c r="P53" s="57">
        <f>O53/O55</f>
        <v>0.83419980899610136</v>
      </c>
      <c r="R53">
        <f t="shared" si="2"/>
        <v>0.69739125669825508</v>
      </c>
      <c r="S53">
        <f t="shared" si="0"/>
        <v>-0.28487831019685328</v>
      </c>
    </row>
    <row r="54" spans="1:19" ht="20.25" customHeight="1">
      <c r="A54" s="5">
        <v>49</v>
      </c>
      <c r="B54" s="5">
        <v>2025</v>
      </c>
      <c r="C54" s="10">
        <v>174.48520645161292</v>
      </c>
      <c r="D54" s="10">
        <v>101.86</v>
      </c>
      <c r="E54" s="10">
        <v>105.43413870967743</v>
      </c>
      <c r="F54" s="10">
        <v>95.85138666666667</v>
      </c>
      <c r="G54" s="10">
        <v>140.30000000000001</v>
      </c>
      <c r="H54" s="10">
        <v>223.40139666666664</v>
      </c>
      <c r="I54" s="10">
        <v>216.40994193548391</v>
      </c>
      <c r="J54" s="10">
        <v>236.06856129032252</v>
      </c>
      <c r="K54" s="10">
        <v>363.04999666666669</v>
      </c>
      <c r="L54" s="10">
        <v>389.42070000000001</v>
      </c>
      <c r="M54" s="101">
        <v>987.00277333333327</v>
      </c>
      <c r="N54" s="101">
        <v>436.70027419354835</v>
      </c>
      <c r="O54" s="8">
        <f>AVERAGE(C54:N54)</f>
        <v>289.16536465949821</v>
      </c>
      <c r="P54" s="57"/>
    </row>
    <row r="55" spans="1:19" ht="20.25" customHeight="1">
      <c r="A55" s="7"/>
      <c r="B55" s="7" t="s">
        <v>19</v>
      </c>
      <c r="C55" s="9">
        <f>AVERAGE(C6:C54)</f>
        <v>132.26811861776613</v>
      </c>
      <c r="D55" s="9">
        <f>AVERAGE(D6:D54)</f>
        <v>79.015061965432636</v>
      </c>
      <c r="E55" s="9">
        <f>AVERAGE(E6:E54)</f>
        <v>65.121248892064017</v>
      </c>
      <c r="F55" s="9">
        <f>AVERAGE(F6:F54)</f>
        <v>64.6850053490314</v>
      </c>
      <c r="G55" s="9">
        <f>AVERAGE(G6:G54)</f>
        <v>98.322638061856438</v>
      </c>
      <c r="H55" s="9">
        <f t="shared" ref="H55:N55" si="3">AVERAGE(H6:H53)</f>
        <v>149.01921961350033</v>
      </c>
      <c r="I55" s="9">
        <f t="shared" si="3"/>
        <v>193.54841296522295</v>
      </c>
      <c r="J55" s="9">
        <f t="shared" si="3"/>
        <v>287.23997428560295</v>
      </c>
      <c r="K55" s="9">
        <f t="shared" si="3"/>
        <v>341.59639031116109</v>
      </c>
      <c r="L55" s="9">
        <f t="shared" si="3"/>
        <v>404.60834136558151</v>
      </c>
      <c r="M55" s="9">
        <f t="shared" si="3"/>
        <v>359.99587279851386</v>
      </c>
      <c r="N55" s="9">
        <f t="shared" si="3"/>
        <v>278.05822183378046</v>
      </c>
      <c r="O55" s="8">
        <f t="shared" si="1"/>
        <v>204.45654217162613</v>
      </c>
    </row>
    <row r="56" spans="1:19" ht="20.25" customHeight="1">
      <c r="A56" s="11">
        <v>49</v>
      </c>
      <c r="B56" s="11"/>
      <c r="C56" s="12">
        <f>FORECAST($A$56,C6:C53,$A$6:$A$53)</f>
        <v>151.16944992045535</v>
      </c>
      <c r="D56" s="12">
        <f t="shared" ref="D56:N56" si="4">FORECAST($A$56,D6:D53,$A$6:$A$53)</f>
        <v>91.074495528749168</v>
      </c>
      <c r="E56" s="12">
        <f t="shared" si="4"/>
        <v>88.617985581042575</v>
      </c>
      <c r="F56" s="12">
        <f t="shared" si="4"/>
        <v>85.275574820559285</v>
      </c>
      <c r="G56" s="12">
        <f t="shared" si="4"/>
        <v>108.66216384209844</v>
      </c>
      <c r="H56" s="12">
        <f t="shared" si="4"/>
        <v>143.45862517726403</v>
      </c>
      <c r="I56" s="12">
        <f t="shared" si="4"/>
        <v>189.75802870482286</v>
      </c>
      <c r="J56" s="12">
        <f t="shared" si="4"/>
        <v>277.4184722560023</v>
      </c>
      <c r="K56" s="12">
        <f t="shared" si="4"/>
        <v>290.63327459767925</v>
      </c>
      <c r="L56" s="12">
        <f t="shared" si="4"/>
        <v>310.33598099523465</v>
      </c>
      <c r="M56" s="12">
        <f t="shared" si="4"/>
        <v>337.54759567257292</v>
      </c>
      <c r="N56" s="12">
        <f t="shared" si="4"/>
        <v>303.73214097375512</v>
      </c>
      <c r="O56" s="8">
        <f t="shared" si="1"/>
        <v>198.14031567251968</v>
      </c>
      <c r="P56" s="54" t="s">
        <v>20</v>
      </c>
      <c r="Q56">
        <v>2025</v>
      </c>
      <c r="R56">
        <f>MAX(R6:R53)</f>
        <v>0.98226956689510836</v>
      </c>
    </row>
    <row r="57" spans="1:19" ht="20.25" customHeight="1">
      <c r="A57" s="11"/>
      <c r="B57" s="93">
        <v>2026</v>
      </c>
      <c r="C57" s="94">
        <f>FORECAST($A$57,C6:C54,$A$6:$A$54)</f>
        <v>110.65607845678267</v>
      </c>
      <c r="D57" s="94">
        <f t="shared" ref="D57:N57" si="5">FORECAST($A$57,D6:D54,$A$6:$A$54)</f>
        <v>65.563531311713163</v>
      </c>
      <c r="E57" s="94">
        <f t="shared" si="5"/>
        <v>39.258434863597756</v>
      </c>
      <c r="F57" s="94">
        <f t="shared" si="5"/>
        <v>42.364170866298331</v>
      </c>
      <c r="G57" s="94">
        <f t="shared" si="5"/>
        <v>84.94271528284888</v>
      </c>
      <c r="H57" s="94">
        <f t="shared" si="5"/>
        <v>151.31684378486304</v>
      </c>
      <c r="I57" s="94">
        <f t="shared" si="5"/>
        <v>196.25096403253482</v>
      </c>
      <c r="J57" s="94">
        <f t="shared" si="5"/>
        <v>298.74922778319046</v>
      </c>
      <c r="K57" s="94">
        <f t="shared" si="5"/>
        <v>389.60372145039867</v>
      </c>
      <c r="L57" s="94">
        <f t="shared" si="5"/>
        <v>495.65275402144812</v>
      </c>
      <c r="M57" s="94">
        <f t="shared" si="5"/>
        <v>355.93577532605639</v>
      </c>
      <c r="N57" s="94">
        <f t="shared" si="5"/>
        <v>246.95703195014079</v>
      </c>
      <c r="O57" s="95">
        <f t="shared" si="1"/>
        <v>206.43760409415609</v>
      </c>
      <c r="P57" s="54" t="s">
        <v>20</v>
      </c>
      <c r="Q57">
        <v>2026</v>
      </c>
    </row>
    <row r="58" spans="1:19" ht="20.25" customHeight="1">
      <c r="A58" s="11"/>
      <c r="B58" s="11"/>
      <c r="C58" s="35">
        <f>1-C61/C56</f>
        <v>-0.14116972768488556</v>
      </c>
      <c r="D58" s="35">
        <f>1-D61/D56</f>
        <v>-0.22427249640711078</v>
      </c>
      <c r="E58" s="12"/>
      <c r="F58" s="12"/>
      <c r="G58" s="12"/>
      <c r="H58" s="12"/>
      <c r="I58" s="12"/>
      <c r="J58" s="12"/>
      <c r="K58" s="12"/>
      <c r="L58" s="12"/>
      <c r="M58" s="12"/>
      <c r="N58" s="12"/>
      <c r="O58" s="12"/>
      <c r="P58" t="s">
        <v>32</v>
      </c>
    </row>
    <row r="59" spans="1:19" ht="20.25" customHeight="1">
      <c r="A59" s="11"/>
      <c r="B59" s="11" t="s">
        <v>25</v>
      </c>
      <c r="C59" s="36">
        <f>(C61-C53)/C53</f>
        <v>0.51933611403312407</v>
      </c>
      <c r="D59" s="36">
        <f>(D61-D53)/D53</f>
        <v>0.48051216059768087</v>
      </c>
      <c r="E59" s="36"/>
      <c r="F59" s="36"/>
      <c r="G59" s="36"/>
      <c r="H59" s="42"/>
      <c r="I59" s="42"/>
      <c r="J59" s="42"/>
      <c r="K59" s="42"/>
      <c r="L59" s="42"/>
      <c r="M59" s="42"/>
      <c r="N59" s="42"/>
      <c r="O59" s="42"/>
    </row>
    <row r="60" spans="1:19" ht="20.25" customHeight="1">
      <c r="A60" s="11"/>
      <c r="B60" s="11" t="s">
        <v>23</v>
      </c>
      <c r="C60" s="35">
        <f>(C61-C55)/C55</f>
        <v>0.30424475529531425</v>
      </c>
      <c r="D60" s="35">
        <f>(D61-D55)/D55</f>
        <v>0.41112336340100342</v>
      </c>
      <c r="E60" s="35"/>
      <c r="F60" s="35"/>
      <c r="G60" s="35"/>
      <c r="H60" s="43"/>
      <c r="I60" s="43"/>
      <c r="J60" s="43"/>
      <c r="K60" s="43"/>
      <c r="L60" s="43"/>
      <c r="M60" s="43"/>
      <c r="N60" s="43"/>
      <c r="O60" s="43"/>
    </row>
    <row r="61" spans="1:19" ht="20.25" customHeight="1">
      <c r="A61" s="11" t="s">
        <v>33</v>
      </c>
      <c r="B61" s="38">
        <v>2026</v>
      </c>
      <c r="C61" s="39">
        <v>172.51</v>
      </c>
      <c r="D61" s="39">
        <v>111.5</v>
      </c>
      <c r="E61" s="39">
        <v>107.23</v>
      </c>
      <c r="F61" s="39">
        <v>88.75</v>
      </c>
      <c r="G61" s="39">
        <v>89.31</v>
      </c>
      <c r="H61" s="27">
        <v>117.74</v>
      </c>
      <c r="I61" s="81"/>
      <c r="J61" s="81"/>
      <c r="K61" s="81"/>
      <c r="L61" s="81"/>
      <c r="M61" s="98"/>
      <c r="N61" s="81"/>
      <c r="O61" s="27"/>
      <c r="P61" s="47">
        <f>AVERAGE(O38:O52)</f>
        <v>182.05257652995104</v>
      </c>
      <c r="Q61" s="48">
        <f>O61/P61</f>
        <v>0</v>
      </c>
    </row>
    <row r="62" spans="1:19" ht="20.25" customHeight="1">
      <c r="A62" s="11"/>
      <c r="B62" s="11"/>
      <c r="C62" s="26"/>
      <c r="D62" s="29">
        <f>D61/D52</f>
        <v>0.87549685018448342</v>
      </c>
      <c r="E62" s="29">
        <f>(E61-E52)/E52</f>
        <v>-1.2697492433128172E-2</v>
      </c>
      <c r="F62" s="29">
        <f>(F61-F52)/F52</f>
        <v>-0.15490595021449408</v>
      </c>
      <c r="G62" s="29">
        <f>(G61-G52)/G52</f>
        <v>0.38711454914649895</v>
      </c>
      <c r="H62" s="29">
        <f>(H61-H52)/H52</f>
        <v>-0.11833867780786335</v>
      </c>
      <c r="I62" s="26"/>
      <c r="J62" s="26"/>
      <c r="K62" s="26"/>
      <c r="L62" s="29"/>
      <c r="M62" s="29"/>
      <c r="N62" s="29"/>
      <c r="O62" s="26"/>
    </row>
    <row r="63" spans="1:19" ht="20.25" customHeight="1">
      <c r="A63" s="11"/>
      <c r="B63" s="11"/>
      <c r="C63" s="26"/>
      <c r="D63" s="29"/>
      <c r="E63" s="29">
        <f>(E61-E55)/E55</f>
        <v>0.64662075473597924</v>
      </c>
      <c r="F63" s="29">
        <f>(F61-F55)/F55</f>
        <v>0.37203358832726685</v>
      </c>
      <c r="G63" s="29">
        <f>(G61-G55)/G55</f>
        <v>-9.1663916260937103E-2</v>
      </c>
      <c r="H63" s="29">
        <f>(H61-H55)/H55</f>
        <v>-0.20990057319201399</v>
      </c>
      <c r="I63" s="26"/>
      <c r="J63" s="26"/>
      <c r="K63" s="26"/>
      <c r="L63" s="26"/>
      <c r="M63" s="26"/>
      <c r="N63" s="26"/>
      <c r="O63" s="26"/>
    </row>
    <row r="64" spans="1:19" ht="20.25" customHeight="1">
      <c r="A64" s="11"/>
      <c r="B64" s="11" t="s">
        <v>22</v>
      </c>
      <c r="C64" s="29">
        <f>C61/C54</f>
        <v>0.98867980563062419</v>
      </c>
      <c r="D64" s="29">
        <f t="shared" ref="D64:O64" si="6">D61/D54</f>
        <v>1.0946397015511486</v>
      </c>
      <c r="E64" s="29">
        <f t="shared" si="6"/>
        <v>1.0170330152292291</v>
      </c>
      <c r="F64" s="29">
        <f t="shared" si="6"/>
        <v>0.9259125307037811</v>
      </c>
      <c r="G64" s="29">
        <f t="shared" si="6"/>
        <v>0.63656450463292935</v>
      </c>
      <c r="H64" s="29">
        <f>H61/H54</f>
        <v>0.52703341051926278</v>
      </c>
      <c r="I64" s="29">
        <f t="shared" si="6"/>
        <v>0</v>
      </c>
      <c r="J64" s="29">
        <f t="shared" si="6"/>
        <v>0</v>
      </c>
      <c r="K64" s="29">
        <f t="shared" si="6"/>
        <v>0</v>
      </c>
      <c r="L64" s="29">
        <f t="shared" si="6"/>
        <v>0</v>
      </c>
      <c r="M64" s="29">
        <f t="shared" si="6"/>
        <v>0</v>
      </c>
      <c r="N64" s="29">
        <f t="shared" si="6"/>
        <v>0</v>
      </c>
      <c r="O64" s="29">
        <f t="shared" si="6"/>
        <v>0</v>
      </c>
      <c r="Q64" s="29">
        <f>SUM(C61:H61)/8</f>
        <v>85.88</v>
      </c>
    </row>
    <row r="65" spans="1:15" ht="20.25" customHeight="1">
      <c r="A65" s="11"/>
      <c r="B65" s="11" t="s">
        <v>23</v>
      </c>
      <c r="C65" s="29">
        <f>C61/C55</f>
        <v>1.3042447552953143</v>
      </c>
      <c r="D65" s="29">
        <f t="shared" ref="D65:O65" si="7">D61/D55</f>
        <v>1.4111233634010034</v>
      </c>
      <c r="E65" s="29">
        <f t="shared" si="7"/>
        <v>1.6466207547359792</v>
      </c>
      <c r="F65" s="29">
        <f t="shared" si="7"/>
        <v>1.3720335883272667</v>
      </c>
      <c r="G65" s="29">
        <f>G61/G55</f>
        <v>0.90833608373906294</v>
      </c>
      <c r="H65" s="29">
        <f t="shared" si="7"/>
        <v>0.79009942680798606</v>
      </c>
      <c r="I65" s="29">
        <f t="shared" si="7"/>
        <v>0</v>
      </c>
      <c r="J65" s="29">
        <f t="shared" si="7"/>
        <v>0</v>
      </c>
      <c r="K65" s="29">
        <f t="shared" si="7"/>
        <v>0</v>
      </c>
      <c r="L65" s="29">
        <f t="shared" si="7"/>
        <v>0</v>
      </c>
      <c r="M65" s="29">
        <f t="shared" si="7"/>
        <v>0</v>
      </c>
      <c r="N65" s="29">
        <f t="shared" si="7"/>
        <v>0</v>
      </c>
      <c r="O65" s="29">
        <f t="shared" si="7"/>
        <v>0</v>
      </c>
    </row>
    <row r="66" spans="1:15" ht="15.75" customHeight="1">
      <c r="A66" s="1"/>
      <c r="B66" s="2" t="s">
        <v>26</v>
      </c>
      <c r="C66" s="112" t="s">
        <v>27</v>
      </c>
      <c r="D66" s="113"/>
      <c r="E66" s="113"/>
      <c r="F66" s="113"/>
      <c r="G66" s="113"/>
      <c r="H66" s="113"/>
      <c r="I66" s="113"/>
      <c r="J66" s="113"/>
      <c r="K66" s="113"/>
      <c r="L66" s="113"/>
      <c r="M66" s="113"/>
      <c r="N66" s="113"/>
      <c r="O66" s="113"/>
    </row>
    <row r="67" spans="1:15" ht="15.75">
      <c r="A67" s="1"/>
      <c r="B67" s="1"/>
      <c r="C67" s="113"/>
      <c r="D67" s="113"/>
      <c r="E67" s="113"/>
      <c r="F67" s="113"/>
      <c r="G67" s="113"/>
      <c r="H67" s="113"/>
      <c r="I67" s="113"/>
      <c r="J67" s="113"/>
      <c r="K67" s="113"/>
      <c r="L67" s="113"/>
      <c r="M67" s="113"/>
      <c r="N67" s="113"/>
      <c r="O67" s="113"/>
    </row>
    <row r="68" spans="1:15" ht="15.75">
      <c r="A68" s="1"/>
      <c r="B68" s="1"/>
      <c r="C68" s="113"/>
      <c r="D68" s="113"/>
      <c r="E68" s="113"/>
      <c r="F68" s="113"/>
      <c r="G68" s="113"/>
      <c r="H68" s="113"/>
      <c r="I68" s="113"/>
      <c r="J68" s="113"/>
      <c r="K68" s="113"/>
      <c r="L68" s="113"/>
      <c r="M68" s="113"/>
      <c r="N68" s="113"/>
      <c r="O68" s="113"/>
    </row>
    <row r="69" spans="1:15" ht="15.75">
      <c r="A69" s="1"/>
      <c r="B69" s="1"/>
      <c r="C69" s="14">
        <v>113.5022580645161</v>
      </c>
      <c r="D69" s="14">
        <v>75.320689655172387</v>
      </c>
      <c r="E69" s="14">
        <v>59.838741935483853</v>
      </c>
      <c r="F69" s="14">
        <v>62.254333333333342</v>
      </c>
      <c r="G69" s="14">
        <v>78.828709677419354</v>
      </c>
      <c r="H69" s="14">
        <v>119.452</v>
      </c>
      <c r="I69" s="1"/>
      <c r="J69" s="104">
        <f>AVERAGEA(C61:H61)</f>
        <v>114.50666666666666</v>
      </c>
      <c r="K69" s="105"/>
      <c r="L69" s="106"/>
      <c r="M69" s="1"/>
      <c r="N69" s="1"/>
      <c r="O69" s="1"/>
    </row>
    <row r="70" spans="1:15" ht="15.75">
      <c r="J70" s="61">
        <f>AVERAGEA(C54:H54)</f>
        <v>140.22202141577063</v>
      </c>
      <c r="K70" s="103">
        <f>J69/J70</f>
        <v>0.81660972727774561</v>
      </c>
      <c r="L70" s="106"/>
    </row>
    <row r="71" spans="1:15">
      <c r="C71" s="44">
        <f>C61-C69</f>
        <v>59.007741935483892</v>
      </c>
      <c r="D71" s="44">
        <f t="shared" ref="D71:H71" si="8">D61-D69</f>
        <v>36.179310344827613</v>
      </c>
      <c r="E71" s="44">
        <f t="shared" si="8"/>
        <v>47.391258064516151</v>
      </c>
      <c r="F71" s="44">
        <f t="shared" si="8"/>
        <v>26.495666666666658</v>
      </c>
      <c r="G71" s="44">
        <f t="shared" si="8"/>
        <v>10.481290322580648</v>
      </c>
      <c r="H71" s="44">
        <f t="shared" si="8"/>
        <v>-1.7120000000000033</v>
      </c>
      <c r="J71" s="61">
        <f>AVERAGEA(C55:H55)</f>
        <v>98.071882083275156</v>
      </c>
      <c r="K71" s="48">
        <f>J69/J71</f>
        <v>1.167578965900097</v>
      </c>
    </row>
    <row r="73" spans="1:15">
      <c r="E73" t="s">
        <v>28</v>
      </c>
      <c r="G73" s="47">
        <f>AVERAGE(C61:G61)</f>
        <v>113.85999999999999</v>
      </c>
    </row>
    <row r="74" spans="1:15">
      <c r="D74">
        <v>2024</v>
      </c>
      <c r="E74" s="47">
        <f>AVERAGE(C53:E53)</f>
        <v>82.910380126066002</v>
      </c>
      <c r="G74" s="47">
        <f>AVERAGE(C55:G55)</f>
        <v>87.882414577230108</v>
      </c>
    </row>
    <row r="75" spans="1:15">
      <c r="D75">
        <v>2025</v>
      </c>
      <c r="E75" s="47">
        <f>AVERAGE(C61:E61)</f>
        <v>130.41333333333333</v>
      </c>
    </row>
    <row r="76" spans="1:15">
      <c r="D76" t="s">
        <v>29</v>
      </c>
      <c r="E76" s="44">
        <f>AVERAGE(C55:E55)</f>
        <v>92.134809825087586</v>
      </c>
    </row>
  </sheetData>
  <mergeCells count="4">
    <mergeCell ref="A1:O1"/>
    <mergeCell ref="A2:B2"/>
    <mergeCell ref="C2:O2"/>
    <mergeCell ref="C66:O6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D6634-A993-4947-9306-BB1687D164C4}">
  <dimension ref="A1:T72"/>
  <sheetViews>
    <sheetView zoomScale="85" zoomScaleNormal="85" workbookViewId="0">
      <pane xSplit="1" ySplit="5" topLeftCell="B52" activePane="bottomRight" state="frozen"/>
      <selection pane="bottomRight" activeCell="M71" sqref="M71:M72"/>
      <selection pane="bottomLeft" activeCell="A6" sqref="A6"/>
      <selection pane="topRight" activeCell="B1" sqref="B1"/>
    </sheetView>
  </sheetViews>
  <sheetFormatPr defaultRowHeight="15"/>
  <cols>
    <col min="1" max="1" width="8.42578125" customWidth="1"/>
    <col min="2" max="15" width="10.7109375" customWidth="1"/>
  </cols>
  <sheetData>
    <row r="1" spans="1:19" ht="15.75">
      <c r="A1" s="114" t="s">
        <v>34</v>
      </c>
      <c r="B1" s="114"/>
      <c r="C1" s="114"/>
      <c r="D1" s="114"/>
      <c r="E1" s="114"/>
      <c r="F1" s="114"/>
      <c r="G1" s="114"/>
      <c r="H1" s="114"/>
      <c r="I1" s="114"/>
      <c r="J1" s="114"/>
      <c r="K1" s="114"/>
      <c r="L1" s="114"/>
      <c r="M1" s="114"/>
      <c r="N1" s="114"/>
      <c r="O1" s="114"/>
    </row>
    <row r="2" spans="1:19" ht="15.75">
      <c r="A2" s="110" t="s">
        <v>1</v>
      </c>
      <c r="B2" s="110"/>
      <c r="C2" s="111" t="s">
        <v>35</v>
      </c>
      <c r="D2" s="111"/>
      <c r="E2" s="111"/>
      <c r="F2" s="111"/>
      <c r="G2" s="111"/>
      <c r="H2" s="111"/>
      <c r="I2" s="111"/>
      <c r="J2" s="111"/>
      <c r="K2" s="111"/>
      <c r="L2" s="111"/>
      <c r="M2" s="111"/>
      <c r="N2" s="111"/>
      <c r="O2" s="111"/>
    </row>
    <row r="3" spans="1:19" ht="15.75">
      <c r="A3" s="2"/>
      <c r="B3" s="3"/>
      <c r="C3" s="1"/>
      <c r="D3" s="1"/>
      <c r="E3" s="1"/>
      <c r="F3" s="1"/>
      <c r="G3" s="1"/>
      <c r="H3" s="1"/>
      <c r="I3" s="1"/>
      <c r="J3" s="1"/>
      <c r="K3" s="1"/>
      <c r="L3" s="1"/>
      <c r="M3" s="1"/>
      <c r="N3" s="1"/>
      <c r="O3" s="1"/>
    </row>
    <row r="4" spans="1:19" ht="18">
      <c r="A4" s="1"/>
      <c r="B4" s="1"/>
      <c r="C4" s="1"/>
      <c r="D4" s="1"/>
      <c r="E4" s="1"/>
      <c r="F4" s="1"/>
      <c r="G4" s="1"/>
      <c r="H4" s="1"/>
      <c r="I4" s="1"/>
      <c r="J4" s="1"/>
      <c r="K4" s="1"/>
      <c r="L4" s="1"/>
      <c r="M4" s="1"/>
      <c r="N4" s="6" t="s">
        <v>3</v>
      </c>
      <c r="O4" s="1" t="s">
        <v>4</v>
      </c>
    </row>
    <row r="5" spans="1:19" ht="22.5" customHeight="1">
      <c r="A5" s="4" t="s">
        <v>5</v>
      </c>
      <c r="B5" s="4" t="s">
        <v>6</v>
      </c>
      <c r="C5" s="4" t="s">
        <v>7</v>
      </c>
      <c r="D5" s="4" t="s">
        <v>8</v>
      </c>
      <c r="E5" s="4" t="s">
        <v>9</v>
      </c>
      <c r="F5" s="4" t="s">
        <v>10</v>
      </c>
      <c r="G5" s="4" t="s">
        <v>11</v>
      </c>
      <c r="H5" s="4" t="s">
        <v>12</v>
      </c>
      <c r="I5" s="4" t="s">
        <v>13</v>
      </c>
      <c r="J5" s="4" t="s">
        <v>14</v>
      </c>
      <c r="K5" s="4" t="s">
        <v>15</v>
      </c>
      <c r="L5" s="4" t="s">
        <v>16</v>
      </c>
      <c r="M5" s="4" t="s">
        <v>17</v>
      </c>
      <c r="N5" s="4" t="s">
        <v>18</v>
      </c>
      <c r="O5" s="4" t="s">
        <v>19</v>
      </c>
    </row>
    <row r="6" spans="1:19" ht="22.5" customHeight="1">
      <c r="A6" s="5">
        <v>1</v>
      </c>
      <c r="B6" s="5">
        <v>1977</v>
      </c>
      <c r="C6" s="8">
        <v>89.9</v>
      </c>
      <c r="D6" s="8">
        <v>62.7</v>
      </c>
      <c r="E6" s="8">
        <v>43.9</v>
      </c>
      <c r="F6" s="8">
        <v>31</v>
      </c>
      <c r="G6" s="8">
        <v>35.4</v>
      </c>
      <c r="H6" s="8">
        <v>42.2</v>
      </c>
      <c r="I6" s="8">
        <v>122</v>
      </c>
      <c r="J6" s="8">
        <v>122</v>
      </c>
      <c r="K6" s="8">
        <v>422</v>
      </c>
      <c r="L6" s="8">
        <v>361</v>
      </c>
      <c r="M6" s="8">
        <v>209</v>
      </c>
      <c r="N6" s="8">
        <v>104</v>
      </c>
      <c r="O6" s="8">
        <f t="shared" ref="O6:O57" si="0">AVERAGE(C6:N6)</f>
        <v>137.09166666666667</v>
      </c>
      <c r="R6">
        <f>CORREL($C$61:$M$61,C6:M6)</f>
        <v>0.88717085166627785</v>
      </c>
      <c r="S6">
        <f t="shared" ref="S6:S53" si="1">R6-$R$56</f>
        <v>-8.1063927122899559E-2</v>
      </c>
    </row>
    <row r="7" spans="1:19" ht="22.5" customHeight="1">
      <c r="A7" s="5">
        <v>2</v>
      </c>
      <c r="B7" s="5">
        <v>1978</v>
      </c>
      <c r="C7" s="8">
        <v>64.599999999999994</v>
      </c>
      <c r="D7" s="8">
        <v>44.2</v>
      </c>
      <c r="E7" s="8">
        <v>38.700000000000003</v>
      </c>
      <c r="F7" s="8">
        <v>36.1</v>
      </c>
      <c r="G7" s="8">
        <v>85.9</v>
      </c>
      <c r="H7" s="8">
        <v>96.4</v>
      </c>
      <c r="I7" s="8">
        <v>208</v>
      </c>
      <c r="J7" s="8">
        <v>320</v>
      </c>
      <c r="K7" s="8">
        <v>491</v>
      </c>
      <c r="L7" s="8">
        <v>587</v>
      </c>
      <c r="M7" s="8">
        <v>421</v>
      </c>
      <c r="N7" s="8">
        <v>191</v>
      </c>
      <c r="O7" s="8">
        <f t="shared" si="0"/>
        <v>215.32500000000002</v>
      </c>
      <c r="R7">
        <f t="shared" ref="R7:R53" si="2">CORREL($C$61:$M$61,C7:M7)</f>
        <v>0.25457897057130841</v>
      </c>
      <c r="S7">
        <f t="shared" si="1"/>
        <v>-0.713655808217869</v>
      </c>
    </row>
    <row r="8" spans="1:19" ht="22.5" customHeight="1">
      <c r="A8" s="5">
        <v>3</v>
      </c>
      <c r="B8" s="5">
        <v>1979</v>
      </c>
      <c r="C8" s="8">
        <v>107</v>
      </c>
      <c r="D8" s="8">
        <v>63.9</v>
      </c>
      <c r="E8" s="8">
        <v>44.1</v>
      </c>
      <c r="F8" s="8">
        <v>44.8</v>
      </c>
      <c r="G8" s="8">
        <v>76</v>
      </c>
      <c r="H8" s="8">
        <v>183</v>
      </c>
      <c r="I8" s="8">
        <v>337</v>
      </c>
      <c r="J8" s="8">
        <v>409</v>
      </c>
      <c r="K8" s="8">
        <v>252</v>
      </c>
      <c r="L8" s="8">
        <v>454</v>
      </c>
      <c r="M8" s="8">
        <v>349</v>
      </c>
      <c r="N8" s="8">
        <v>263</v>
      </c>
      <c r="O8" s="8">
        <f t="shared" si="0"/>
        <v>215.23333333333335</v>
      </c>
      <c r="R8">
        <f t="shared" si="2"/>
        <v>0.53004611162943005</v>
      </c>
      <c r="S8">
        <f t="shared" si="1"/>
        <v>-0.43818866715974736</v>
      </c>
    </row>
    <row r="9" spans="1:19" ht="22.5" customHeight="1">
      <c r="A9" s="5">
        <v>4</v>
      </c>
      <c r="B9" s="5">
        <v>1980</v>
      </c>
      <c r="C9" s="8">
        <v>124</v>
      </c>
      <c r="D9" s="8">
        <v>88</v>
      </c>
      <c r="E9" s="8">
        <v>63.1</v>
      </c>
      <c r="F9" s="8">
        <v>59.6</v>
      </c>
      <c r="G9" s="8">
        <v>110</v>
      </c>
      <c r="H9" s="8">
        <v>187</v>
      </c>
      <c r="I9" s="8">
        <v>201</v>
      </c>
      <c r="J9" s="8">
        <v>239</v>
      </c>
      <c r="K9" s="8">
        <v>580</v>
      </c>
      <c r="L9" s="8">
        <v>562</v>
      </c>
      <c r="M9" s="8">
        <v>607</v>
      </c>
      <c r="N9" s="8">
        <v>269</v>
      </c>
      <c r="O9" s="8">
        <f t="shared" si="0"/>
        <v>257.47499999999997</v>
      </c>
      <c r="R9">
        <f t="shared" si="2"/>
        <v>0.51113013473608804</v>
      </c>
      <c r="S9">
        <f t="shared" si="1"/>
        <v>-0.45710464405308937</v>
      </c>
    </row>
    <row r="10" spans="1:19" ht="22.5" customHeight="1">
      <c r="A10" s="23">
        <v>5</v>
      </c>
      <c r="B10" s="23">
        <v>1981</v>
      </c>
      <c r="C10" s="24">
        <v>139</v>
      </c>
      <c r="D10" s="24">
        <v>99.7</v>
      </c>
      <c r="E10" s="24">
        <v>64.900000000000006</v>
      </c>
      <c r="F10" s="24">
        <v>62.6</v>
      </c>
      <c r="G10" s="24">
        <v>105</v>
      </c>
      <c r="H10" s="24">
        <v>258</v>
      </c>
      <c r="I10" s="24">
        <v>207</v>
      </c>
      <c r="J10" s="24">
        <v>521</v>
      </c>
      <c r="K10" s="24">
        <v>325</v>
      </c>
      <c r="L10" s="24">
        <v>781</v>
      </c>
      <c r="M10" s="24">
        <v>882</v>
      </c>
      <c r="N10" s="24">
        <v>493</v>
      </c>
      <c r="O10" s="24">
        <f t="shared" si="0"/>
        <v>328.18333333333334</v>
      </c>
      <c r="P10" s="25"/>
      <c r="Q10" s="25"/>
      <c r="R10">
        <f t="shared" si="2"/>
        <v>0.4875767434934894</v>
      </c>
      <c r="S10" s="25">
        <f t="shared" si="1"/>
        <v>-0.48065803529568801</v>
      </c>
    </row>
    <row r="11" spans="1:19" ht="22.5" customHeight="1">
      <c r="A11" s="5">
        <v>6</v>
      </c>
      <c r="B11" s="5">
        <v>1982</v>
      </c>
      <c r="C11" s="8">
        <v>207</v>
      </c>
      <c r="D11" s="8">
        <v>118</v>
      </c>
      <c r="E11" s="8">
        <v>84.7</v>
      </c>
      <c r="F11" s="8">
        <v>87.5</v>
      </c>
      <c r="G11" s="8">
        <v>90.6</v>
      </c>
      <c r="H11" s="8">
        <v>215</v>
      </c>
      <c r="I11" s="8">
        <v>236</v>
      </c>
      <c r="J11" s="8">
        <v>198</v>
      </c>
      <c r="K11" s="8">
        <v>573</v>
      </c>
      <c r="L11" s="8">
        <v>320</v>
      </c>
      <c r="M11" s="8">
        <v>191</v>
      </c>
      <c r="N11" s="8">
        <v>114</v>
      </c>
      <c r="O11" s="8">
        <f t="shared" si="0"/>
        <v>202.9</v>
      </c>
      <c r="R11">
        <f t="shared" si="2"/>
        <v>0.84422977714320657</v>
      </c>
      <c r="S11">
        <f t="shared" si="1"/>
        <v>-0.12400500164597084</v>
      </c>
    </row>
    <row r="12" spans="1:19" ht="22.5" customHeight="1">
      <c r="A12" s="5">
        <v>7</v>
      </c>
      <c r="B12" s="5">
        <v>1983</v>
      </c>
      <c r="C12" s="8">
        <v>83</v>
      </c>
      <c r="D12" s="8">
        <v>60.5</v>
      </c>
      <c r="E12" s="8">
        <v>45.4</v>
      </c>
      <c r="F12" s="8">
        <v>35.700000000000003</v>
      </c>
      <c r="G12" s="8">
        <v>56.9</v>
      </c>
      <c r="H12" s="8">
        <v>93.1</v>
      </c>
      <c r="I12" s="8">
        <v>103</v>
      </c>
      <c r="J12" s="8">
        <v>233</v>
      </c>
      <c r="K12" s="8">
        <v>239</v>
      </c>
      <c r="L12" s="8">
        <v>610</v>
      </c>
      <c r="M12" s="8">
        <v>394</v>
      </c>
      <c r="N12" s="8">
        <v>170</v>
      </c>
      <c r="O12" s="8">
        <f t="shared" si="0"/>
        <v>176.96666666666667</v>
      </c>
      <c r="R12">
        <f t="shared" si="2"/>
        <v>0.77192357186621674</v>
      </c>
      <c r="S12">
        <f t="shared" si="1"/>
        <v>-0.19631120692296067</v>
      </c>
    </row>
    <row r="13" spans="1:19" ht="22.5" customHeight="1">
      <c r="A13" s="5">
        <v>8</v>
      </c>
      <c r="B13" s="5">
        <v>1984</v>
      </c>
      <c r="C13" s="8">
        <v>113</v>
      </c>
      <c r="D13" s="8">
        <v>81.400000000000006</v>
      </c>
      <c r="E13" s="8">
        <v>54.3</v>
      </c>
      <c r="F13" s="8">
        <v>62.5</v>
      </c>
      <c r="G13" s="8">
        <v>120</v>
      </c>
      <c r="H13" s="8">
        <v>194</v>
      </c>
      <c r="I13" s="8">
        <v>216</v>
      </c>
      <c r="J13" s="8">
        <v>474</v>
      </c>
      <c r="K13" s="8">
        <v>506</v>
      </c>
      <c r="L13" s="8">
        <v>602</v>
      </c>
      <c r="M13" s="8">
        <v>315</v>
      </c>
      <c r="N13" s="8">
        <v>255</v>
      </c>
      <c r="O13" s="8">
        <f t="shared" si="0"/>
        <v>249.43333333333331</v>
      </c>
      <c r="R13">
        <f t="shared" si="2"/>
        <v>0.37543801227635115</v>
      </c>
      <c r="S13">
        <f t="shared" si="1"/>
        <v>-0.5927967665128262</v>
      </c>
    </row>
    <row r="14" spans="1:19" ht="22.5" customHeight="1">
      <c r="A14" s="5">
        <v>9</v>
      </c>
      <c r="B14" s="5">
        <v>1985</v>
      </c>
      <c r="C14" s="8">
        <v>126</v>
      </c>
      <c r="D14" s="8">
        <v>85.4</v>
      </c>
      <c r="E14" s="8">
        <v>65.7</v>
      </c>
      <c r="F14" s="8">
        <v>89.7</v>
      </c>
      <c r="G14" s="8">
        <v>133</v>
      </c>
      <c r="H14" s="8">
        <v>154</v>
      </c>
      <c r="I14" s="8">
        <v>216</v>
      </c>
      <c r="J14" s="8">
        <v>232</v>
      </c>
      <c r="K14" s="8">
        <v>337</v>
      </c>
      <c r="L14" s="8">
        <v>358</v>
      </c>
      <c r="M14" s="8">
        <v>204</v>
      </c>
      <c r="N14" s="8">
        <v>264</v>
      </c>
      <c r="O14" s="8">
        <f t="shared" si="0"/>
        <v>188.73333333333335</v>
      </c>
      <c r="R14">
        <f t="shared" si="2"/>
        <v>0.3584863007870131</v>
      </c>
      <c r="S14">
        <f t="shared" si="1"/>
        <v>-0.60974847800216425</v>
      </c>
    </row>
    <row r="15" spans="1:19" ht="22.5" customHeight="1">
      <c r="A15" s="5">
        <v>10</v>
      </c>
      <c r="B15" s="5">
        <v>1986</v>
      </c>
      <c r="C15" s="8">
        <v>114</v>
      </c>
      <c r="D15" s="8">
        <v>79</v>
      </c>
      <c r="E15" s="8">
        <v>61.5</v>
      </c>
      <c r="F15" s="8">
        <v>51</v>
      </c>
      <c r="G15" s="8">
        <v>71.3</v>
      </c>
      <c r="H15" s="8">
        <v>89</v>
      </c>
      <c r="I15" s="8">
        <v>158</v>
      </c>
      <c r="J15" s="8">
        <v>435</v>
      </c>
      <c r="K15" s="8">
        <v>369</v>
      </c>
      <c r="L15" s="8">
        <v>386</v>
      </c>
      <c r="M15" s="8">
        <v>231</v>
      </c>
      <c r="N15" s="8">
        <v>349</v>
      </c>
      <c r="O15" s="8">
        <f t="shared" si="0"/>
        <v>199.48333333333335</v>
      </c>
      <c r="R15">
        <f t="shared" si="2"/>
        <v>0.93635173481023626</v>
      </c>
      <c r="S15">
        <f t="shared" si="1"/>
        <v>-3.188304397894115E-2</v>
      </c>
    </row>
    <row r="16" spans="1:19" ht="22.5" customHeight="1">
      <c r="A16" s="5">
        <v>11</v>
      </c>
      <c r="B16" s="5">
        <v>1987</v>
      </c>
      <c r="C16" s="8">
        <v>137</v>
      </c>
      <c r="D16" s="8">
        <v>85.7</v>
      </c>
      <c r="E16" s="8">
        <v>67.400000000000006</v>
      </c>
      <c r="F16" s="8">
        <v>50.7</v>
      </c>
      <c r="G16" s="8">
        <v>61.6</v>
      </c>
      <c r="H16" s="8">
        <v>142</v>
      </c>
      <c r="I16" s="8">
        <v>270</v>
      </c>
      <c r="J16" s="8">
        <v>238</v>
      </c>
      <c r="K16" s="8">
        <v>449</v>
      </c>
      <c r="L16" s="8">
        <v>305</v>
      </c>
      <c r="M16" s="8">
        <v>248</v>
      </c>
      <c r="N16" s="8">
        <v>221</v>
      </c>
      <c r="O16" s="8">
        <f t="shared" si="0"/>
        <v>189.61666666666667</v>
      </c>
      <c r="R16">
        <f t="shared" si="2"/>
        <v>0.87669875701128763</v>
      </c>
      <c r="S16">
        <f t="shared" si="1"/>
        <v>-9.1536021777889776E-2</v>
      </c>
    </row>
    <row r="17" spans="1:19" ht="22.5" customHeight="1">
      <c r="A17" s="5">
        <v>12</v>
      </c>
      <c r="B17" s="5">
        <v>1988</v>
      </c>
      <c r="C17" s="8">
        <v>117</v>
      </c>
      <c r="D17" s="8">
        <v>78.2</v>
      </c>
      <c r="E17" s="8">
        <v>54.3</v>
      </c>
      <c r="F17" s="8">
        <v>54.7</v>
      </c>
      <c r="G17" s="8">
        <v>108</v>
      </c>
      <c r="H17" s="8">
        <v>154</v>
      </c>
      <c r="I17" s="8">
        <v>178</v>
      </c>
      <c r="J17" s="8">
        <v>214</v>
      </c>
      <c r="K17" s="8">
        <v>323</v>
      </c>
      <c r="L17" s="8">
        <v>643</v>
      </c>
      <c r="M17" s="8">
        <v>577</v>
      </c>
      <c r="N17" s="8">
        <v>245</v>
      </c>
      <c r="O17" s="8">
        <f t="shared" si="0"/>
        <v>228.85</v>
      </c>
      <c r="R17">
        <f t="shared" si="2"/>
        <v>0.53192397112443246</v>
      </c>
      <c r="S17">
        <f t="shared" si="1"/>
        <v>-0.43631080766474495</v>
      </c>
    </row>
    <row r="18" spans="1:19" ht="22.5" customHeight="1">
      <c r="A18" s="5">
        <v>13</v>
      </c>
      <c r="B18" s="5">
        <v>1989</v>
      </c>
      <c r="C18" s="8">
        <v>141</v>
      </c>
      <c r="D18" s="8">
        <v>84.6</v>
      </c>
      <c r="E18" s="8">
        <v>76.599999999999994</v>
      </c>
      <c r="F18" s="8">
        <v>80.8</v>
      </c>
      <c r="G18" s="8">
        <v>172</v>
      </c>
      <c r="H18" s="8">
        <v>263</v>
      </c>
      <c r="I18" s="8">
        <v>309</v>
      </c>
      <c r="J18" s="8">
        <v>425</v>
      </c>
      <c r="K18" s="8">
        <v>541</v>
      </c>
      <c r="L18" s="8">
        <v>485</v>
      </c>
      <c r="M18" s="8">
        <v>258</v>
      </c>
      <c r="N18" s="8">
        <v>149</v>
      </c>
      <c r="O18" s="8">
        <f t="shared" si="0"/>
        <v>248.75</v>
      </c>
      <c r="R18">
        <f t="shared" si="2"/>
        <v>0.29446869336494036</v>
      </c>
      <c r="S18">
        <f t="shared" si="1"/>
        <v>-0.6737660854242371</v>
      </c>
    </row>
    <row r="19" spans="1:19" ht="22.5" customHeight="1">
      <c r="A19" s="5">
        <v>14</v>
      </c>
      <c r="B19" s="5">
        <v>1990</v>
      </c>
      <c r="C19" s="8">
        <v>84.4</v>
      </c>
      <c r="D19" s="8">
        <v>54.7</v>
      </c>
      <c r="E19" s="8">
        <v>42</v>
      </c>
      <c r="F19" s="8">
        <v>48.2</v>
      </c>
      <c r="G19" s="8">
        <v>68.7</v>
      </c>
      <c r="H19" s="8">
        <v>386</v>
      </c>
      <c r="I19" s="8">
        <v>301</v>
      </c>
      <c r="J19" s="8">
        <v>456</v>
      </c>
      <c r="K19" s="8">
        <v>637</v>
      </c>
      <c r="L19" s="8">
        <v>452</v>
      </c>
      <c r="M19" s="8">
        <v>597</v>
      </c>
      <c r="N19" s="8">
        <v>304</v>
      </c>
      <c r="O19" s="8">
        <f t="shared" si="0"/>
        <v>285.91666666666669</v>
      </c>
      <c r="R19">
        <f t="shared" si="2"/>
        <v>0.28496890750451398</v>
      </c>
      <c r="S19">
        <f t="shared" si="1"/>
        <v>-0.68326587128466343</v>
      </c>
    </row>
    <row r="20" spans="1:19" ht="22.5" customHeight="1">
      <c r="A20" s="5">
        <v>15</v>
      </c>
      <c r="B20" s="5">
        <v>1991</v>
      </c>
      <c r="C20" s="8">
        <v>145</v>
      </c>
      <c r="D20" s="8">
        <v>92.3</v>
      </c>
      <c r="E20" s="8">
        <v>74.7</v>
      </c>
      <c r="F20" s="8">
        <v>65.2</v>
      </c>
      <c r="G20" s="8">
        <v>83.2</v>
      </c>
      <c r="H20" s="8">
        <v>106</v>
      </c>
      <c r="I20" s="8">
        <v>149</v>
      </c>
      <c r="J20" s="8">
        <v>220</v>
      </c>
      <c r="K20" s="8">
        <v>347</v>
      </c>
      <c r="L20" s="8">
        <v>401</v>
      </c>
      <c r="M20" s="8">
        <v>181</v>
      </c>
      <c r="N20" s="8">
        <v>108</v>
      </c>
      <c r="O20" s="8">
        <f t="shared" si="0"/>
        <v>164.36666666666667</v>
      </c>
      <c r="R20">
        <f t="shared" si="2"/>
        <v>0.95828365156796746</v>
      </c>
      <c r="S20">
        <f t="shared" si="1"/>
        <v>-9.9511272212099433E-3</v>
      </c>
    </row>
    <row r="21" spans="1:19" ht="22.5" customHeight="1">
      <c r="A21" s="5">
        <v>16</v>
      </c>
      <c r="B21" s="5">
        <v>1992</v>
      </c>
      <c r="C21" s="8">
        <v>72.400000000000006</v>
      </c>
      <c r="D21" s="8">
        <v>47.1</v>
      </c>
      <c r="E21" s="8">
        <v>37.299999999999997</v>
      </c>
      <c r="F21" s="8">
        <v>50.9</v>
      </c>
      <c r="G21" s="8">
        <v>92.7</v>
      </c>
      <c r="H21" s="8">
        <v>253</v>
      </c>
      <c r="I21" s="8">
        <v>283</v>
      </c>
      <c r="J21" s="8">
        <v>496</v>
      </c>
      <c r="K21" s="8">
        <v>506</v>
      </c>
      <c r="L21" s="8">
        <v>577</v>
      </c>
      <c r="M21" s="8">
        <v>564</v>
      </c>
      <c r="N21" s="8">
        <v>211</v>
      </c>
      <c r="O21" s="8">
        <f t="shared" si="0"/>
        <v>265.86666666666667</v>
      </c>
      <c r="R21">
        <f t="shared" si="2"/>
        <v>0.22769510809284579</v>
      </c>
      <c r="S21">
        <f t="shared" si="1"/>
        <v>-0.74053967069633164</v>
      </c>
    </row>
    <row r="22" spans="1:19" ht="22.5" customHeight="1">
      <c r="A22" s="5">
        <v>17</v>
      </c>
      <c r="B22" s="5">
        <v>1993</v>
      </c>
      <c r="C22" s="8">
        <v>117</v>
      </c>
      <c r="D22" s="8">
        <v>77.400000000000006</v>
      </c>
      <c r="E22" s="8">
        <v>65.900000000000006</v>
      </c>
      <c r="F22" s="8">
        <v>56.9</v>
      </c>
      <c r="G22" s="8">
        <v>97.9</v>
      </c>
      <c r="H22" s="8">
        <v>136</v>
      </c>
      <c r="I22" s="8">
        <v>221</v>
      </c>
      <c r="J22" s="8">
        <v>249</v>
      </c>
      <c r="K22" s="8">
        <v>314</v>
      </c>
      <c r="L22" s="8">
        <v>911</v>
      </c>
      <c r="M22" s="8">
        <v>305</v>
      </c>
      <c r="N22" s="8">
        <v>675</v>
      </c>
      <c r="O22" s="8">
        <f t="shared" si="0"/>
        <v>268.84166666666664</v>
      </c>
      <c r="R22">
        <f t="shared" si="2"/>
        <v>0.65305543380334652</v>
      </c>
      <c r="S22">
        <f t="shared" si="1"/>
        <v>-0.31517934498583089</v>
      </c>
    </row>
    <row r="23" spans="1:19" ht="22.5" customHeight="1">
      <c r="A23" s="5">
        <v>18</v>
      </c>
      <c r="B23" s="5">
        <v>1994</v>
      </c>
      <c r="C23" s="8">
        <v>242</v>
      </c>
      <c r="D23" s="8">
        <v>123</v>
      </c>
      <c r="E23" s="8">
        <v>80.099999999999994</v>
      </c>
      <c r="F23" s="8">
        <v>85.9</v>
      </c>
      <c r="G23" s="8">
        <v>129</v>
      </c>
      <c r="H23" s="8">
        <v>192</v>
      </c>
      <c r="I23" s="8">
        <v>320</v>
      </c>
      <c r="J23" s="8">
        <v>282</v>
      </c>
      <c r="K23" s="8">
        <v>406</v>
      </c>
      <c r="L23" s="8">
        <v>380</v>
      </c>
      <c r="M23" s="8">
        <v>254</v>
      </c>
      <c r="N23" s="8">
        <v>165</v>
      </c>
      <c r="O23" s="8">
        <f t="shared" si="0"/>
        <v>221.58333333333334</v>
      </c>
      <c r="R23">
        <f t="shared" si="2"/>
        <v>0.88200331235584495</v>
      </c>
      <c r="S23">
        <f t="shared" si="1"/>
        <v>-8.623146643333246E-2</v>
      </c>
    </row>
    <row r="24" spans="1:19" ht="22.5" customHeight="1">
      <c r="A24" s="5">
        <v>19</v>
      </c>
      <c r="B24" s="5">
        <v>1995</v>
      </c>
      <c r="C24" s="8">
        <v>95</v>
      </c>
      <c r="D24" s="8">
        <v>63.9</v>
      </c>
      <c r="E24" s="8">
        <v>47.5</v>
      </c>
      <c r="F24" s="8">
        <v>42.5</v>
      </c>
      <c r="G24" s="8">
        <v>63.1</v>
      </c>
      <c r="H24" s="8">
        <v>93.6</v>
      </c>
      <c r="I24" s="8">
        <v>191</v>
      </c>
      <c r="J24" s="8">
        <v>196</v>
      </c>
      <c r="K24" s="8">
        <v>390</v>
      </c>
      <c r="L24" s="8">
        <v>518</v>
      </c>
      <c r="M24" s="8">
        <v>313</v>
      </c>
      <c r="N24" s="8">
        <v>244</v>
      </c>
      <c r="O24" s="8">
        <f t="shared" si="0"/>
        <v>188.13333333333333</v>
      </c>
      <c r="R24">
        <f t="shared" si="2"/>
        <v>0.83152049811700213</v>
      </c>
      <c r="S24">
        <f t="shared" si="1"/>
        <v>-0.13671428067217528</v>
      </c>
    </row>
    <row r="25" spans="1:19" ht="22.5" customHeight="1">
      <c r="A25" s="5">
        <v>20</v>
      </c>
      <c r="B25" s="5">
        <v>1996</v>
      </c>
      <c r="C25" s="8">
        <v>192</v>
      </c>
      <c r="D25" s="8">
        <v>89.4</v>
      </c>
      <c r="E25" s="8">
        <v>53.3</v>
      </c>
      <c r="F25" s="8">
        <v>62.9</v>
      </c>
      <c r="G25" s="8">
        <v>211</v>
      </c>
      <c r="H25" s="8">
        <v>294</v>
      </c>
      <c r="I25" s="8">
        <v>340</v>
      </c>
      <c r="J25" s="8">
        <v>376</v>
      </c>
      <c r="K25" s="8">
        <v>534</v>
      </c>
      <c r="L25" s="8">
        <v>745</v>
      </c>
      <c r="M25" s="8">
        <v>869</v>
      </c>
      <c r="N25" s="8">
        <v>704</v>
      </c>
      <c r="O25" s="8">
        <f t="shared" si="0"/>
        <v>372.55</v>
      </c>
      <c r="R25">
        <f t="shared" si="2"/>
        <v>0.41334584736822461</v>
      </c>
      <c r="S25">
        <f t="shared" si="1"/>
        <v>-0.55488893142095286</v>
      </c>
    </row>
    <row r="26" spans="1:19" ht="22.5" customHeight="1">
      <c r="A26" s="5">
        <v>21</v>
      </c>
      <c r="B26" s="5">
        <v>1997</v>
      </c>
      <c r="C26" s="8">
        <v>338</v>
      </c>
      <c r="D26" s="8">
        <v>146</v>
      </c>
      <c r="E26" s="8">
        <v>76.900000000000006</v>
      </c>
      <c r="F26" s="8">
        <v>120</v>
      </c>
      <c r="G26" s="8">
        <v>157</v>
      </c>
      <c r="H26" s="8">
        <v>153</v>
      </c>
      <c r="I26" s="8">
        <v>333</v>
      </c>
      <c r="J26" s="8">
        <v>481</v>
      </c>
      <c r="K26" s="8">
        <v>514</v>
      </c>
      <c r="L26" s="8">
        <v>464</v>
      </c>
      <c r="M26" s="8">
        <v>325</v>
      </c>
      <c r="N26" s="8">
        <v>135</v>
      </c>
      <c r="O26" s="8">
        <f t="shared" si="0"/>
        <v>270.24166666666667</v>
      </c>
      <c r="R26">
        <f t="shared" si="2"/>
        <v>0.82457641542817384</v>
      </c>
      <c r="S26">
        <f t="shared" si="1"/>
        <v>-0.14365836336100357</v>
      </c>
    </row>
    <row r="27" spans="1:19" ht="22.5" customHeight="1">
      <c r="A27" s="5">
        <v>22</v>
      </c>
      <c r="B27" s="5">
        <v>1998</v>
      </c>
      <c r="C27" s="8">
        <v>73.3</v>
      </c>
      <c r="D27" s="8">
        <v>48.8</v>
      </c>
      <c r="E27" s="8">
        <v>30.1</v>
      </c>
      <c r="F27" s="8">
        <v>26.8</v>
      </c>
      <c r="G27" s="8">
        <v>69</v>
      </c>
      <c r="H27" s="8">
        <v>78.7</v>
      </c>
      <c r="I27" s="8">
        <v>128</v>
      </c>
      <c r="J27" s="8">
        <v>208</v>
      </c>
      <c r="K27" s="8">
        <v>228</v>
      </c>
      <c r="L27" s="8">
        <v>474</v>
      </c>
      <c r="M27" s="8">
        <v>1055</v>
      </c>
      <c r="N27" s="8">
        <v>934</v>
      </c>
      <c r="O27" s="8">
        <f t="shared" si="0"/>
        <v>279.47499999999997</v>
      </c>
      <c r="R27">
        <f t="shared" si="2"/>
        <v>0.57721942333666054</v>
      </c>
      <c r="S27">
        <f t="shared" si="1"/>
        <v>-0.39101535545251687</v>
      </c>
    </row>
    <row r="28" spans="1:19" ht="22.5" customHeight="1">
      <c r="A28" s="5">
        <v>23</v>
      </c>
      <c r="B28" s="5">
        <v>1999</v>
      </c>
      <c r="C28" s="8">
        <v>351</v>
      </c>
      <c r="D28" s="8">
        <v>164</v>
      </c>
      <c r="E28" s="8">
        <v>106</v>
      </c>
      <c r="F28" s="8">
        <v>135</v>
      </c>
      <c r="G28" s="8">
        <v>395</v>
      </c>
      <c r="H28" s="8">
        <v>496</v>
      </c>
      <c r="I28" s="8">
        <v>329</v>
      </c>
      <c r="J28" s="8">
        <v>497</v>
      </c>
      <c r="K28" s="8">
        <v>438</v>
      </c>
      <c r="L28" s="8">
        <v>485</v>
      </c>
      <c r="M28" s="8">
        <v>692</v>
      </c>
      <c r="N28" s="8">
        <v>706</v>
      </c>
      <c r="O28" s="8">
        <f t="shared" si="0"/>
        <v>399.5</v>
      </c>
      <c r="R28">
        <f t="shared" si="2"/>
        <v>0.39519146143414191</v>
      </c>
      <c r="S28">
        <f t="shared" si="1"/>
        <v>-0.57304331735503555</v>
      </c>
    </row>
    <row r="29" spans="1:19" ht="22.5" customHeight="1">
      <c r="A29" s="5">
        <v>24</v>
      </c>
      <c r="B29" s="5">
        <v>2000</v>
      </c>
      <c r="C29" s="8">
        <v>244</v>
      </c>
      <c r="D29" s="8">
        <v>140</v>
      </c>
      <c r="E29" s="8">
        <v>97.2</v>
      </c>
      <c r="F29" s="8">
        <v>126</v>
      </c>
      <c r="G29" s="8">
        <v>180</v>
      </c>
      <c r="H29" s="8">
        <v>289</v>
      </c>
      <c r="I29" s="8">
        <v>381</v>
      </c>
      <c r="J29" s="8">
        <v>381</v>
      </c>
      <c r="K29" s="8">
        <v>612</v>
      </c>
      <c r="L29" s="8">
        <v>1346</v>
      </c>
      <c r="M29" s="8">
        <v>578</v>
      </c>
      <c r="N29" s="8">
        <v>598</v>
      </c>
      <c r="O29" s="8">
        <f t="shared" si="0"/>
        <v>414.34999999999997</v>
      </c>
      <c r="R29">
        <f t="shared" si="2"/>
        <v>0.63636577576302211</v>
      </c>
      <c r="S29">
        <f t="shared" si="1"/>
        <v>-0.3318690030261553</v>
      </c>
    </row>
    <row r="30" spans="1:19" ht="22.5" customHeight="1">
      <c r="A30" s="5">
        <v>25</v>
      </c>
      <c r="B30" s="5">
        <v>2001</v>
      </c>
      <c r="C30" s="8">
        <v>236</v>
      </c>
      <c r="D30" s="8">
        <v>123</v>
      </c>
      <c r="E30" s="8">
        <v>108</v>
      </c>
      <c r="F30" s="8">
        <v>99.2</v>
      </c>
      <c r="G30" s="8">
        <v>119</v>
      </c>
      <c r="H30" s="8">
        <v>199</v>
      </c>
      <c r="I30" s="8">
        <v>217</v>
      </c>
      <c r="J30" s="8">
        <v>620</v>
      </c>
      <c r="K30" s="8">
        <v>491</v>
      </c>
      <c r="L30" s="8">
        <v>381</v>
      </c>
      <c r="M30" s="8">
        <v>324</v>
      </c>
      <c r="N30" s="8">
        <v>198</v>
      </c>
      <c r="O30" s="8">
        <f t="shared" si="0"/>
        <v>259.59999999999997</v>
      </c>
      <c r="R30">
        <f t="shared" si="2"/>
        <v>0.92609804854088995</v>
      </c>
      <c r="S30">
        <f t="shared" si="1"/>
        <v>-4.2136730248287457E-2</v>
      </c>
    </row>
    <row r="31" spans="1:19" ht="22.5" customHeight="1">
      <c r="A31" s="5">
        <v>26</v>
      </c>
      <c r="B31" s="5">
        <v>2002</v>
      </c>
      <c r="C31" s="8">
        <v>116</v>
      </c>
      <c r="D31" s="8">
        <v>74.3</v>
      </c>
      <c r="E31" s="8">
        <v>53.5</v>
      </c>
      <c r="F31" s="8">
        <v>52.8</v>
      </c>
      <c r="G31" s="8">
        <v>59.4</v>
      </c>
      <c r="H31" s="8">
        <v>149</v>
      </c>
      <c r="I31" s="8">
        <v>131</v>
      </c>
      <c r="J31" s="8">
        <v>540</v>
      </c>
      <c r="K31" s="8">
        <v>562</v>
      </c>
      <c r="L31" s="8">
        <v>340</v>
      </c>
      <c r="M31" s="8">
        <v>377</v>
      </c>
      <c r="N31" s="8">
        <v>202</v>
      </c>
      <c r="O31" s="8">
        <f t="shared" si="0"/>
        <v>221.41666666666666</v>
      </c>
      <c r="R31">
        <f t="shared" si="2"/>
        <v>0.72355832259104702</v>
      </c>
      <c r="S31">
        <f t="shared" si="1"/>
        <v>-0.24467645619813039</v>
      </c>
    </row>
    <row r="32" spans="1:19" ht="22.5" customHeight="1">
      <c r="A32" s="5">
        <v>27</v>
      </c>
      <c r="B32" s="5">
        <v>2003</v>
      </c>
      <c r="C32" s="8">
        <v>112</v>
      </c>
      <c r="D32" s="8">
        <v>75.3</v>
      </c>
      <c r="E32" s="8">
        <v>53.8</v>
      </c>
      <c r="F32" s="8">
        <v>53.1</v>
      </c>
      <c r="G32" s="8">
        <v>105</v>
      </c>
      <c r="H32" s="8">
        <v>165</v>
      </c>
      <c r="I32" s="8">
        <v>189</v>
      </c>
      <c r="J32" s="8">
        <v>284</v>
      </c>
      <c r="K32" s="8">
        <v>350</v>
      </c>
      <c r="L32" s="8">
        <v>391</v>
      </c>
      <c r="M32" s="8">
        <v>364</v>
      </c>
      <c r="N32" s="8">
        <v>188</v>
      </c>
      <c r="O32" s="8">
        <f t="shared" si="0"/>
        <v>194.18333333333331</v>
      </c>
      <c r="R32">
        <f t="shared" si="2"/>
        <v>0.49088982990041635</v>
      </c>
      <c r="S32">
        <f t="shared" si="1"/>
        <v>-0.47734494888876106</v>
      </c>
    </row>
    <row r="33" spans="1:19" ht="22.5" customHeight="1">
      <c r="A33" s="5">
        <v>28</v>
      </c>
      <c r="B33" s="5">
        <v>2004</v>
      </c>
      <c r="C33" s="8">
        <v>112</v>
      </c>
      <c r="D33" s="8">
        <v>69.099999999999994</v>
      </c>
      <c r="E33" s="8">
        <v>50.2</v>
      </c>
      <c r="F33" s="8">
        <v>60.3</v>
      </c>
      <c r="G33" s="8">
        <v>75.7</v>
      </c>
      <c r="H33" s="8">
        <v>151</v>
      </c>
      <c r="I33" s="8">
        <v>165</v>
      </c>
      <c r="J33" s="8">
        <v>383</v>
      </c>
      <c r="K33" s="8">
        <v>241</v>
      </c>
      <c r="L33" s="8">
        <v>155</v>
      </c>
      <c r="M33" s="8">
        <v>105</v>
      </c>
      <c r="N33" s="8">
        <v>99.3</v>
      </c>
      <c r="O33" s="8">
        <f t="shared" si="0"/>
        <v>138.88333333333333</v>
      </c>
      <c r="R33">
        <f t="shared" si="2"/>
        <v>0.61713653591410211</v>
      </c>
      <c r="S33">
        <f t="shared" si="1"/>
        <v>-0.35109824287507529</v>
      </c>
    </row>
    <row r="34" spans="1:19" ht="22.5" customHeight="1">
      <c r="A34" s="5">
        <v>29</v>
      </c>
      <c r="B34" s="5">
        <v>2005</v>
      </c>
      <c r="C34" s="8">
        <v>47.1</v>
      </c>
      <c r="D34" s="8">
        <v>30.7</v>
      </c>
      <c r="E34" s="8">
        <v>21.7</v>
      </c>
      <c r="F34" s="8">
        <v>25</v>
      </c>
      <c r="G34" s="8">
        <v>69.8</v>
      </c>
      <c r="H34" s="8">
        <v>82.2</v>
      </c>
      <c r="I34" s="8">
        <v>137</v>
      </c>
      <c r="J34" s="8">
        <v>262</v>
      </c>
      <c r="K34" s="8">
        <v>650</v>
      </c>
      <c r="L34" s="8">
        <v>359</v>
      </c>
      <c r="M34" s="8">
        <v>287</v>
      </c>
      <c r="N34" s="8">
        <v>716</v>
      </c>
      <c r="O34" s="8">
        <f t="shared" si="0"/>
        <v>223.95833333333334</v>
      </c>
      <c r="R34">
        <f t="shared" si="2"/>
        <v>0.20620975165919678</v>
      </c>
      <c r="S34">
        <f t="shared" si="1"/>
        <v>-0.76202502712998066</v>
      </c>
    </row>
    <row r="35" spans="1:19" ht="22.5" customHeight="1">
      <c r="A35" s="5">
        <v>30</v>
      </c>
      <c r="B35" s="5">
        <v>2006</v>
      </c>
      <c r="C35" s="8">
        <v>257</v>
      </c>
      <c r="D35" s="8">
        <v>102</v>
      </c>
      <c r="E35" s="8">
        <v>70.900000000000006</v>
      </c>
      <c r="F35" s="8">
        <v>70.599999999999994</v>
      </c>
      <c r="G35" s="8">
        <v>107</v>
      </c>
      <c r="H35" s="8">
        <v>138</v>
      </c>
      <c r="I35" s="8">
        <v>287</v>
      </c>
      <c r="J35" s="8">
        <v>459</v>
      </c>
      <c r="K35" s="8">
        <v>481</v>
      </c>
      <c r="L35" s="8">
        <v>595</v>
      </c>
      <c r="M35" s="8">
        <v>220</v>
      </c>
      <c r="N35" s="8">
        <v>161</v>
      </c>
      <c r="O35" s="8">
        <f t="shared" si="0"/>
        <v>245.70833333333334</v>
      </c>
      <c r="R35">
        <f t="shared" si="2"/>
        <v>0.91776632402748881</v>
      </c>
      <c r="S35">
        <f t="shared" si="1"/>
        <v>-5.0468454761688597E-2</v>
      </c>
    </row>
    <row r="36" spans="1:19" ht="22.5" customHeight="1">
      <c r="A36" s="5">
        <v>31</v>
      </c>
      <c r="B36" s="5">
        <v>2007</v>
      </c>
      <c r="C36" s="8">
        <v>114</v>
      </c>
      <c r="D36" s="8">
        <v>52.4</v>
      </c>
      <c r="E36" s="8">
        <v>43.2</v>
      </c>
      <c r="F36" s="8">
        <v>44.3</v>
      </c>
      <c r="G36" s="8">
        <v>132</v>
      </c>
      <c r="H36" s="8">
        <v>195</v>
      </c>
      <c r="I36" s="8">
        <v>293</v>
      </c>
      <c r="J36" s="8">
        <v>976</v>
      </c>
      <c r="K36" s="8">
        <v>696</v>
      </c>
      <c r="L36" s="8">
        <v>779</v>
      </c>
      <c r="M36" s="8">
        <v>806</v>
      </c>
      <c r="N36" s="8">
        <v>364</v>
      </c>
      <c r="O36" s="8">
        <f t="shared" si="0"/>
        <v>374.57499999999999</v>
      </c>
      <c r="R36">
        <f t="shared" si="2"/>
        <v>0.36680466370910841</v>
      </c>
      <c r="S36">
        <f t="shared" si="1"/>
        <v>-0.60143011508006894</v>
      </c>
    </row>
    <row r="37" spans="1:19" ht="22.5" customHeight="1">
      <c r="A37" s="5">
        <v>32</v>
      </c>
      <c r="B37" s="5">
        <v>2008</v>
      </c>
      <c r="C37" s="8">
        <v>178</v>
      </c>
      <c r="D37" s="8">
        <v>106</v>
      </c>
      <c r="E37" s="8">
        <v>77.099999999999994</v>
      </c>
      <c r="F37" s="8">
        <v>71.8</v>
      </c>
      <c r="G37" s="8">
        <v>192</v>
      </c>
      <c r="H37" s="8">
        <v>191</v>
      </c>
      <c r="I37" s="8">
        <v>203</v>
      </c>
      <c r="J37" s="8">
        <v>331</v>
      </c>
      <c r="K37" s="8">
        <v>393</v>
      </c>
      <c r="L37" s="8">
        <v>451</v>
      </c>
      <c r="M37" s="8">
        <v>575</v>
      </c>
      <c r="N37" s="8">
        <v>472</v>
      </c>
      <c r="O37" s="8">
        <f t="shared" si="0"/>
        <v>270.07499999999999</v>
      </c>
      <c r="R37">
        <f t="shared" si="2"/>
        <v>0.45855901284343903</v>
      </c>
      <c r="S37">
        <f t="shared" si="1"/>
        <v>-0.50967576594573838</v>
      </c>
    </row>
    <row r="38" spans="1:19" ht="22.5" customHeight="1">
      <c r="A38" s="5">
        <v>33</v>
      </c>
      <c r="B38" s="5">
        <v>2009</v>
      </c>
      <c r="C38" s="8">
        <v>178</v>
      </c>
      <c r="D38" s="8">
        <v>106</v>
      </c>
      <c r="E38" s="8">
        <v>77.099999999999994</v>
      </c>
      <c r="F38" s="8">
        <v>71.8</v>
      </c>
      <c r="G38" s="8">
        <v>192</v>
      </c>
      <c r="H38" s="8">
        <v>191</v>
      </c>
      <c r="I38" s="8">
        <v>203</v>
      </c>
      <c r="J38" s="8">
        <v>331</v>
      </c>
      <c r="K38" s="8">
        <v>393</v>
      </c>
      <c r="L38" s="8">
        <v>451</v>
      </c>
      <c r="M38" s="8">
        <v>575</v>
      </c>
      <c r="N38" s="8">
        <v>472</v>
      </c>
      <c r="O38" s="8">
        <f t="shared" si="0"/>
        <v>270.07499999999999</v>
      </c>
      <c r="R38">
        <f t="shared" si="2"/>
        <v>0.45855901284343903</v>
      </c>
      <c r="S38">
        <f t="shared" si="1"/>
        <v>-0.50967576594573838</v>
      </c>
    </row>
    <row r="39" spans="1:19" ht="22.5" customHeight="1">
      <c r="A39" s="5">
        <v>34</v>
      </c>
      <c r="B39" s="5">
        <v>2010</v>
      </c>
      <c r="C39" s="8">
        <v>186.82832941490199</v>
      </c>
      <c r="D39" s="8">
        <v>132.92324973935325</v>
      </c>
      <c r="E39" s="8">
        <v>116.19927940447094</v>
      </c>
      <c r="F39" s="8">
        <v>113.9024257466653</v>
      </c>
      <c r="G39" s="8">
        <v>116.24218736999369</v>
      </c>
      <c r="H39" s="8">
        <v>151.91614236406573</v>
      </c>
      <c r="I39" s="8">
        <v>207.04867280903875</v>
      </c>
      <c r="J39" s="8">
        <v>233.52890534569349</v>
      </c>
      <c r="K39" s="8">
        <v>228.08133646849885</v>
      </c>
      <c r="L39" s="8">
        <v>327.35821671380756</v>
      </c>
      <c r="M39" s="8">
        <v>1158.6970135619952</v>
      </c>
      <c r="N39" s="8">
        <v>538.01015489989481</v>
      </c>
      <c r="O39" s="8">
        <f t="shared" si="0"/>
        <v>292.56132615319831</v>
      </c>
      <c r="R39">
        <f t="shared" si="2"/>
        <v>0.96823477878917741</v>
      </c>
      <c r="S39">
        <f t="shared" si="1"/>
        <v>0</v>
      </c>
    </row>
    <row r="40" spans="1:19" ht="22.5" customHeight="1">
      <c r="A40" s="5">
        <v>35</v>
      </c>
      <c r="B40" s="5">
        <v>2011</v>
      </c>
      <c r="C40" s="8">
        <v>138.14023297491042</v>
      </c>
      <c r="D40" s="8">
        <v>89.401537698412724</v>
      </c>
      <c r="E40" s="8">
        <v>119.4897700119474</v>
      </c>
      <c r="F40" s="8">
        <v>127.35358796296298</v>
      </c>
      <c r="G40" s="8">
        <v>113.12716547192353</v>
      </c>
      <c r="H40" s="8">
        <v>299.59664351851848</v>
      </c>
      <c r="I40" s="8">
        <v>287.3074970131421</v>
      </c>
      <c r="J40" s="8">
        <v>329.96972072879339</v>
      </c>
      <c r="K40" s="8">
        <v>378.19711293105644</v>
      </c>
      <c r="L40" s="8">
        <v>683.250186678614</v>
      </c>
      <c r="M40" s="8">
        <v>383.07581018518516</v>
      </c>
      <c r="N40" s="8">
        <v>278.49357078853046</v>
      </c>
      <c r="O40" s="8">
        <f t="shared" si="0"/>
        <v>268.9502363303331</v>
      </c>
      <c r="R40">
        <f t="shared" si="2"/>
        <v>0.28902304195280587</v>
      </c>
      <c r="S40">
        <f t="shared" si="1"/>
        <v>-0.67921173683637148</v>
      </c>
    </row>
    <row r="41" spans="1:19" ht="22.5" customHeight="1">
      <c r="A41" s="5">
        <v>36</v>
      </c>
      <c r="B41" s="5">
        <v>2012</v>
      </c>
      <c r="C41" s="8">
        <v>149.43791069295096</v>
      </c>
      <c r="D41" s="8">
        <v>119.94284802043421</v>
      </c>
      <c r="E41" s="8">
        <v>131.32459677419348</v>
      </c>
      <c r="F41" s="8">
        <v>178.58927469135804</v>
      </c>
      <c r="G41" s="8">
        <v>222.09613948626043</v>
      </c>
      <c r="H41" s="8">
        <v>159.66053950617285</v>
      </c>
      <c r="I41" s="8">
        <v>198.99249551971323</v>
      </c>
      <c r="J41" s="8">
        <v>186.69590053763443</v>
      </c>
      <c r="K41" s="8">
        <v>341.46844135802468</v>
      </c>
      <c r="L41" s="8">
        <v>503.63967293906796</v>
      </c>
      <c r="M41" s="8">
        <v>251.19641203703711</v>
      </c>
      <c r="N41" s="8">
        <v>120.805667562724</v>
      </c>
      <c r="O41" s="8">
        <f t="shared" si="0"/>
        <v>213.6541582604643</v>
      </c>
      <c r="R41">
        <f t="shared" si="2"/>
        <v>-0.4275031270498143</v>
      </c>
      <c r="S41">
        <f t="shared" si="1"/>
        <v>-1.3957379058389918</v>
      </c>
    </row>
    <row r="42" spans="1:19" ht="22.5" customHeight="1">
      <c r="A42" s="5">
        <v>37</v>
      </c>
      <c r="B42" s="5">
        <v>2013</v>
      </c>
      <c r="C42" s="8">
        <v>87.389783452807649</v>
      </c>
      <c r="D42" s="8">
        <v>56.888558201058196</v>
      </c>
      <c r="E42" s="8">
        <v>82.588298984479849</v>
      </c>
      <c r="F42" s="8">
        <v>73.786033950617281</v>
      </c>
      <c r="G42" s="8">
        <v>109.71456839904421</v>
      </c>
      <c r="H42" s="8">
        <v>242.06338734567896</v>
      </c>
      <c r="I42" s="8">
        <v>292.04648297491036</v>
      </c>
      <c r="J42" s="8">
        <v>270.01631571087222</v>
      </c>
      <c r="K42" s="8">
        <v>354.64918981481486</v>
      </c>
      <c r="L42" s="8">
        <v>491.37925627240139</v>
      </c>
      <c r="M42" s="8">
        <v>293.03302469135798</v>
      </c>
      <c r="N42" s="8">
        <v>175.15001493428915</v>
      </c>
      <c r="O42" s="8">
        <f t="shared" si="0"/>
        <v>210.7254095610277</v>
      </c>
      <c r="R42">
        <f t="shared" si="2"/>
        <v>0.19427645857761394</v>
      </c>
      <c r="S42">
        <f t="shared" si="1"/>
        <v>-0.77395832021156341</v>
      </c>
    </row>
    <row r="43" spans="1:19" ht="22.5" customHeight="1">
      <c r="A43" s="5">
        <v>38</v>
      </c>
      <c r="B43" s="5">
        <v>2014</v>
      </c>
      <c r="C43" s="8">
        <v>112.5440934886502</v>
      </c>
      <c r="D43" s="8">
        <v>99.778604497354465</v>
      </c>
      <c r="E43" s="8">
        <v>107.20041816009561</v>
      </c>
      <c r="F43" s="8">
        <v>83.122756172839487</v>
      </c>
      <c r="G43" s="8">
        <v>116.29652031063323</v>
      </c>
      <c r="H43" s="8">
        <v>190.05412808641978</v>
      </c>
      <c r="I43" s="8">
        <v>406.1687948028673</v>
      </c>
      <c r="J43" s="8">
        <v>409.37731481481484</v>
      </c>
      <c r="K43" s="8">
        <v>340.22951388888879</v>
      </c>
      <c r="L43" s="8">
        <v>303.00462962962968</v>
      </c>
      <c r="M43" s="8">
        <v>143.02083333333334</v>
      </c>
      <c r="N43" s="8">
        <v>120.2848342293907</v>
      </c>
      <c r="O43" s="8">
        <f t="shared" si="0"/>
        <v>202.59020345124313</v>
      </c>
      <c r="R43">
        <f t="shared" si="2"/>
        <v>0.3360290535667001</v>
      </c>
      <c r="S43">
        <f t="shared" si="1"/>
        <v>-0.63220572522247731</v>
      </c>
    </row>
    <row r="44" spans="1:19" ht="22.5" customHeight="1">
      <c r="A44" s="5">
        <v>39</v>
      </c>
      <c r="B44" s="5">
        <v>2015</v>
      </c>
      <c r="C44" s="8">
        <v>103.0683870967742</v>
      </c>
      <c r="D44" s="8">
        <v>67.287500000000009</v>
      </c>
      <c r="E44" s="8">
        <v>73.099354838709672</v>
      </c>
      <c r="F44" s="8">
        <v>76.455333333333343</v>
      </c>
      <c r="G44" s="8">
        <v>77.667096774193539</v>
      </c>
      <c r="H44" s="8">
        <v>125.206</v>
      </c>
      <c r="I44" s="8">
        <v>207.57806451612907</v>
      </c>
      <c r="J44" s="8">
        <v>233.69064516129032</v>
      </c>
      <c r="K44" s="8">
        <v>208.90113734567902</v>
      </c>
      <c r="L44" s="8">
        <v>173.16860812425324</v>
      </c>
      <c r="M44" s="8">
        <v>115.11288580246914</v>
      </c>
      <c r="N44" s="8">
        <v>97.740852747909216</v>
      </c>
      <c r="O44" s="8">
        <f t="shared" si="0"/>
        <v>129.91465547839508</v>
      </c>
      <c r="R44">
        <f t="shared" si="2"/>
        <v>0.60784546638502801</v>
      </c>
      <c r="S44">
        <f t="shared" si="1"/>
        <v>-0.3603893124041494</v>
      </c>
    </row>
    <row r="45" spans="1:19" ht="22.5" customHeight="1">
      <c r="A45" s="5">
        <v>40</v>
      </c>
      <c r="B45" s="5">
        <v>2016</v>
      </c>
      <c r="C45" s="8">
        <v>89.380077658303463</v>
      </c>
      <c r="D45" s="8">
        <v>56.301843869731805</v>
      </c>
      <c r="E45" s="8">
        <v>58.579711768219845</v>
      </c>
      <c r="F45" s="8">
        <v>60.297955246913581</v>
      </c>
      <c r="G45" s="8">
        <v>74.282482078853064</v>
      </c>
      <c r="H45" s="8">
        <v>132.46199845679013</v>
      </c>
      <c r="I45" s="8">
        <v>182.57258064516125</v>
      </c>
      <c r="J45" s="8">
        <v>204.89195041816009</v>
      </c>
      <c r="K45" s="8">
        <v>193.66222993827162</v>
      </c>
      <c r="L45" s="8">
        <v>327.74540770609315</v>
      </c>
      <c r="M45" s="8">
        <v>586.31107253086418</v>
      </c>
      <c r="N45" s="8">
        <v>502.26662335722835</v>
      </c>
      <c r="O45" s="8">
        <f t="shared" si="0"/>
        <v>205.72949447288252</v>
      </c>
      <c r="R45">
        <f t="shared" si="2"/>
        <v>0.48403121366441232</v>
      </c>
      <c r="S45">
        <f t="shared" si="1"/>
        <v>-0.48420356512476509</v>
      </c>
    </row>
    <row r="46" spans="1:19" ht="22.5" customHeight="1">
      <c r="A46" s="5">
        <v>41</v>
      </c>
      <c r="B46" s="5">
        <v>2017</v>
      </c>
      <c r="C46" s="8">
        <v>265.17040023894862</v>
      </c>
      <c r="D46" s="8">
        <v>167.97763723544972</v>
      </c>
      <c r="E46" s="8">
        <v>105.82414874551971</v>
      </c>
      <c r="F46" s="8">
        <v>137.94645061728394</v>
      </c>
      <c r="G46" s="8">
        <v>274.45105286738357</v>
      </c>
      <c r="H46" s="8">
        <v>377.66242283950606</v>
      </c>
      <c r="I46" s="8">
        <v>324.05070191158893</v>
      </c>
      <c r="J46" s="8">
        <v>347.81798835125448</v>
      </c>
      <c r="K46" s="8">
        <v>359.16566358024681</v>
      </c>
      <c r="L46" s="8">
        <v>415.63728345280759</v>
      </c>
      <c r="M46" s="8">
        <v>473.73452932098769</v>
      </c>
      <c r="N46" s="8">
        <v>476.69317502986866</v>
      </c>
      <c r="O46" s="8">
        <f t="shared" si="0"/>
        <v>310.51095451590385</v>
      </c>
      <c r="R46">
        <f t="shared" si="2"/>
        <v>0.41961005796601569</v>
      </c>
      <c r="S46">
        <f t="shared" si="1"/>
        <v>-0.54862472082316172</v>
      </c>
    </row>
    <row r="47" spans="1:19" ht="22.5" customHeight="1">
      <c r="A47" s="5">
        <v>42</v>
      </c>
      <c r="B47" s="5">
        <v>2018</v>
      </c>
      <c r="C47" s="8">
        <v>224.46273894862611</v>
      </c>
      <c r="D47" s="8">
        <v>125.70593584656085</v>
      </c>
      <c r="E47" s="8">
        <v>118.27512694145756</v>
      </c>
      <c r="F47" s="8">
        <v>111.48668981481482</v>
      </c>
      <c r="G47" s="8">
        <v>119.52535095579449</v>
      </c>
      <c r="H47" s="8">
        <v>150.98576388888887</v>
      </c>
      <c r="I47" s="8">
        <v>230.32676224611711</v>
      </c>
      <c r="J47" s="8">
        <v>282.68649193548384</v>
      </c>
      <c r="K47" s="8">
        <v>414.17152777777773</v>
      </c>
      <c r="L47" s="8">
        <v>266.45848267622455</v>
      </c>
      <c r="M47" s="8">
        <v>167.84344135802459</v>
      </c>
      <c r="N47" s="8">
        <v>203.04579779359258</v>
      </c>
      <c r="O47" s="8">
        <f t="shared" si="0"/>
        <v>201.24784251528024</v>
      </c>
      <c r="R47">
        <f t="shared" si="2"/>
        <v>0.95470313520552208</v>
      </c>
      <c r="S47">
        <f t="shared" si="1"/>
        <v>-1.3531643583655328E-2</v>
      </c>
    </row>
    <row r="48" spans="1:19" ht="20.25" customHeight="1">
      <c r="A48" s="5">
        <v>43</v>
      </c>
      <c r="B48" s="5">
        <v>2019</v>
      </c>
      <c r="C48" s="10">
        <v>222.57467144563915</v>
      </c>
      <c r="D48" s="10">
        <v>98.437766203703674</v>
      </c>
      <c r="E48" s="10">
        <v>107.94455645161288</v>
      </c>
      <c r="F48" s="10">
        <v>90.475964506172858</v>
      </c>
      <c r="G48" s="10">
        <v>102.79357078853043</v>
      </c>
      <c r="H48" s="10">
        <v>126.9946759259259</v>
      </c>
      <c r="I48" s="10">
        <v>112.86932497013142</v>
      </c>
      <c r="J48" s="10">
        <v>306.62201314217441</v>
      </c>
      <c r="K48" s="10">
        <v>380.10065586419762</v>
      </c>
      <c r="L48" s="10">
        <v>268.33363201911584</v>
      </c>
      <c r="M48" s="10">
        <v>433.133699691358</v>
      </c>
      <c r="N48" s="10">
        <v>157.37190113500591</v>
      </c>
      <c r="O48" s="8">
        <f t="shared" si="0"/>
        <v>200.63770267863069</v>
      </c>
      <c r="R48">
        <f t="shared" si="2"/>
        <v>0.93495855305169284</v>
      </c>
      <c r="S48">
        <f t="shared" si="1"/>
        <v>-3.3276225737484566E-2</v>
      </c>
    </row>
    <row r="49" spans="1:20" ht="20.25" customHeight="1">
      <c r="A49" s="5">
        <v>44</v>
      </c>
      <c r="B49" s="5">
        <v>2020</v>
      </c>
      <c r="C49" s="10">
        <v>102.58008345280763</v>
      </c>
      <c r="D49" s="10">
        <v>79.424073084291194</v>
      </c>
      <c r="E49" s="10">
        <v>84.231182795698928</v>
      </c>
      <c r="F49" s="10">
        <v>61.948611111111106</v>
      </c>
      <c r="G49" s="10">
        <v>58.83064516129032</v>
      </c>
      <c r="H49" s="10">
        <v>162.83055555555561</v>
      </c>
      <c r="I49" s="10">
        <v>216.80645161290323</v>
      </c>
      <c r="J49" s="10">
        <v>389.22446236559142</v>
      </c>
      <c r="K49" s="10">
        <v>366.97638777777775</v>
      </c>
      <c r="L49" s="10">
        <v>441.59005376344089</v>
      </c>
      <c r="M49" s="10">
        <v>459.68472222222226</v>
      </c>
      <c r="N49" s="10">
        <v>548.84274193548401</v>
      </c>
      <c r="O49" s="8">
        <f t="shared" si="0"/>
        <v>247.74749756984784</v>
      </c>
      <c r="R49">
        <f t="shared" si="2"/>
        <v>0.57273857138809348</v>
      </c>
      <c r="S49">
        <f t="shared" si="1"/>
        <v>-0.39549620740108393</v>
      </c>
    </row>
    <row r="50" spans="1:20" ht="20.25" customHeight="1">
      <c r="A50" s="5">
        <v>45</v>
      </c>
      <c r="B50" s="5">
        <v>2021</v>
      </c>
      <c r="C50" s="10">
        <v>205.91397849462371</v>
      </c>
      <c r="D50" s="10">
        <v>128.62499999999997</v>
      </c>
      <c r="E50" s="10">
        <v>113.03494623655912</v>
      </c>
      <c r="F50" s="10">
        <v>95.518055555555563</v>
      </c>
      <c r="G50" s="10">
        <v>102.0739247311828</v>
      </c>
      <c r="H50" s="10">
        <v>103.44444444444444</v>
      </c>
      <c r="I50" s="10">
        <v>157.18408602150538</v>
      </c>
      <c r="J50" s="10">
        <v>173.92204301075265</v>
      </c>
      <c r="K50" s="10">
        <v>375.68194444444447</v>
      </c>
      <c r="L50" s="10">
        <v>520.12940860215065</v>
      </c>
      <c r="M50" s="10">
        <v>619.40972222222217</v>
      </c>
      <c r="N50" s="10">
        <v>493.87096774193554</v>
      </c>
      <c r="O50" s="8">
        <f t="shared" si="0"/>
        <v>257.40071012544803</v>
      </c>
      <c r="R50">
        <f t="shared" si="2"/>
        <v>0.88458460509613668</v>
      </c>
      <c r="S50">
        <f t="shared" si="1"/>
        <v>-8.365017369304073E-2</v>
      </c>
      <c r="T50">
        <v>2021</v>
      </c>
    </row>
    <row r="51" spans="1:20" ht="20.25" customHeight="1">
      <c r="A51" s="5">
        <v>46</v>
      </c>
      <c r="B51" s="5">
        <v>2022</v>
      </c>
      <c r="C51" s="10">
        <v>222.7177419354839</v>
      </c>
      <c r="D51" s="10">
        <v>141.22767857142861</v>
      </c>
      <c r="E51" s="10">
        <v>140.88844086021504</v>
      </c>
      <c r="F51" s="10">
        <v>139.59305555555557</v>
      </c>
      <c r="G51" s="10">
        <v>219.6935483870968</v>
      </c>
      <c r="H51" s="10">
        <v>258.53333222222227</v>
      </c>
      <c r="I51" s="10">
        <v>336.91397849462368</v>
      </c>
      <c r="J51" s="10">
        <v>459.18413978494618</v>
      </c>
      <c r="K51" s="10">
        <v>485.4681666666666</v>
      </c>
      <c r="L51" s="10">
        <v>472.53763440860212</v>
      </c>
      <c r="M51" s="10">
        <v>327.00972222222219</v>
      </c>
      <c r="N51" s="10">
        <v>281.70430107526886</v>
      </c>
      <c r="O51" s="8">
        <f t="shared" si="0"/>
        <v>290.45597834869432</v>
      </c>
      <c r="P51" s="57">
        <f>O51/O50</f>
        <v>1.1284194911783123</v>
      </c>
      <c r="R51">
        <f t="shared" si="2"/>
        <v>0.48766985370654092</v>
      </c>
      <c r="S51">
        <f t="shared" si="1"/>
        <v>-0.48056492508263648</v>
      </c>
    </row>
    <row r="52" spans="1:20" ht="20.25" customHeight="1">
      <c r="A52" s="5">
        <v>47</v>
      </c>
      <c r="B52" s="5">
        <v>2023</v>
      </c>
      <c r="C52" s="10">
        <v>205.4852150537634</v>
      </c>
      <c r="D52" s="10">
        <v>145.83035714285717</v>
      </c>
      <c r="E52" s="10">
        <v>126.83870967741935</v>
      </c>
      <c r="F52" s="10">
        <v>114.52638888888887</v>
      </c>
      <c r="G52" s="10">
        <v>101.15994623655916</v>
      </c>
      <c r="H52" s="10">
        <v>176.75694444444443</v>
      </c>
      <c r="I52" s="10">
        <v>314.22849462365593</v>
      </c>
      <c r="J52" s="10">
        <v>362.17070967741932</v>
      </c>
      <c r="K52" s="10">
        <v>516.00833666666665</v>
      </c>
      <c r="L52" s="10">
        <v>438.979835483871</v>
      </c>
      <c r="M52" s="10">
        <v>336.45694999999995</v>
      </c>
      <c r="N52" s="10">
        <v>239.06182580645162</v>
      </c>
      <c r="O52" s="8">
        <f t="shared" si="0"/>
        <v>256.45864280849975</v>
      </c>
      <c r="R52">
        <f t="shared" si="2"/>
        <v>0.96039943379500092</v>
      </c>
      <c r="S52">
        <f t="shared" si="1"/>
        <v>-7.8353449941764852E-3</v>
      </c>
    </row>
    <row r="53" spans="1:20" ht="20.25" customHeight="1">
      <c r="A53" s="5">
        <v>48</v>
      </c>
      <c r="B53" s="5">
        <v>2024</v>
      </c>
      <c r="C53" s="10">
        <v>136.53628387096776</v>
      </c>
      <c r="D53" s="10">
        <v>89.97844137931034</v>
      </c>
      <c r="E53" s="10">
        <v>71.677425806451595</v>
      </c>
      <c r="F53" s="10">
        <v>76.03</v>
      </c>
      <c r="G53" s="10">
        <v>102.72983548387097</v>
      </c>
      <c r="H53" s="10">
        <v>143.88194333333331</v>
      </c>
      <c r="I53" s="10">
        <v>258.7325225806452</v>
      </c>
      <c r="J53" s="10">
        <v>345.33736774193545</v>
      </c>
      <c r="K53" s="10">
        <v>421.67</v>
      </c>
      <c r="L53" s="10">
        <v>344.87018846153848</v>
      </c>
      <c r="M53" s="10">
        <v>268.59833200000003</v>
      </c>
      <c r="N53" s="10">
        <v>248.40457096774193</v>
      </c>
      <c r="O53" s="8">
        <f t="shared" si="0"/>
        <v>209.03724263548293</v>
      </c>
      <c r="P53" s="57">
        <f>O53/O55</f>
        <v>0.85990679824210481</v>
      </c>
      <c r="R53">
        <f t="shared" si="2"/>
        <v>0.73114133155505356</v>
      </c>
      <c r="S53">
        <f t="shared" si="1"/>
        <v>-0.23709344723412384</v>
      </c>
    </row>
    <row r="54" spans="1:20" ht="20.25" customHeight="1">
      <c r="A54" s="5">
        <v>49</v>
      </c>
      <c r="B54" s="5">
        <v>2025</v>
      </c>
      <c r="C54" s="10">
        <v>206.23252903225804</v>
      </c>
      <c r="D54" s="10">
        <v>121.56</v>
      </c>
      <c r="E54" s="10">
        <v>119.37902903225806</v>
      </c>
      <c r="F54" s="10">
        <v>98.847706896551742</v>
      </c>
      <c r="G54" s="10">
        <v>162.30000000000001</v>
      </c>
      <c r="H54" s="10">
        <v>295.53750666666662</v>
      </c>
      <c r="I54" s="10">
        <v>257.09408387096778</v>
      </c>
      <c r="J54" s="10">
        <v>277.50134193548388</v>
      </c>
      <c r="K54" s="10">
        <v>488.63750333333331</v>
      </c>
      <c r="L54" s="10">
        <v>478.22580645161293</v>
      </c>
      <c r="M54" s="92">
        <v>1109.8374966666668</v>
      </c>
      <c r="N54" s="92">
        <v>507.7110193548387</v>
      </c>
      <c r="O54" s="8">
        <f t="shared" si="0"/>
        <v>343.5720019367198</v>
      </c>
      <c r="P54" s="57"/>
    </row>
    <row r="55" spans="1:20" ht="20.25" customHeight="1">
      <c r="A55" s="5"/>
      <c r="B55" s="7" t="s">
        <v>19</v>
      </c>
      <c r="C55" s="9">
        <f t="shared" ref="C55:N55" si="3">AVERAGE(C6:C53)</f>
        <v>152.47770683792001</v>
      </c>
      <c r="D55" s="9">
        <f t="shared" si="3"/>
        <v>92.008979822707204</v>
      </c>
      <c r="E55" s="9">
        <f t="shared" si="3"/>
        <v>74.756165988688565</v>
      </c>
      <c r="F55" s="9">
        <f t="shared" si="3"/>
        <v>76.18609548237653</v>
      </c>
      <c r="G55" s="9">
        <f>AVERAGE(G6:G54)</f>
        <v>120.35069458168594</v>
      </c>
      <c r="H55" s="9">
        <f t="shared" si="3"/>
        <v>183.5676858735826</v>
      </c>
      <c r="I55" s="9">
        <f t="shared" si="3"/>
        <v>235.30889397379443</v>
      </c>
      <c r="J55" s="9">
        <f t="shared" si="3"/>
        <v>346.31533268180868</v>
      </c>
      <c r="K55" s="9">
        <f t="shared" si="3"/>
        <v>415.71732592756263</v>
      </c>
      <c r="L55" s="9">
        <f t="shared" si="3"/>
        <v>480.98088535274223</v>
      </c>
      <c r="M55" s="9">
        <f t="shared" si="3"/>
        <v>422.25662856623495</v>
      </c>
      <c r="N55" s="9">
        <f t="shared" si="3"/>
        <v>317.18847916677743</v>
      </c>
      <c r="O55" s="8">
        <f t="shared" si="0"/>
        <v>243.09290618799011</v>
      </c>
    </row>
    <row r="56" spans="1:20" ht="20.25" customHeight="1">
      <c r="A56" s="7">
        <v>49</v>
      </c>
      <c r="B56" s="11"/>
      <c r="C56" s="96">
        <f t="shared" ref="C56:N56" si="4">FORECAST($A$56,C6:C53,$A$6:$A$53)</f>
        <v>185.29943163993772</v>
      </c>
      <c r="D56" s="96">
        <f t="shared" si="4"/>
        <v>112.09058149245791</v>
      </c>
      <c r="E56" s="96">
        <f t="shared" si="4"/>
        <v>105.39528313654048</v>
      </c>
      <c r="F56" s="96">
        <f t="shared" si="4"/>
        <v>105.28655292876013</v>
      </c>
      <c r="G56" s="96">
        <f t="shared" si="4"/>
        <v>144.92254713361382</v>
      </c>
      <c r="H56" s="96">
        <f t="shared" si="4"/>
        <v>193.64414389455214</v>
      </c>
      <c r="I56" s="96">
        <f t="shared" si="4"/>
        <v>254.04390583897933</v>
      </c>
      <c r="J56" s="96">
        <f t="shared" si="4"/>
        <v>358.54105470315289</v>
      </c>
      <c r="K56" s="96">
        <f t="shared" si="4"/>
        <v>387.88591295779878</v>
      </c>
      <c r="L56" s="96">
        <f t="shared" si="4"/>
        <v>402.27107872046912</v>
      </c>
      <c r="M56" s="96">
        <f t="shared" si="4"/>
        <v>422.00924797244244</v>
      </c>
      <c r="N56" s="96">
        <f t="shared" si="4"/>
        <v>358.58645234707615</v>
      </c>
      <c r="O56" s="97">
        <f t="shared" si="0"/>
        <v>252.49801606381507</v>
      </c>
      <c r="P56" s="54" t="s">
        <v>20</v>
      </c>
      <c r="Q56">
        <v>2025</v>
      </c>
      <c r="R56">
        <f>MAX(R6:R53)</f>
        <v>0.96823477878917741</v>
      </c>
    </row>
    <row r="57" spans="1:20" ht="20.25" customHeight="1">
      <c r="A57" s="11"/>
      <c r="B57" s="11"/>
      <c r="C57" s="37">
        <f>FORECAST($A$57,C6:C54,$A$6:$A$54)</f>
        <v>118.80156989744026</v>
      </c>
      <c r="D57" s="37">
        <f t="shared" ref="D57:N57" si="5">FORECAST($A$57,D6:D54,$A$6:$A$54)</f>
        <v>71.540871275097643</v>
      </c>
      <c r="E57" s="37">
        <f t="shared" si="5"/>
        <v>43.546283702235947</v>
      </c>
      <c r="F57" s="37">
        <f t="shared" si="5"/>
        <v>47.348448078123894</v>
      </c>
      <c r="G57" s="37">
        <f t="shared" si="5"/>
        <v>93.321670513530222</v>
      </c>
      <c r="H57" s="37">
        <f t="shared" si="5"/>
        <v>169.33231508640435</v>
      </c>
      <c r="I57" s="37">
        <f t="shared" si="5"/>
        <v>216.44938504607941</v>
      </c>
      <c r="J57" s="37">
        <f t="shared" si="5"/>
        <v>337.39735403873664</v>
      </c>
      <c r="K57" s="37">
        <f t="shared" si="5"/>
        <v>439.43642908608012</v>
      </c>
      <c r="L57" s="37">
        <f t="shared" si="5"/>
        <v>556.59049901639719</v>
      </c>
      <c r="M57" s="37">
        <f t="shared" si="5"/>
        <v>394.42938676434488</v>
      </c>
      <c r="N57" s="37">
        <f t="shared" si="5"/>
        <v>269.70378896575369</v>
      </c>
      <c r="O57" s="39">
        <f t="shared" si="0"/>
        <v>229.82483345585206</v>
      </c>
      <c r="P57" s="54" t="s">
        <v>20</v>
      </c>
      <c r="Q57">
        <v>2026</v>
      </c>
    </row>
    <row r="58" spans="1:20" ht="20.25" customHeight="1">
      <c r="A58" s="11"/>
      <c r="B58" s="11"/>
      <c r="C58" s="35">
        <f>1-C61/C56</f>
        <v>-6.9080451282417021E-2</v>
      </c>
      <c r="D58" s="35">
        <f>1-D61/D56</f>
        <v>-0.15442348747835477</v>
      </c>
      <c r="E58" s="35">
        <f t="shared" ref="E58:I58" si="6">1-E61/E56</f>
        <v>-0.18790894880753184</v>
      </c>
      <c r="F58" s="35">
        <f t="shared" si="6"/>
        <v>9.1241974036895157E-2</v>
      </c>
      <c r="G58" s="35">
        <f t="shared" si="6"/>
        <v>0.29293265936372181</v>
      </c>
      <c r="H58" s="35">
        <f t="shared" si="6"/>
        <v>0.22941124374379773</v>
      </c>
      <c r="I58" s="35">
        <f t="shared" si="6"/>
        <v>1</v>
      </c>
      <c r="J58" s="12"/>
      <c r="K58" s="12"/>
      <c r="L58" s="12"/>
      <c r="M58" s="12"/>
      <c r="N58" s="12"/>
      <c r="O58" s="12"/>
      <c r="P58" t="s">
        <v>32</v>
      </c>
    </row>
    <row r="59" spans="1:20" ht="20.25" customHeight="1">
      <c r="A59" s="11"/>
      <c r="B59" s="11" t="s">
        <v>22</v>
      </c>
      <c r="C59" s="36">
        <f>(C61-C53)/C53</f>
        <v>0.45089637994844212</v>
      </c>
      <c r="D59" s="36">
        <f>(D61-D53)/D53</f>
        <v>0.43812226591595826</v>
      </c>
      <c r="E59" s="36"/>
      <c r="F59" s="36"/>
      <c r="G59" s="36"/>
      <c r="H59" s="42"/>
      <c r="I59" s="42"/>
      <c r="J59" s="42"/>
      <c r="K59" s="42"/>
      <c r="L59" s="42"/>
      <c r="M59" s="42"/>
      <c r="N59" s="42"/>
      <c r="O59" s="42"/>
    </row>
    <row r="60" spans="1:20" ht="20.25" customHeight="1">
      <c r="A60" s="11"/>
      <c r="B60" s="11" t="s">
        <v>23</v>
      </c>
      <c r="C60" s="35">
        <f>(C61-C55)/C55</f>
        <v>0.2992063174885975</v>
      </c>
      <c r="D60" s="35">
        <f>(D61-D55)/D55</f>
        <v>0.40638446648731286</v>
      </c>
      <c r="E60" s="35"/>
      <c r="F60" s="35"/>
      <c r="G60" s="35"/>
      <c r="H60" s="43"/>
      <c r="I60" s="43"/>
      <c r="J60" s="43"/>
      <c r="K60" s="43"/>
      <c r="L60" s="43"/>
      <c r="M60" s="43"/>
      <c r="N60" s="43"/>
      <c r="O60" s="43"/>
    </row>
    <row r="61" spans="1:20" s="34" customFormat="1" ht="15.75">
      <c r="A61" s="11" t="s">
        <v>24</v>
      </c>
      <c r="B61" s="40">
        <v>2026</v>
      </c>
      <c r="C61" s="41">
        <v>198.1</v>
      </c>
      <c r="D61" s="41">
        <v>129.4</v>
      </c>
      <c r="E61" s="41">
        <v>125.2</v>
      </c>
      <c r="F61" s="41">
        <v>95.68</v>
      </c>
      <c r="G61" s="41">
        <v>102.47</v>
      </c>
      <c r="H61" s="41">
        <v>149.22</v>
      </c>
      <c r="I61" s="82"/>
      <c r="J61" s="82"/>
      <c r="K61" s="82"/>
      <c r="L61" s="87"/>
      <c r="M61" s="33"/>
      <c r="N61" s="82"/>
      <c r="O61" s="32"/>
      <c r="P61" s="46">
        <f>AVERAGE(O38:O52)</f>
        <v>237.24398748465663</v>
      </c>
      <c r="Q61" s="49">
        <f>O61/P61</f>
        <v>0</v>
      </c>
    </row>
    <row r="62" spans="1:20" ht="15.75">
      <c r="A62" s="31"/>
      <c r="B62" s="1"/>
      <c r="C62" s="13"/>
      <c r="D62" s="28">
        <f>D61/D52</f>
        <v>0.88733239453866397</v>
      </c>
      <c r="E62" s="28">
        <f>(E61-E52)/E52</f>
        <v>-1.2919633774160635E-2</v>
      </c>
      <c r="F62" s="28">
        <f>(F61-F52)/F52</f>
        <v>-0.16455935677124373</v>
      </c>
      <c r="G62" s="28">
        <f>(G61-G52)/G52</f>
        <v>1.2950320874798776E-2</v>
      </c>
      <c r="H62" s="28">
        <f>(H61-H52)/H52</f>
        <v>-0.15578988724315398</v>
      </c>
      <c r="I62" s="13"/>
      <c r="J62" s="13"/>
      <c r="K62" s="14"/>
      <c r="L62" s="14"/>
      <c r="M62" s="14"/>
      <c r="N62" s="1"/>
      <c r="O62" s="1"/>
    </row>
    <row r="63" spans="1:20" ht="15.75">
      <c r="A63" s="1"/>
      <c r="B63" s="1"/>
      <c r="C63" s="13"/>
      <c r="D63" s="28"/>
      <c r="E63" s="28">
        <f>(E61-E55)/E55</f>
        <v>0.67477823861304165</v>
      </c>
      <c r="F63" s="28">
        <f>(F61-F55)/F55</f>
        <v>0.2558722086254287</v>
      </c>
      <c r="G63" s="28">
        <f>(G61-G55)/G55</f>
        <v>-0.14857159440446546</v>
      </c>
      <c r="H63" s="28">
        <f>(H61-H55)/H55</f>
        <v>-0.18711183131238465</v>
      </c>
      <c r="I63" s="13"/>
      <c r="J63" s="13"/>
      <c r="K63" s="14"/>
      <c r="L63" s="28"/>
      <c r="M63" s="28"/>
      <c r="N63" s="28"/>
      <c r="O63" s="1"/>
    </row>
    <row r="64" spans="1:20" ht="15.75">
      <c r="A64" s="1"/>
      <c r="B64" s="11" t="s">
        <v>22</v>
      </c>
      <c r="C64" s="52">
        <f t="shared" ref="C64:H64" si="7">C61/C54</f>
        <v>0.96056621586119428</v>
      </c>
      <c r="D64" s="52">
        <f t="shared" si="7"/>
        <v>1.0644948996380388</v>
      </c>
      <c r="E64" s="52">
        <f t="shared" si="7"/>
        <v>1.0487604147472922</v>
      </c>
      <c r="F64" s="52">
        <f t="shared" si="7"/>
        <v>0.96795366330685984</v>
      </c>
      <c r="G64" s="52">
        <f t="shared" si="7"/>
        <v>0.63136167590881076</v>
      </c>
      <c r="H64" s="52">
        <f t="shared" si="7"/>
        <v>0.50491053295750898</v>
      </c>
      <c r="I64" s="28">
        <f t="shared" ref="I64:O64" si="8">I61/I53</f>
        <v>0</v>
      </c>
      <c r="J64" s="28">
        <f t="shared" si="8"/>
        <v>0</v>
      </c>
      <c r="K64" s="28">
        <f t="shared" si="8"/>
        <v>0</v>
      </c>
      <c r="L64" s="28">
        <f t="shared" si="8"/>
        <v>0</v>
      </c>
      <c r="M64" s="28">
        <f t="shared" si="8"/>
        <v>0</v>
      </c>
      <c r="N64" s="28">
        <f t="shared" si="8"/>
        <v>0</v>
      </c>
      <c r="O64" s="28">
        <f t="shared" si="8"/>
        <v>0</v>
      </c>
    </row>
    <row r="65" spans="1:15" ht="15.75">
      <c r="A65" s="1"/>
      <c r="B65" s="11" t="s">
        <v>23</v>
      </c>
      <c r="C65" s="52">
        <f t="shared" ref="C65:O65" si="9">C61/C55</f>
        <v>1.2992063174885975</v>
      </c>
      <c r="D65" s="52">
        <f t="shared" si="9"/>
        <v>1.4063844664873129</v>
      </c>
      <c r="E65" s="28">
        <f t="shared" si="9"/>
        <v>1.6747782386130416</v>
      </c>
      <c r="F65" s="28">
        <f t="shared" si="9"/>
        <v>1.2558722086254286</v>
      </c>
      <c r="G65" s="28">
        <f>G61/G55</f>
        <v>0.85142840559553457</v>
      </c>
      <c r="H65" s="28">
        <f t="shared" si="9"/>
        <v>0.81288816868761538</v>
      </c>
      <c r="I65" s="28">
        <f t="shared" si="9"/>
        <v>0</v>
      </c>
      <c r="J65" s="28">
        <f t="shared" si="9"/>
        <v>0</v>
      </c>
      <c r="K65" s="28">
        <f t="shared" si="9"/>
        <v>0</v>
      </c>
      <c r="L65" s="28">
        <f t="shared" si="9"/>
        <v>0</v>
      </c>
      <c r="M65" s="28">
        <f t="shared" si="9"/>
        <v>0</v>
      </c>
      <c r="N65" s="28">
        <f t="shared" si="9"/>
        <v>0</v>
      </c>
      <c r="O65" s="28">
        <f t="shared" si="9"/>
        <v>0</v>
      </c>
    </row>
    <row r="66" spans="1:15" ht="15.75" customHeight="1">
      <c r="A66" s="1"/>
      <c r="B66" s="2" t="s">
        <v>26</v>
      </c>
      <c r="C66" s="112" t="s">
        <v>27</v>
      </c>
      <c r="D66" s="113"/>
      <c r="E66" s="113"/>
      <c r="F66" s="113"/>
      <c r="G66" s="113"/>
      <c r="H66" s="113"/>
      <c r="I66" s="113"/>
      <c r="J66" s="113"/>
      <c r="K66" s="113"/>
      <c r="L66" s="113"/>
      <c r="M66" s="113"/>
      <c r="N66" s="113"/>
      <c r="O66" s="113"/>
    </row>
    <row r="67" spans="1:15" ht="15.75">
      <c r="A67" s="1"/>
      <c r="B67" s="1"/>
      <c r="C67" s="113"/>
      <c r="D67" s="113"/>
      <c r="E67" s="113"/>
      <c r="F67" s="113"/>
      <c r="G67" s="113"/>
      <c r="H67" s="113"/>
      <c r="I67" s="113"/>
      <c r="J67" s="113"/>
      <c r="K67" s="113"/>
      <c r="L67" s="113"/>
      <c r="M67" s="113"/>
      <c r="N67" s="113"/>
      <c r="O67" s="113"/>
    </row>
    <row r="68" spans="1:15" ht="15.75">
      <c r="A68" s="1"/>
      <c r="B68" s="1"/>
      <c r="C68" s="113"/>
      <c r="D68" s="113"/>
      <c r="E68" s="113"/>
      <c r="F68" s="113"/>
      <c r="G68" s="113"/>
      <c r="H68" s="113"/>
      <c r="I68" s="113"/>
      <c r="J68" s="113"/>
      <c r="K68" s="113"/>
      <c r="L68" s="113"/>
      <c r="M68" s="113"/>
      <c r="N68" s="113"/>
      <c r="O68" s="113"/>
    </row>
    <row r="69" spans="1:15" ht="15.75">
      <c r="A69" s="1"/>
      <c r="B69" s="1"/>
      <c r="C69" s="1"/>
      <c r="D69" s="1"/>
      <c r="E69" s="1" t="s">
        <v>36</v>
      </c>
      <c r="F69" s="1"/>
      <c r="G69" s="1"/>
      <c r="H69" s="1"/>
      <c r="I69" s="1"/>
      <c r="J69" s="1"/>
      <c r="K69" s="1"/>
      <c r="L69" s="1"/>
      <c r="M69" s="1"/>
      <c r="N69" s="1"/>
      <c r="O69" s="1"/>
    </row>
    <row r="70" spans="1:15" ht="15.75">
      <c r="A70" s="1"/>
      <c r="D70">
        <v>2024</v>
      </c>
      <c r="E70" s="47">
        <f>AVERAGE(C53:E53)</f>
        <v>99.397383685576571</v>
      </c>
      <c r="H70" s="60">
        <f>AVERAGE(C61:G61)</f>
        <v>130.17000000000002</v>
      </c>
      <c r="I70" s="47">
        <f>SUM(C54:H54)/6</f>
        <v>167.30946193795572</v>
      </c>
      <c r="J70">
        <f>SUM(C55:H55)/6</f>
        <v>116.55788809782679</v>
      </c>
      <c r="M70">
        <f>AVERAGEA(C61:H61)</f>
        <v>133.345</v>
      </c>
    </row>
    <row r="71" spans="1:15">
      <c r="D71">
        <v>2025</v>
      </c>
      <c r="E71" s="60">
        <f>AVERAGE(C61:E61)</f>
        <v>150.9</v>
      </c>
      <c r="H71" s="44">
        <f>AVERAGE(C55:G55)</f>
        <v>103.15592854267564</v>
      </c>
      <c r="I71" s="60">
        <v>132.80000000000001</v>
      </c>
      <c r="J71" s="60">
        <v>132.80000000000001</v>
      </c>
      <c r="K71" s="57"/>
      <c r="M71" s="61">
        <f>AVERAGEA(C54:H54)</f>
        <v>167.30946193795572</v>
      </c>
      <c r="N71" s="48">
        <f>M70/M71</f>
        <v>0.79699616779264437</v>
      </c>
    </row>
    <row r="72" spans="1:15">
      <c r="D72" t="s">
        <v>29</v>
      </c>
      <c r="E72" s="44">
        <f>AVERAGE(C56:E56)</f>
        <v>134.2617654229787</v>
      </c>
      <c r="I72" s="103">
        <f>I71/I70</f>
        <v>0.79373873098251291</v>
      </c>
      <c r="J72" s="103">
        <f>J71/J70</f>
        <v>1.1393480284109236</v>
      </c>
      <c r="L72" s="107"/>
      <c r="M72" s="61">
        <f>AVERAGEA(C55:H55)</f>
        <v>116.55788809782679</v>
      </c>
      <c r="N72" s="48">
        <f>M70/M72</f>
        <v>1.1440238166299292</v>
      </c>
    </row>
  </sheetData>
  <mergeCells count="4">
    <mergeCell ref="A1:O1"/>
    <mergeCell ref="A2:B2"/>
    <mergeCell ref="C2:O2"/>
    <mergeCell ref="C66:O6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B610-41C5-400C-9633-26B542C3E5AB}">
  <dimension ref="A1:G24"/>
  <sheetViews>
    <sheetView zoomScale="85" zoomScaleNormal="85" workbookViewId="0">
      <selection activeCell="E14" sqref="E14:E18"/>
    </sheetView>
  </sheetViews>
  <sheetFormatPr defaultRowHeight="15"/>
  <cols>
    <col min="4" max="5" width="9.5703125" bestFit="1" customWidth="1"/>
    <col min="6" max="6" width="10.5703125" bestFit="1" customWidth="1"/>
  </cols>
  <sheetData>
    <row r="1" spans="1:6">
      <c r="A1" t="s">
        <v>37</v>
      </c>
      <c r="B1" t="s">
        <v>38</v>
      </c>
      <c r="C1" t="s">
        <v>6</v>
      </c>
      <c r="D1" s="15" t="s">
        <v>39</v>
      </c>
      <c r="E1" t="s">
        <v>40</v>
      </c>
    </row>
    <row r="2" spans="1:6">
      <c r="A2" s="16">
        <v>2877.4</v>
      </c>
      <c r="B2">
        <v>2613</v>
      </c>
      <c r="C2">
        <v>2009</v>
      </c>
      <c r="D2" s="19">
        <v>0</v>
      </c>
      <c r="E2" s="16">
        <v>976.03949999999998</v>
      </c>
      <c r="F2" s="15" t="s">
        <v>41</v>
      </c>
    </row>
    <row r="3" spans="1:6">
      <c r="A3" s="16">
        <v>2877.4</v>
      </c>
      <c r="B3">
        <v>2613</v>
      </c>
      <c r="C3">
        <v>2010</v>
      </c>
      <c r="D3" s="19">
        <v>0</v>
      </c>
      <c r="E3" s="16">
        <v>1881.5056500000001</v>
      </c>
      <c r="F3" s="15" t="s">
        <v>42</v>
      </c>
    </row>
    <row r="4" spans="1:6">
      <c r="A4" s="16">
        <v>2877.4</v>
      </c>
      <c r="B4">
        <v>2613</v>
      </c>
      <c r="C4">
        <v>2011</v>
      </c>
      <c r="D4" s="19">
        <v>0</v>
      </c>
      <c r="E4" s="20">
        <v>2793.238703</v>
      </c>
    </row>
    <row r="5" spans="1:6">
      <c r="A5" s="16">
        <v>2877.4</v>
      </c>
      <c r="B5">
        <v>2613</v>
      </c>
      <c r="C5">
        <v>2012</v>
      </c>
      <c r="D5" s="19">
        <v>0</v>
      </c>
      <c r="E5" s="16">
        <v>2467.3496599999999</v>
      </c>
    </row>
    <row r="6" spans="1:6">
      <c r="A6" s="16">
        <v>2877.4</v>
      </c>
      <c r="B6">
        <v>2613</v>
      </c>
      <c r="C6">
        <v>2013</v>
      </c>
      <c r="D6" s="19">
        <v>2274.2199999999998</v>
      </c>
      <c r="E6" s="16">
        <v>2225.6985850000001</v>
      </c>
    </row>
    <row r="7" spans="1:6">
      <c r="A7" s="16">
        <v>2877.4</v>
      </c>
      <c r="B7">
        <v>2613</v>
      </c>
      <c r="C7">
        <v>2014</v>
      </c>
      <c r="D7" s="19">
        <v>2677.0830000000001</v>
      </c>
      <c r="E7" s="16">
        <v>2402.6730120000002</v>
      </c>
    </row>
    <row r="8" spans="1:6">
      <c r="A8" s="16">
        <v>2877.4</v>
      </c>
      <c r="B8">
        <v>2613</v>
      </c>
      <c r="C8">
        <v>2015</v>
      </c>
      <c r="D8" s="19">
        <v>2448.221</v>
      </c>
      <c r="E8" s="16">
        <v>1551.4934410000001</v>
      </c>
    </row>
    <row r="9" spans="1:6">
      <c r="A9" s="16">
        <v>2877.4</v>
      </c>
      <c r="B9">
        <v>2613</v>
      </c>
      <c r="C9">
        <v>2016</v>
      </c>
      <c r="D9" s="19">
        <v>2374.732</v>
      </c>
      <c r="E9" s="16">
        <v>2171.0010149999998</v>
      </c>
    </row>
    <row r="10" spans="1:6">
      <c r="A10" s="16">
        <v>2877.4</v>
      </c>
      <c r="B10">
        <v>2613</v>
      </c>
      <c r="C10">
        <v>2017</v>
      </c>
      <c r="D10" s="19">
        <v>2388.8020000000001</v>
      </c>
      <c r="E10" s="20">
        <v>3591.4659660000002</v>
      </c>
    </row>
    <row r="11" spans="1:6">
      <c r="A11" s="16">
        <v>2877.4</v>
      </c>
      <c r="B11">
        <v>2613</v>
      </c>
      <c r="C11">
        <v>2018</v>
      </c>
      <c r="D11" s="19">
        <v>2402</v>
      </c>
      <c r="E11" s="16">
        <v>2513.8349779999999</v>
      </c>
    </row>
    <row r="12" spans="1:6">
      <c r="A12" s="16">
        <v>2877.4</v>
      </c>
      <c r="B12">
        <v>2613</v>
      </c>
      <c r="C12">
        <v>2019</v>
      </c>
      <c r="D12" s="19">
        <v>2323.8000000000002</v>
      </c>
      <c r="E12" s="16">
        <v>2407.8428880000001</v>
      </c>
    </row>
    <row r="13" spans="1:6">
      <c r="A13" s="16">
        <v>2877.4</v>
      </c>
      <c r="B13">
        <v>2613</v>
      </c>
      <c r="C13">
        <v>2020</v>
      </c>
      <c r="D13" s="19">
        <v>2397.63</v>
      </c>
      <c r="E13" s="20">
        <v>2712.8491490000001</v>
      </c>
    </row>
    <row r="14" spans="1:6">
      <c r="A14" s="16">
        <v>2877.4</v>
      </c>
      <c r="B14">
        <v>2613</v>
      </c>
      <c r="C14">
        <v>2021</v>
      </c>
      <c r="D14" s="19">
        <v>2702.68</v>
      </c>
      <c r="E14" s="20">
        <v>2645.1922060000002</v>
      </c>
    </row>
    <row r="15" spans="1:6">
      <c r="A15" s="16">
        <v>2877.4</v>
      </c>
      <c r="B15">
        <v>2613</v>
      </c>
      <c r="C15">
        <v>2022</v>
      </c>
      <c r="D15" s="16">
        <v>2366.9690000000001</v>
      </c>
      <c r="E15" s="20">
        <v>3280.0151000000001</v>
      </c>
    </row>
    <row r="16" spans="1:6">
      <c r="A16" s="16">
        <v>2877.4</v>
      </c>
      <c r="B16">
        <v>2613</v>
      </c>
      <c r="C16" s="17">
        <v>2023</v>
      </c>
      <c r="D16" s="16">
        <v>2923</v>
      </c>
      <c r="E16" s="18">
        <v>2930</v>
      </c>
    </row>
    <row r="17" spans="1:7">
      <c r="A17" s="16">
        <v>2877.4</v>
      </c>
      <c r="B17">
        <v>2613</v>
      </c>
      <c r="C17" s="17">
        <v>2024</v>
      </c>
      <c r="D17" s="16">
        <v>2690</v>
      </c>
      <c r="E17" s="20">
        <v>2568</v>
      </c>
    </row>
    <row r="18" spans="1:7">
      <c r="A18" s="16">
        <v>2877.4</v>
      </c>
      <c r="B18">
        <v>2613</v>
      </c>
      <c r="C18">
        <v>2025</v>
      </c>
      <c r="D18" s="16">
        <v>2633</v>
      </c>
      <c r="E18" s="21">
        <v>3136.8218489000001</v>
      </c>
      <c r="F18" s="22">
        <f>E18*1.05</f>
        <v>3293.662941345</v>
      </c>
    </row>
    <row r="20" spans="1:7">
      <c r="G20" t="s">
        <v>37</v>
      </c>
    </row>
    <row r="21" spans="1:7">
      <c r="E21" t="s">
        <v>43</v>
      </c>
      <c r="G21">
        <v>358.6</v>
      </c>
    </row>
    <row r="22" spans="1:7">
      <c r="E22" t="s">
        <v>44</v>
      </c>
      <c r="G22">
        <v>1458.6</v>
      </c>
    </row>
    <row r="23" spans="1:7">
      <c r="E23" t="s">
        <v>45</v>
      </c>
      <c r="G23">
        <v>1060.2</v>
      </c>
    </row>
    <row r="24" spans="1:7">
      <c r="G24">
        <f>SUM(G21:G23)</f>
        <v>2877.3999999999996</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70257-8FB7-4F29-B571-D330B5B06EC1}">
  <dimension ref="A1:P39"/>
  <sheetViews>
    <sheetView workbookViewId="0">
      <selection activeCell="K1" sqref="K1:K1048576"/>
    </sheetView>
  </sheetViews>
  <sheetFormatPr defaultRowHeight="15"/>
  <cols>
    <col min="1" max="1" width="13.5703125" bestFit="1" customWidth="1"/>
  </cols>
  <sheetData>
    <row r="1" spans="1:16">
      <c r="B1" s="115" t="s">
        <v>46</v>
      </c>
      <c r="C1" s="115"/>
      <c r="D1" s="115"/>
      <c r="E1" s="115"/>
      <c r="F1" s="115"/>
      <c r="G1" s="115"/>
      <c r="H1" s="115"/>
    </row>
    <row r="2" spans="1:16">
      <c r="B2" s="63" t="s">
        <v>47</v>
      </c>
      <c r="C2">
        <v>1</v>
      </c>
      <c r="D2">
        <v>2</v>
      </c>
      <c r="E2">
        <v>3</v>
      </c>
      <c r="F2">
        <v>4</v>
      </c>
      <c r="G2">
        <v>5</v>
      </c>
      <c r="H2">
        <v>6</v>
      </c>
      <c r="I2">
        <v>7</v>
      </c>
      <c r="J2">
        <v>8</v>
      </c>
      <c r="K2">
        <v>9</v>
      </c>
      <c r="L2">
        <v>10</v>
      </c>
      <c r="M2">
        <v>11</v>
      </c>
      <c r="N2">
        <v>12</v>
      </c>
    </row>
    <row r="3" spans="1:16">
      <c r="A3" t="s">
        <v>44</v>
      </c>
      <c r="B3">
        <v>2025</v>
      </c>
      <c r="C3" s="60">
        <v>58.057796774193548</v>
      </c>
      <c r="D3" s="60">
        <v>38.39</v>
      </c>
      <c r="E3" s="60">
        <v>31.147848387096776</v>
      </c>
      <c r="F3" s="60">
        <v>31.900006666666666</v>
      </c>
      <c r="G3" s="60">
        <v>32.67802727272727</v>
      </c>
      <c r="H3" s="60">
        <v>106.77638333333331</v>
      </c>
      <c r="I3" s="60">
        <v>110.5309129032258</v>
      </c>
      <c r="J3" s="60">
        <v>136.34811612903226</v>
      </c>
      <c r="K3" s="60">
        <v>244.45555333333331</v>
      </c>
      <c r="L3" s="60">
        <v>200.34005483870968</v>
      </c>
      <c r="M3" s="60">
        <v>316.8236133333333</v>
      </c>
    </row>
    <row r="4" spans="1:16">
      <c r="B4" t="s">
        <v>48</v>
      </c>
      <c r="E4" s="67">
        <v>1991</v>
      </c>
    </row>
    <row r="5" spans="1:16">
      <c r="F5">
        <v>2006</v>
      </c>
    </row>
    <row r="6" spans="1:16">
      <c r="G6">
        <v>1982</v>
      </c>
    </row>
    <row r="7" spans="1:16">
      <c r="H7">
        <v>1981</v>
      </c>
      <c r="P7" s="62"/>
    </row>
    <row r="8" spans="1:16">
      <c r="I8">
        <v>2004</v>
      </c>
      <c r="P8" s="62"/>
    </row>
    <row r="9" spans="1:16">
      <c r="J9">
        <v>2015</v>
      </c>
    </row>
    <row r="10" spans="1:16">
      <c r="K10" s="99">
        <v>1988</v>
      </c>
    </row>
    <row r="11" spans="1:16">
      <c r="L11">
        <v>1980</v>
      </c>
    </row>
    <row r="12" spans="1:16">
      <c r="M12">
        <v>2010</v>
      </c>
    </row>
    <row r="14" spans="1:16">
      <c r="A14" t="s">
        <v>43</v>
      </c>
      <c r="B14">
        <v>2025</v>
      </c>
      <c r="C14" s="60">
        <v>174.48520645161292</v>
      </c>
      <c r="D14" s="60">
        <v>101.86</v>
      </c>
      <c r="E14" s="60">
        <v>105.43413870967743</v>
      </c>
      <c r="F14" s="60">
        <v>95.85138666666667</v>
      </c>
      <c r="G14" s="60">
        <v>136.68559999999999</v>
      </c>
      <c r="H14" s="60">
        <v>223.40139666666664</v>
      </c>
      <c r="I14" s="60">
        <v>216.40994193548391</v>
      </c>
      <c r="J14" s="60">
        <v>236.06856129032252</v>
      </c>
      <c r="K14" s="60">
        <v>363.04999666666669</v>
      </c>
      <c r="L14" s="60">
        <v>389.42070000000001</v>
      </c>
      <c r="M14" s="60">
        <v>987.00277333333327</v>
      </c>
    </row>
    <row r="15" spans="1:16">
      <c r="B15" t="s">
        <v>48</v>
      </c>
      <c r="E15" s="67">
        <v>2016</v>
      </c>
    </row>
    <row r="16" spans="1:16">
      <c r="F16">
        <v>2018</v>
      </c>
    </row>
    <row r="17" spans="1:13">
      <c r="G17">
        <v>2016</v>
      </c>
    </row>
    <row r="18" spans="1:13">
      <c r="H18">
        <v>2016</v>
      </c>
    </row>
    <row r="19" spans="1:13">
      <c r="I19">
        <v>2004</v>
      </c>
    </row>
    <row r="20" spans="1:13">
      <c r="J20">
        <v>1980</v>
      </c>
    </row>
    <row r="21" spans="1:13">
      <c r="K21" s="99">
        <v>1988</v>
      </c>
    </row>
    <row r="22" spans="1:13">
      <c r="L22">
        <v>1996</v>
      </c>
    </row>
    <row r="23" spans="1:13">
      <c r="M23">
        <v>2010</v>
      </c>
    </row>
    <row r="25" spans="1:13">
      <c r="A25" t="s">
        <v>45</v>
      </c>
      <c r="B25">
        <v>2025</v>
      </c>
      <c r="C25" s="60">
        <v>206.23252903225804</v>
      </c>
      <c r="D25" s="60">
        <v>121.56</v>
      </c>
      <c r="E25" s="60">
        <v>119.37902903225806</v>
      </c>
      <c r="F25" s="60">
        <v>98.847706896551742</v>
      </c>
      <c r="G25" s="60">
        <v>142.79166363636364</v>
      </c>
      <c r="H25" s="60">
        <v>295.53750666666662</v>
      </c>
      <c r="I25" s="60">
        <v>257.09408387096778</v>
      </c>
      <c r="J25" s="60">
        <v>277.50134193548388</v>
      </c>
      <c r="K25" s="60">
        <v>488.63750333333331</v>
      </c>
      <c r="L25" s="60">
        <v>478.22580645161293</v>
      </c>
      <c r="M25" s="60">
        <v>1109.8374966666668</v>
      </c>
    </row>
    <row r="26" spans="1:13">
      <c r="B26" t="s">
        <v>48</v>
      </c>
      <c r="E26" s="67">
        <v>2022</v>
      </c>
    </row>
    <row r="27" spans="1:13">
      <c r="F27">
        <v>2021</v>
      </c>
    </row>
    <row r="28" spans="1:13">
      <c r="G28">
        <v>2006</v>
      </c>
    </row>
    <row r="29" spans="1:13">
      <c r="H29">
        <v>1979</v>
      </c>
    </row>
    <row r="30" spans="1:13">
      <c r="I30">
        <v>1981</v>
      </c>
    </row>
    <row r="31" spans="1:13">
      <c r="J31">
        <v>1980</v>
      </c>
    </row>
    <row r="32" spans="1:13">
      <c r="K32" s="99">
        <v>1988</v>
      </c>
    </row>
    <row r="33" spans="1:14">
      <c r="L33">
        <v>1980</v>
      </c>
    </row>
    <row r="34" spans="1:14">
      <c r="M34">
        <v>1998</v>
      </c>
    </row>
    <row r="35" spans="1:14">
      <c r="B35" s="115" t="s">
        <v>49</v>
      </c>
      <c r="C35" s="115"/>
      <c r="D35" s="115"/>
      <c r="E35" s="115"/>
      <c r="F35" s="115"/>
      <c r="G35" s="115"/>
      <c r="H35" s="115"/>
      <c r="I35" s="115"/>
      <c r="J35" s="115"/>
      <c r="K35" s="115"/>
      <c r="L35" s="115"/>
      <c r="M35" s="115"/>
    </row>
    <row r="36" spans="1:14">
      <c r="A36" t="s">
        <v>44</v>
      </c>
      <c r="B36" s="60">
        <v>16.034088648648645</v>
      </c>
      <c r="C36" s="60">
        <v>9.0586410810810793</v>
      </c>
      <c r="D36" s="60">
        <v>7.5094735135135133</v>
      </c>
      <c r="E36" s="60">
        <v>7.7386377027022837</v>
      </c>
      <c r="F36" s="60">
        <v>10.114521081081078</v>
      </c>
      <c r="G36" s="60">
        <v>13.731732972972969</v>
      </c>
      <c r="H36" s="60">
        <v>18.850599864866364</v>
      </c>
      <c r="I36" s="60">
        <v>26.568457297297293</v>
      </c>
      <c r="J36" s="60">
        <v>25.086843243243244</v>
      </c>
      <c r="K36" s="60">
        <v>34.561050810810812</v>
      </c>
      <c r="L36" s="60">
        <v>51.483053603603736</v>
      </c>
      <c r="M36" s="60">
        <v>26.371264864864859</v>
      </c>
      <c r="N36" s="60">
        <f>SUM(B36:M36)</f>
        <v>247.10836468468585</v>
      </c>
    </row>
    <row r="37" spans="1:14">
      <c r="A37" t="s">
        <v>43</v>
      </c>
      <c r="B37" s="60">
        <v>49.054083780880816</v>
      </c>
      <c r="C37" s="60">
        <v>25.827212316505552</v>
      </c>
      <c r="D37" s="60">
        <v>43.897365556749008</v>
      </c>
      <c r="E37" s="60">
        <v>33.118384532760508</v>
      </c>
      <c r="F37" s="60">
        <v>33.610713927676329</v>
      </c>
      <c r="G37" s="60">
        <v>54.961738274256987</v>
      </c>
      <c r="H37" s="60">
        <v>95.329323308270688</v>
      </c>
      <c r="I37" s="60">
        <v>112.68161224489795</v>
      </c>
      <c r="J37" s="60">
        <v>135.85947010383097</v>
      </c>
      <c r="K37" s="60">
        <v>110.63770175438604</v>
      </c>
      <c r="L37" s="60">
        <v>189.607956000001</v>
      </c>
      <c r="M37" s="60">
        <v>189.607956000001</v>
      </c>
      <c r="N37" s="60">
        <f t="shared" ref="N37:N38" si="0">SUM(B37:M37)</f>
        <v>1074.193517800217</v>
      </c>
    </row>
    <row r="38" spans="1:14">
      <c r="A38" t="s">
        <v>45</v>
      </c>
      <c r="B38" s="60">
        <v>27.438265648854959</v>
      </c>
      <c r="C38" s="60">
        <v>16.620458015267175</v>
      </c>
      <c r="D38" s="60">
        <v>10.918058015267176</v>
      </c>
      <c r="E38" s="60">
        <v>9.7348396946564897</v>
      </c>
      <c r="F38" s="60">
        <v>25.271010687022901</v>
      </c>
      <c r="G38" s="60">
        <v>27.028030534351142</v>
      </c>
      <c r="H38" s="60">
        <v>47.393367938931299</v>
      </c>
      <c r="I38" s="60">
        <v>75.649465648854971</v>
      </c>
      <c r="J38" s="60">
        <v>81.123664122137413</v>
      </c>
      <c r="K38" s="60">
        <v>154.08000000000001</v>
      </c>
      <c r="L38" s="60">
        <v>154.08000000000001</v>
      </c>
      <c r="M38" s="60">
        <v>154.08000000000001</v>
      </c>
      <c r="N38" s="60">
        <f t="shared" si="0"/>
        <v>783.4171603053436</v>
      </c>
    </row>
    <row r="39" spans="1:14">
      <c r="N39" s="60">
        <f>SUM(N36:N38)</f>
        <v>2104.7190427902465</v>
      </c>
    </row>
  </sheetData>
  <mergeCells count="2">
    <mergeCell ref="B1:H1"/>
    <mergeCell ref="B35:M3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F7D07-1C5D-4617-9F59-019ACDB27BDF}">
  <dimension ref="A1:S27"/>
  <sheetViews>
    <sheetView topLeftCell="A4" workbookViewId="0">
      <selection activeCell="E3" sqref="E3"/>
    </sheetView>
  </sheetViews>
  <sheetFormatPr defaultRowHeight="15"/>
  <cols>
    <col min="1" max="1" width="13.5703125" bestFit="1" customWidth="1"/>
    <col min="2" max="2" width="11.5703125" bestFit="1" customWidth="1"/>
    <col min="3" max="3" width="10.5703125" bestFit="1" customWidth="1"/>
    <col min="4" max="7" width="9.7109375" bestFit="1" customWidth="1"/>
    <col min="8" max="8" width="10.5703125" bestFit="1" customWidth="1"/>
    <col min="9" max="15" width="10.7109375" bestFit="1" customWidth="1"/>
  </cols>
  <sheetData>
    <row r="1" spans="1:17">
      <c r="A1" t="s">
        <v>50</v>
      </c>
    </row>
    <row r="2" spans="1:17">
      <c r="C2" s="115" t="s">
        <v>51</v>
      </c>
      <c r="D2" s="115"/>
      <c r="E2" s="115"/>
      <c r="F2" s="115"/>
      <c r="G2" s="115"/>
      <c r="H2" s="115"/>
      <c r="I2" s="115"/>
      <c r="J2" s="115"/>
      <c r="K2" s="115"/>
      <c r="L2" s="115"/>
      <c r="M2" s="115"/>
      <c r="N2" s="115"/>
    </row>
    <row r="3" spans="1:17">
      <c r="B3" t="s">
        <v>6</v>
      </c>
      <c r="C3">
        <v>1</v>
      </c>
      <c r="D3">
        <v>2</v>
      </c>
      <c r="E3">
        <v>3</v>
      </c>
      <c r="F3">
        <v>4</v>
      </c>
      <c r="G3">
        <v>5</v>
      </c>
      <c r="H3">
        <v>6</v>
      </c>
      <c r="I3">
        <v>7</v>
      </c>
      <c r="J3">
        <v>8</v>
      </c>
      <c r="K3">
        <v>9</v>
      </c>
      <c r="L3">
        <v>10</v>
      </c>
      <c r="M3">
        <v>11</v>
      </c>
      <c r="N3">
        <v>12</v>
      </c>
      <c r="O3" s="63" t="s">
        <v>52</v>
      </c>
      <c r="Q3" t="s">
        <v>53</v>
      </c>
    </row>
    <row r="4" spans="1:17">
      <c r="A4" t="s">
        <v>44</v>
      </c>
      <c r="B4">
        <v>1991</v>
      </c>
      <c r="C4">
        <v>62.2</v>
      </c>
      <c r="D4">
        <v>38.799999999999997</v>
      </c>
      <c r="E4">
        <v>30.4</v>
      </c>
      <c r="F4">
        <v>27.4</v>
      </c>
      <c r="G4">
        <v>40.700000000000003</v>
      </c>
      <c r="H4">
        <v>53.3</v>
      </c>
      <c r="I4">
        <v>87.3</v>
      </c>
      <c r="J4">
        <v>137</v>
      </c>
      <c r="K4">
        <v>178</v>
      </c>
      <c r="L4">
        <v>181</v>
      </c>
      <c r="M4">
        <v>81.400000000000006</v>
      </c>
      <c r="N4">
        <v>42.5</v>
      </c>
      <c r="O4" s="60">
        <v>120.20833333333333</v>
      </c>
      <c r="Q4">
        <v>8.8800000000000008</v>
      </c>
    </row>
    <row r="5" spans="1:17">
      <c r="A5" t="s">
        <v>43</v>
      </c>
      <c r="B5" s="62">
        <v>2016</v>
      </c>
      <c r="C5" s="60">
        <v>70.392357804232773</v>
      </c>
      <c r="D5" s="60">
        <v>43.48714390622137</v>
      </c>
      <c r="E5" s="60">
        <v>45.855622226488912</v>
      </c>
      <c r="F5" s="60">
        <v>47.572160714285879</v>
      </c>
      <c r="G5" s="60">
        <v>57.765901177675076</v>
      </c>
      <c r="H5" s="60">
        <v>91.753909611993421</v>
      </c>
      <c r="I5" s="60">
        <v>143.95738148574824</v>
      </c>
      <c r="J5" s="60">
        <v>155.5818294504183</v>
      </c>
      <c r="K5" s="60">
        <v>123.9304475308643</v>
      </c>
      <c r="L5" s="60">
        <v>235.81003872247788</v>
      </c>
      <c r="M5" s="60">
        <v>504.52869808201115</v>
      </c>
      <c r="N5" s="60">
        <v>439.25057870370404</v>
      </c>
      <c r="O5" s="60">
        <v>163.32383911801011</v>
      </c>
      <c r="Q5" s="61">
        <v>3.99</v>
      </c>
    </row>
    <row r="6" spans="1:17">
      <c r="A6" t="s">
        <v>45</v>
      </c>
      <c r="B6">
        <v>2022</v>
      </c>
      <c r="C6" s="60">
        <v>222.7177419354839</v>
      </c>
      <c r="D6" s="60">
        <v>141.22767857142861</v>
      </c>
      <c r="E6" s="60">
        <v>140.88844086021504</v>
      </c>
      <c r="F6" s="60">
        <v>139.59305555555557</v>
      </c>
      <c r="G6" s="60">
        <v>219.6935483870968</v>
      </c>
      <c r="H6" s="60">
        <v>258.53333222222227</v>
      </c>
      <c r="I6" s="60">
        <v>336.91397849462368</v>
      </c>
      <c r="J6" s="60">
        <v>459.18413978494618</v>
      </c>
      <c r="K6" s="60">
        <v>485.4681666666666</v>
      </c>
      <c r="L6" s="60">
        <v>472.53763440860212</v>
      </c>
      <c r="M6" s="60">
        <v>327.00972222222219</v>
      </c>
      <c r="N6" s="60">
        <v>281.70430107526886</v>
      </c>
      <c r="O6" s="60">
        <v>215.23333333333335</v>
      </c>
      <c r="Q6" s="61">
        <v>6.65</v>
      </c>
    </row>
    <row r="8" spans="1:17">
      <c r="C8" s="115" t="s">
        <v>54</v>
      </c>
      <c r="D8" s="115"/>
      <c r="E8" s="115"/>
      <c r="F8" s="115"/>
      <c r="G8" s="115"/>
      <c r="H8" s="115"/>
      <c r="I8" s="115"/>
      <c r="J8" s="115"/>
      <c r="K8" s="115"/>
      <c r="L8" s="115"/>
      <c r="M8" s="115"/>
      <c r="N8" s="115"/>
    </row>
    <row r="9" spans="1:17">
      <c r="B9" t="s">
        <v>6</v>
      </c>
      <c r="C9">
        <v>1</v>
      </c>
      <c r="D9">
        <v>2</v>
      </c>
      <c r="E9">
        <v>3</v>
      </c>
      <c r="F9">
        <v>4</v>
      </c>
      <c r="G9">
        <v>5</v>
      </c>
      <c r="H9">
        <v>6</v>
      </c>
      <c r="I9">
        <v>7</v>
      </c>
      <c r="J9">
        <v>8</v>
      </c>
      <c r="K9">
        <v>9</v>
      </c>
      <c r="L9">
        <v>10</v>
      </c>
      <c r="M9">
        <v>11</v>
      </c>
      <c r="N9">
        <v>12</v>
      </c>
      <c r="Q9" t="s">
        <v>55</v>
      </c>
    </row>
    <row r="10" spans="1:17">
      <c r="A10" t="s">
        <v>44</v>
      </c>
      <c r="B10">
        <v>1991</v>
      </c>
      <c r="C10" s="60">
        <f>IF(C4*24*3600*31/$Q$4/10^6&lt;$Q$10,C4*24*3600*31/$Q$4/10^6,$Q$10)</f>
        <v>18.760864864864867</v>
      </c>
      <c r="D10" s="60">
        <f>IF(D4*24*3600*28/$Q$4/10^6&lt;$Q$10,D4*24*3600*28/$Q$4/10^6,$Q$10)</f>
        <v>10.570378378378376</v>
      </c>
      <c r="E10" s="60">
        <f>IF(E4*24*3600*31/$Q$4/10^6&lt;$Q$10,E4*24*3600*31/$Q$4/10^6,$Q$10)</f>
        <v>9.1692972972972946</v>
      </c>
      <c r="F10" s="60">
        <f>IF(F4*24*3600*30/$Q$4/10^6&lt;$Q$10,F4*24*3600*30/$Q$4/10^6,$Q$10)</f>
        <v>7.9978378378378361</v>
      </c>
      <c r="G10" s="60">
        <f>IF(G4*24*3600*31/$Q$4/10^6&lt;$Q$10,G4*24*3600*31/$Q$4/10^6,$Q$10)</f>
        <v>12.276</v>
      </c>
      <c r="H10" s="60">
        <f>IF(H4*24*3600*30/$Q$4/10^6&lt;$Q$10,H4*24*3600*30/$Q$4/10^6,$Q$10)</f>
        <v>15.557837837837834</v>
      </c>
      <c r="I10" s="60">
        <f>IF(I4*24*3600*31/$Q$4/10^6&lt;$Q$10,I4*24*3600*31/$Q$4/10^6,$Q$10)</f>
        <v>26.331567567567561</v>
      </c>
      <c r="J10" s="60">
        <f>IF(J4*24*3600*30/$Q$4/10^6&lt;$Q$10,J4*24*3600*30/$Q$4/10^6,$Q$10)</f>
        <v>39.98918918918919</v>
      </c>
      <c r="K10" s="60">
        <f>IF(K4*24*3600*30/$Q$4/10^6&lt;$Q$10,K4*24*3600*30/$Q$4/10^6,$Q$10)</f>
        <v>51.956756756756754</v>
      </c>
      <c r="L10" s="60">
        <f>IF(L4*24*3600*31/$Q$4/10^6&lt;$Q$10,L4*24*3600*31/$Q$4/10^6,$Q$10)</f>
        <v>54.593513513513507</v>
      </c>
      <c r="M10" s="60">
        <f>IF(M4*24*3600*30/$Q$4/10^6&lt;$Q$10,M4*24*3600*30/$Q$4/10^6,$Q$10)</f>
        <v>23.76</v>
      </c>
      <c r="N10" s="60">
        <f>IF(N4*24*3600*31/$Q$4/10^6&lt;$Q$10,N4*24*3600*31/$Q$4/10^6,$Q$10)</f>
        <v>12.818918918918916</v>
      </c>
      <c r="O10" s="60">
        <f>SUM(C10:N10)</f>
        <v>283.78216216216219</v>
      </c>
      <c r="Q10">
        <v>61.07</v>
      </c>
    </row>
    <row r="11" spans="1:17">
      <c r="A11" t="s">
        <v>43</v>
      </c>
      <c r="B11" s="62">
        <v>2016</v>
      </c>
      <c r="C11" s="60">
        <f>IF(C5*24*3600*31/$Q$5/10^6&lt;$Q$11,C5*24*3600*31/$Q$5/10^6,$Q$11)</f>
        <v>47.252854923021822</v>
      </c>
      <c r="D11" s="60">
        <f>IF(D5*24*3600*28/$Q$5/10^6&lt;$Q$11,D5*24*3600*28/$Q$5/10^6,$Q$11)</f>
        <v>26.366941989456322</v>
      </c>
      <c r="E11" s="60">
        <f>IF(E5*24*3600*31/$Q$5/10^6&lt;$Q$11,E5*24*3600*31/$Q$5/10^6,$Q$11)</f>
        <v>30.781879341209997</v>
      </c>
      <c r="F11" s="60">
        <f>IF(F5*24*3600*30/$Q$5/10^6&lt;$Q$11,F5*24*3600*30/$Q$5/10^6,$Q$11)</f>
        <v>30.904020193340603</v>
      </c>
      <c r="G11" s="60">
        <f>IF(G5*24*3600*31/$Q$5/10^6&lt;$Q$11,G5*24*3600*31/$Q$5/10^6,$Q$11)</f>
        <v>38.77698990332955</v>
      </c>
      <c r="H11" s="60">
        <f>IF(H5*24*3600*30/$Q$5/10^6&lt;$Q$11,H5*24*3600*30/$Q$5/10^6,$Q$11)</f>
        <v>59.605547296813761</v>
      </c>
      <c r="I11" s="60">
        <f>IF(I5*24*3600*31/$Q$5/10^6&lt;$Q$11,I5*24*3600*31/$Q$5/10^6,$Q$11)</f>
        <v>96.635451271034611</v>
      </c>
      <c r="J11" s="60">
        <f>IF(J5*24*3600*31/$Q$5/10^6&lt;$Q$11,J5*24*3600*31/$Q$5/10^6,$Q$11)</f>
        <v>104.43868972431086</v>
      </c>
      <c r="K11" s="60">
        <f>IF(K5*24*3600*30/$Q$5/10^6&lt;$Q$11,K5*24*3600*30/$Q$5/10^6,$Q$11)</f>
        <v>80.508200501253185</v>
      </c>
      <c r="L11" s="60">
        <f>IF(L5*24*3600*31/$Q$5/10^6&lt;$Q$11,L5*24*3600*31/$Q$5/10^6,$Q$11)</f>
        <v>158.29413727175057</v>
      </c>
      <c r="M11" s="60">
        <f>IF(M5*24*3600*30/$Q$5/10^6&lt;$Q$11,M5*24*3600*30/$Q$5/10^6,$Q$11)</f>
        <v>189.61</v>
      </c>
      <c r="N11" s="60">
        <f>IF(N5*24*3600*31/$Q$5/10^6&lt;$Q$11,N5*24*3600*31/$Q$5/10^6,$Q$11)</f>
        <v>189.61</v>
      </c>
      <c r="O11" s="60">
        <f>SUM(C11:N11)</f>
        <v>1052.7847124155214</v>
      </c>
      <c r="Q11" s="60">
        <v>189.61</v>
      </c>
    </row>
    <row r="12" spans="1:17">
      <c r="A12" t="s">
        <v>45</v>
      </c>
      <c r="B12">
        <v>2022</v>
      </c>
      <c r="C12" s="60">
        <f>IF(C6*24*3600*31/$Q$6/10^6&lt;$Q$12,C6*24*3600*31/$Q$6/10^6,$Q$12)</f>
        <v>89.703338345864665</v>
      </c>
      <c r="D12" s="60">
        <f>IF(D6*24*3600*28/$Q$6/10^6&lt;$Q$12,D6*24*3600*28/$Q$6/10^6,$Q$12)</f>
        <v>51.377142857142871</v>
      </c>
      <c r="E12" s="60">
        <f>IF(E6*24*3600*31/$Q$6/10^6&lt;$Q$12,E6*24*3600*31/$Q$6/10^6,$Q$12)</f>
        <v>56.745203007518782</v>
      </c>
      <c r="F12" s="60">
        <f>IF(F6*24*3600*30/$Q$6/10^6&lt;$Q$12,F6*24*3600*30/$Q$6/10^6,$Q$12)</f>
        <v>54.409804511278189</v>
      </c>
      <c r="G12" s="60">
        <f>IF(G6*24*3600*31/$Q$6/10^6&lt;$Q$12,G6*24*3600*31/$Q$6/10^6,$Q$12)</f>
        <v>88.4852932330827</v>
      </c>
      <c r="H12" s="60">
        <f>IF(H6*24*3600*30/$Q$6/10^6&lt;$Q$12,H6*24*3600*30/$Q$6/10^6,$Q$12)</f>
        <v>100.76968377744362</v>
      </c>
      <c r="I12" s="60">
        <f>IF(I6*24*3600*31/$Q$6/10^6&lt;$Q$12,I6*24*3600*31/$Q$6/10^6,$Q$12)</f>
        <v>135.69780451127818</v>
      </c>
      <c r="J12" s="60">
        <f>IF(J6*24*3600*31/$Q$6/10^6&lt;$Q$12,J6*24*3600*31/$Q$6/10^6,$Q$12)</f>
        <v>154.08000000000001</v>
      </c>
      <c r="K12" s="60">
        <f>IF(K6*24*3600*30/$Q$6/10^6&lt;$Q$12,K6*24*3600*30/$Q$6/10^6,$Q$12)</f>
        <v>154.08000000000001</v>
      </c>
      <c r="L12" s="60">
        <f>IF(L6*24*3600*31/$Q$6/10^6&lt;$Q$12,L6*24*3600*31/$Q$6/10^6,$Q$12)</f>
        <v>154.08000000000001</v>
      </c>
      <c r="M12" s="60">
        <f>IF(M6*24*3600*30/$Q$6/10^6&lt;$Q$12,M6*24*3600*30/$Q$6/10^6,$Q$12)</f>
        <v>127.46003007518794</v>
      </c>
      <c r="N12" s="60">
        <f>IF(N6*24*3600*31/$Q$6/10^6&lt;$Q$12,N6*24*3600*31/$Q$6/10^6,$Q$12)</f>
        <v>113.46117293233083</v>
      </c>
      <c r="O12" s="60">
        <f>SUM(C12:N12)</f>
        <v>1280.3494732511278</v>
      </c>
      <c r="Q12">
        <v>154.08000000000001</v>
      </c>
    </row>
    <row r="13" spans="1:17">
      <c r="C13" s="60">
        <f t="shared" ref="C13:O13" si="0">SUM(C10:C12)</f>
        <v>155.71705813375135</v>
      </c>
      <c r="D13" s="60">
        <f t="shared" si="0"/>
        <v>88.314463224977573</v>
      </c>
      <c r="E13" s="60">
        <f t="shared" si="0"/>
        <v>96.696379646026074</v>
      </c>
      <c r="F13" s="60">
        <f t="shared" si="0"/>
        <v>93.311662542456631</v>
      </c>
      <c r="G13" s="60">
        <f t="shared" si="0"/>
        <v>139.53828313641225</v>
      </c>
      <c r="H13" s="60">
        <f t="shared" si="0"/>
        <v>175.93306891209522</v>
      </c>
      <c r="I13" s="60">
        <f t="shared" si="0"/>
        <v>258.66482334988035</v>
      </c>
      <c r="J13" s="60">
        <f t="shared" si="0"/>
        <v>298.50787891350006</v>
      </c>
      <c r="K13" s="60">
        <f t="shared" si="0"/>
        <v>286.54495725800996</v>
      </c>
      <c r="L13" s="60">
        <f t="shared" si="0"/>
        <v>366.96765078526408</v>
      </c>
      <c r="M13" s="60">
        <f t="shared" si="0"/>
        <v>340.83003007518795</v>
      </c>
      <c r="N13" s="60">
        <f t="shared" si="0"/>
        <v>315.89009185124974</v>
      </c>
      <c r="O13" s="76">
        <f t="shared" si="0"/>
        <v>2616.9163478288115</v>
      </c>
    </row>
    <row r="15" spans="1:17">
      <c r="C15" s="115" t="s">
        <v>56</v>
      </c>
      <c r="D15" s="115"/>
      <c r="E15" s="115"/>
      <c r="F15" s="115"/>
      <c r="G15" s="115"/>
      <c r="H15" s="115"/>
      <c r="I15" s="115"/>
      <c r="J15" s="115"/>
      <c r="K15" s="115"/>
      <c r="L15" s="115"/>
      <c r="M15" s="115"/>
      <c r="N15" s="115"/>
    </row>
    <row r="16" spans="1:17">
      <c r="B16" t="s">
        <v>6</v>
      </c>
      <c r="C16">
        <v>1</v>
      </c>
      <c r="D16">
        <v>2</v>
      </c>
      <c r="E16">
        <v>3</v>
      </c>
      <c r="F16">
        <v>4</v>
      </c>
      <c r="G16">
        <v>5</v>
      </c>
      <c r="H16">
        <v>6</v>
      </c>
      <c r="I16">
        <v>7</v>
      </c>
      <c r="J16">
        <v>8</v>
      </c>
      <c r="K16">
        <v>9</v>
      </c>
      <c r="L16">
        <v>10</v>
      </c>
      <c r="M16">
        <v>11</v>
      </c>
      <c r="N16">
        <v>12</v>
      </c>
      <c r="Q16" t="s">
        <v>57</v>
      </c>
    </row>
    <row r="17" spans="1:19">
      <c r="A17" t="s">
        <v>44</v>
      </c>
      <c r="B17">
        <v>1991</v>
      </c>
      <c r="C17" s="77">
        <f>IF(IF(C4&lt;$Q$17,$Q$17,C4)*24*3600*31/$Q$4/10^6&lt;$Q$10,IF(C4&lt;$Q$17,$Q$17,C4)*24*3600*31/$Q$4/10^6,$Q$10)</f>
        <v>18.760864864864867</v>
      </c>
      <c r="D17" s="77">
        <f>IF(IF(D4&lt;$Q$17,$Q$17,D4)*24*3600*28/$Q$4/10^6&lt;$Q$10,IF(D4&lt;$Q$17,$Q$17,D4)*24*3600*25/$Q$4/10^6,$Q$10)</f>
        <v>14.594594594594595</v>
      </c>
      <c r="E17" s="77">
        <f t="shared" ref="E17:I17" si="1">IF(IF(E4&lt;$Q$17,$Q$17,E4)*24*3600*31/$Q$4/10^6&lt;$Q$10,IF(E4&lt;$Q$17,$Q$17,E4)*24*3600*31/$Q$4/10^6,$Q$10)</f>
        <v>18.097297297297295</v>
      </c>
      <c r="F17" s="77">
        <f>IF(IF(F4&lt;$Q$17,$Q$17,F4)*24*3600*30/$Q$4/10^6&lt;$Q$10,IF(F4&lt;$Q$17,$Q$17,F4)*24*3600*30/$Q$4/10^6,$Q$10)</f>
        <v>17.513513513513512</v>
      </c>
      <c r="G17" s="77">
        <f t="shared" si="1"/>
        <v>18.097297297297295</v>
      </c>
      <c r="H17" s="77">
        <f>IF(IF(H4&lt;$Q$17,$Q$17,H4)*24*3600*30/$Q$4/10^6&lt;$Q$10,IF(H4&lt;$Q$17,$Q$17,H4)*24*3600*30/$Q$4/10^6,$Q$10)</f>
        <v>17.513513513513512</v>
      </c>
      <c r="I17" s="77">
        <f t="shared" si="1"/>
        <v>26.331567567567561</v>
      </c>
      <c r="J17" s="60">
        <f>IF(J11*24*3600*30/$Q$4/10^6&lt;$Q$10,J11*24*3600*30/$Q$4/10^6,$Q$10)</f>
        <v>30.484806730339386</v>
      </c>
      <c r="K17" s="60">
        <f>IF(K11*24*3600*30/$Q$4/10^6&lt;$Q$10,K11*24*3600*30/$Q$4/10^6,$Q$10)</f>
        <v>23.499690957122549</v>
      </c>
      <c r="L17" s="60">
        <f>IF(L11*24*3600*31/$Q$4/10^6&lt;$Q$10,L11*24*3600*31/$Q$4/10^6,$Q$10)</f>
        <v>47.744934377100982</v>
      </c>
      <c r="M17" s="60">
        <f>IF(M11*24*3600*30/$Q$4/10^6&lt;$Q$10,M11*24*3600*30/$Q$4/10^6,$Q$10)</f>
        <v>55.345621621621625</v>
      </c>
      <c r="N17" s="60">
        <f>IF(N11*24*3600*31/$Q$4/10^6&lt;$Q$10,N11*24*3600*31/$Q$4/10^6,$Q$10)</f>
        <v>57.190475675675678</v>
      </c>
      <c r="O17" s="60">
        <f>SUM(C17:N17)</f>
        <v>345.1741780105088</v>
      </c>
      <c r="Q17">
        <v>60</v>
      </c>
      <c r="S17">
        <f>IF(C4&lt;Q17,Q17,C4)</f>
        <v>62.2</v>
      </c>
    </row>
    <row r="18" spans="1:19">
      <c r="A18" t="s">
        <v>43</v>
      </c>
      <c r="B18" s="62">
        <v>2016</v>
      </c>
      <c r="C18" s="60">
        <f>C11</f>
        <v>47.252854923021822</v>
      </c>
      <c r="D18" s="60">
        <f t="shared" ref="D18:N18" si="2">D11</f>
        <v>26.366941989456322</v>
      </c>
      <c r="E18" s="60">
        <f t="shared" si="2"/>
        <v>30.781879341209997</v>
      </c>
      <c r="F18" s="60">
        <f t="shared" si="2"/>
        <v>30.904020193340603</v>
      </c>
      <c r="G18" s="60">
        <f t="shared" si="2"/>
        <v>38.77698990332955</v>
      </c>
      <c r="H18" s="60">
        <f t="shared" si="2"/>
        <v>59.605547296813761</v>
      </c>
      <c r="I18" s="60">
        <f t="shared" si="2"/>
        <v>96.635451271034611</v>
      </c>
      <c r="J18" s="60">
        <f t="shared" si="2"/>
        <v>104.43868972431086</v>
      </c>
      <c r="K18" s="60">
        <f t="shared" si="2"/>
        <v>80.508200501253185</v>
      </c>
      <c r="L18" s="60">
        <f t="shared" si="2"/>
        <v>158.29413727175057</v>
      </c>
      <c r="M18" s="60">
        <f t="shared" si="2"/>
        <v>189.61</v>
      </c>
      <c r="N18" s="60">
        <f t="shared" si="2"/>
        <v>189.61</v>
      </c>
      <c r="O18" s="60">
        <f>SUM(C18:N18)</f>
        <v>1052.7847124155214</v>
      </c>
      <c r="Q18" s="60"/>
    </row>
    <row r="19" spans="1:19">
      <c r="A19" t="s">
        <v>45</v>
      </c>
      <c r="B19">
        <v>2022</v>
      </c>
      <c r="C19" s="60">
        <f>C12</f>
        <v>89.703338345864665</v>
      </c>
      <c r="D19" s="60">
        <f t="shared" ref="D19:N19" si="3">D12</f>
        <v>51.377142857142871</v>
      </c>
      <c r="E19" s="60">
        <f t="shared" si="3"/>
        <v>56.745203007518782</v>
      </c>
      <c r="F19" s="60">
        <f t="shared" si="3"/>
        <v>54.409804511278189</v>
      </c>
      <c r="G19" s="60">
        <f t="shared" si="3"/>
        <v>88.4852932330827</v>
      </c>
      <c r="H19" s="60">
        <f t="shared" si="3"/>
        <v>100.76968377744362</v>
      </c>
      <c r="I19" s="60">
        <f t="shared" si="3"/>
        <v>135.69780451127818</v>
      </c>
      <c r="J19" s="60">
        <f t="shared" si="3"/>
        <v>154.08000000000001</v>
      </c>
      <c r="K19" s="60">
        <f t="shared" si="3"/>
        <v>154.08000000000001</v>
      </c>
      <c r="L19" s="60">
        <f t="shared" si="3"/>
        <v>154.08000000000001</v>
      </c>
      <c r="M19" s="60">
        <f t="shared" si="3"/>
        <v>127.46003007518794</v>
      </c>
      <c r="N19" s="60">
        <f t="shared" si="3"/>
        <v>113.46117293233083</v>
      </c>
      <c r="O19" s="60">
        <f>SUM(C19:N19)</f>
        <v>1280.3494732511278</v>
      </c>
    </row>
    <row r="20" spans="1:19">
      <c r="C20" s="60">
        <f t="shared" ref="C20:O20" si="4">SUM(C17:C19)</f>
        <v>155.71705813375135</v>
      </c>
      <c r="D20" s="60">
        <f t="shared" si="4"/>
        <v>92.33867944119379</v>
      </c>
      <c r="E20" s="60">
        <f t="shared" si="4"/>
        <v>105.62437964602607</v>
      </c>
      <c r="F20" s="60">
        <f t="shared" si="4"/>
        <v>102.8273382181323</v>
      </c>
      <c r="G20" s="60">
        <f t="shared" si="4"/>
        <v>145.35958043370954</v>
      </c>
      <c r="H20" s="60">
        <f t="shared" si="4"/>
        <v>177.88874458777087</v>
      </c>
      <c r="I20" s="60">
        <f t="shared" si="4"/>
        <v>258.66482334988035</v>
      </c>
      <c r="J20" s="60">
        <f t="shared" si="4"/>
        <v>289.0034964546503</v>
      </c>
      <c r="K20" s="60">
        <f t="shared" si="4"/>
        <v>258.08789145837574</v>
      </c>
      <c r="L20" s="60">
        <f t="shared" si="4"/>
        <v>360.11907164885156</v>
      </c>
      <c r="M20" s="60">
        <f t="shared" si="4"/>
        <v>372.41565169680962</v>
      </c>
      <c r="N20" s="60">
        <f t="shared" si="4"/>
        <v>360.26164860800651</v>
      </c>
      <c r="O20" s="76">
        <f t="shared" si="4"/>
        <v>2678.308363677158</v>
      </c>
    </row>
    <row r="22" spans="1:19">
      <c r="B22" s="115" t="s">
        <v>58</v>
      </c>
      <c r="C22" s="115"/>
      <c r="D22" s="115"/>
      <c r="E22" s="115"/>
      <c r="F22" s="115"/>
      <c r="G22" s="115"/>
      <c r="H22" s="115"/>
      <c r="I22" s="115"/>
      <c r="J22" s="115"/>
      <c r="K22" s="115"/>
      <c r="L22" s="115"/>
      <c r="M22" s="115"/>
      <c r="N22" s="115"/>
      <c r="O22" s="115"/>
    </row>
    <row r="23" spans="1:19" ht="15.75" thickBot="1">
      <c r="B23" t="s">
        <v>6</v>
      </c>
      <c r="C23">
        <v>1</v>
      </c>
      <c r="D23">
        <v>2</v>
      </c>
      <c r="E23">
        <v>3</v>
      </c>
      <c r="F23">
        <v>4</v>
      </c>
      <c r="G23">
        <v>5</v>
      </c>
      <c r="H23">
        <v>6</v>
      </c>
      <c r="I23">
        <v>7</v>
      </c>
      <c r="J23">
        <v>8</v>
      </c>
      <c r="K23">
        <v>9</v>
      </c>
      <c r="L23">
        <v>10</v>
      </c>
      <c r="M23">
        <v>11</v>
      </c>
      <c r="N23">
        <v>12</v>
      </c>
    </row>
    <row r="24" spans="1:19">
      <c r="A24" t="s">
        <v>44</v>
      </c>
      <c r="B24">
        <v>1991</v>
      </c>
      <c r="C24" s="68">
        <v>22.82</v>
      </c>
      <c r="D24" s="69">
        <v>21.43</v>
      </c>
      <c r="E24" s="70">
        <v>23.509354399999999</v>
      </c>
      <c r="F24" s="60">
        <f>AVERAGE(C24:E24)</f>
        <v>22.58645146666667</v>
      </c>
      <c r="G24" s="60">
        <f>F24</f>
        <v>22.58645146666667</v>
      </c>
      <c r="H24" s="60">
        <f t="shared" ref="H24:I24" si="5">G24</f>
        <v>22.58645146666667</v>
      </c>
      <c r="I24" s="60">
        <f t="shared" si="5"/>
        <v>22.58645146666667</v>
      </c>
      <c r="J24" s="60">
        <v>39.98918918918919</v>
      </c>
      <c r="K24" s="60">
        <v>51.956756756756754</v>
      </c>
      <c r="L24" s="60">
        <v>54.593513513513507</v>
      </c>
      <c r="M24" s="60">
        <v>23.76</v>
      </c>
      <c r="N24" s="60">
        <v>12.818918918918916</v>
      </c>
      <c r="O24" s="60">
        <f>SUM(C24:N24)</f>
        <v>341.2235386450451</v>
      </c>
    </row>
    <row r="25" spans="1:19">
      <c r="A25" t="s">
        <v>43</v>
      </c>
      <c r="B25" s="62">
        <v>2016</v>
      </c>
      <c r="C25" s="71">
        <v>112.12</v>
      </c>
      <c r="D25" s="64">
        <v>57.95</v>
      </c>
      <c r="E25" s="72">
        <v>63.468082199999998</v>
      </c>
      <c r="F25" s="60">
        <v>30.904020193340603</v>
      </c>
      <c r="G25" s="60">
        <v>38.77698990332955</v>
      </c>
      <c r="H25" s="60">
        <v>59.605547296813761</v>
      </c>
      <c r="I25" s="60">
        <v>96.635451271034611</v>
      </c>
      <c r="J25" s="60">
        <v>104.43868972431086</v>
      </c>
      <c r="K25" s="60">
        <v>80.508200501253185</v>
      </c>
      <c r="L25" s="60">
        <v>158.29413727175057</v>
      </c>
      <c r="M25" s="60">
        <v>189.61</v>
      </c>
      <c r="N25" s="60">
        <v>189.61</v>
      </c>
      <c r="O25" s="60">
        <f>SUM(C25:N25)</f>
        <v>1181.9211183618331</v>
      </c>
    </row>
    <row r="26" spans="1:19">
      <c r="A26" t="s">
        <v>45</v>
      </c>
      <c r="B26">
        <v>2022</v>
      </c>
      <c r="C26" s="71">
        <v>77.61</v>
      </c>
      <c r="D26" s="64">
        <v>43.61</v>
      </c>
      <c r="E26" s="72">
        <v>48.613678100000001</v>
      </c>
      <c r="F26" s="60">
        <v>54.409804511278189</v>
      </c>
      <c r="G26" s="60">
        <v>88.4852932330827</v>
      </c>
      <c r="H26" s="60">
        <v>100.76968377744362</v>
      </c>
      <c r="I26" s="60">
        <v>135.69780451127818</v>
      </c>
      <c r="J26" s="60">
        <v>154.08000000000001</v>
      </c>
      <c r="K26" s="60">
        <v>154.08000000000001</v>
      </c>
      <c r="L26" s="60">
        <v>154.08000000000001</v>
      </c>
      <c r="M26" s="60">
        <v>127.46003007518794</v>
      </c>
      <c r="N26" s="60">
        <v>113.46117293233083</v>
      </c>
      <c r="O26" s="60">
        <f>SUM(C26:N26)</f>
        <v>1252.3574671406016</v>
      </c>
    </row>
    <row r="27" spans="1:19" ht="15.75" thickBot="1">
      <c r="C27" s="73">
        <f>SUM(C24:C26)</f>
        <v>212.55</v>
      </c>
      <c r="D27" s="74">
        <f>SUM(D24:D26)</f>
        <v>122.99</v>
      </c>
      <c r="E27" s="75">
        <f>SUM(E24:E26)</f>
        <v>135.59111469999999</v>
      </c>
      <c r="F27" s="60">
        <f>SUM(F24:F26)</f>
        <v>107.90027617128547</v>
      </c>
      <c r="G27" s="60">
        <f t="shared" ref="G27:N27" si="6">SUM(G24:G26)</f>
        <v>149.84873460307892</v>
      </c>
      <c r="H27" s="60">
        <f t="shared" si="6"/>
        <v>182.96168254092404</v>
      </c>
      <c r="I27" s="60">
        <f t="shared" si="6"/>
        <v>254.91970724897948</v>
      </c>
      <c r="J27" s="60">
        <f t="shared" si="6"/>
        <v>298.50787891350006</v>
      </c>
      <c r="K27" s="60">
        <f t="shared" si="6"/>
        <v>286.54495725800996</v>
      </c>
      <c r="L27" s="60">
        <f t="shared" si="6"/>
        <v>366.96765078526408</v>
      </c>
      <c r="M27" s="60">
        <f t="shared" si="6"/>
        <v>340.83003007518795</v>
      </c>
      <c r="N27" s="60">
        <f t="shared" si="6"/>
        <v>315.89009185124974</v>
      </c>
      <c r="O27" s="66">
        <f>SUM(C27:N27)</f>
        <v>2775.5021241474797</v>
      </c>
    </row>
  </sheetData>
  <mergeCells count="4">
    <mergeCell ref="C2:N2"/>
    <mergeCell ref="C8:N8"/>
    <mergeCell ref="B22:O22"/>
    <mergeCell ref="C15:N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4DE0-7CB6-4BB5-B462-779A1DA7538C}">
  <dimension ref="A1:S27"/>
  <sheetViews>
    <sheetView topLeftCell="A4" workbookViewId="0">
      <selection activeCell="A14" sqref="A14:XFD20"/>
    </sheetView>
  </sheetViews>
  <sheetFormatPr defaultRowHeight="15"/>
  <cols>
    <col min="1" max="1" width="13.5703125" bestFit="1" customWidth="1"/>
    <col min="2" max="2" width="11.5703125" bestFit="1" customWidth="1"/>
    <col min="3" max="3" width="10.5703125" bestFit="1" customWidth="1"/>
    <col min="4" max="7" width="9.7109375" bestFit="1" customWidth="1"/>
    <col min="8" max="8" width="10.5703125" bestFit="1" customWidth="1"/>
    <col min="9" max="15" width="10.7109375" bestFit="1" customWidth="1"/>
  </cols>
  <sheetData>
    <row r="1" spans="1:17">
      <c r="A1" t="s">
        <v>59</v>
      </c>
    </row>
    <row r="2" spans="1:17">
      <c r="C2" s="115" t="s">
        <v>51</v>
      </c>
      <c r="D2" s="115"/>
      <c r="E2" s="115"/>
      <c r="F2" s="115"/>
      <c r="G2" s="115"/>
      <c r="H2" s="115"/>
      <c r="I2" s="115"/>
      <c r="J2" s="115"/>
      <c r="K2" s="115"/>
      <c r="L2" s="115"/>
      <c r="M2" s="115"/>
      <c r="N2" s="115"/>
    </row>
    <row r="3" spans="1:17">
      <c r="B3" t="s">
        <v>6</v>
      </c>
      <c r="C3">
        <v>1</v>
      </c>
      <c r="D3">
        <v>2</v>
      </c>
      <c r="E3">
        <v>3</v>
      </c>
      <c r="F3">
        <v>4</v>
      </c>
      <c r="G3">
        <v>5</v>
      </c>
      <c r="H3">
        <v>6</v>
      </c>
      <c r="I3">
        <v>7</v>
      </c>
      <c r="J3">
        <v>8</v>
      </c>
      <c r="K3">
        <v>9</v>
      </c>
      <c r="L3">
        <v>10</v>
      </c>
      <c r="M3">
        <v>11</v>
      </c>
      <c r="N3">
        <v>12</v>
      </c>
      <c r="O3" s="63" t="s">
        <v>52</v>
      </c>
      <c r="Q3" t="s">
        <v>53</v>
      </c>
    </row>
    <row r="4" spans="1:17">
      <c r="A4" t="s">
        <v>44</v>
      </c>
      <c r="B4">
        <v>2006</v>
      </c>
      <c r="C4">
        <v>55.1</v>
      </c>
      <c r="D4">
        <v>41.1</v>
      </c>
      <c r="E4">
        <v>35.200000000000003</v>
      </c>
      <c r="F4">
        <v>36.200000000000003</v>
      </c>
      <c r="G4">
        <v>40</v>
      </c>
      <c r="H4">
        <v>47.8</v>
      </c>
      <c r="I4">
        <v>109</v>
      </c>
      <c r="J4">
        <v>201</v>
      </c>
      <c r="K4">
        <v>164</v>
      </c>
      <c r="L4">
        <v>230</v>
      </c>
      <c r="M4">
        <v>70.5</v>
      </c>
      <c r="N4">
        <v>51.5</v>
      </c>
      <c r="O4" s="60">
        <v>120.20833333333333</v>
      </c>
      <c r="Q4">
        <v>8.8800000000000008</v>
      </c>
    </row>
    <row r="5" spans="1:17">
      <c r="A5" t="s">
        <v>43</v>
      </c>
      <c r="B5" s="62">
        <v>2018</v>
      </c>
      <c r="C5" s="60">
        <v>195.88533986175187</v>
      </c>
      <c r="D5" s="60">
        <v>110.09903698979635</v>
      </c>
      <c r="E5" s="60">
        <v>109.62334672532553</v>
      </c>
      <c r="F5" s="60">
        <v>100.19695827360036</v>
      </c>
      <c r="G5" s="60">
        <v>88.834882765830486</v>
      </c>
      <c r="H5" s="60">
        <v>116.48197333478716</v>
      </c>
      <c r="I5" s="60">
        <v>182.10580965181762</v>
      </c>
      <c r="J5" s="60">
        <v>220.81792552056689</v>
      </c>
      <c r="K5" s="60">
        <v>307.06589825837744</v>
      </c>
      <c r="L5" s="60">
        <v>224.2887607740231</v>
      </c>
      <c r="M5" s="60">
        <v>142.88117504409132</v>
      </c>
      <c r="N5" s="60">
        <v>177.05547427035367</v>
      </c>
      <c r="O5" s="60">
        <v>163.32383911801011</v>
      </c>
      <c r="Q5" s="61">
        <v>3.99</v>
      </c>
    </row>
    <row r="6" spans="1:17">
      <c r="A6" t="s">
        <v>45</v>
      </c>
      <c r="B6">
        <v>2021</v>
      </c>
      <c r="C6" s="60">
        <v>205.91397849462371</v>
      </c>
      <c r="D6" s="60">
        <v>128.62499999999997</v>
      </c>
      <c r="E6" s="60">
        <v>113.03494623655912</v>
      </c>
      <c r="F6" s="60">
        <v>95.518055555555563</v>
      </c>
      <c r="G6" s="60">
        <v>102.0739247311828</v>
      </c>
      <c r="H6" s="60">
        <v>103.44444444444444</v>
      </c>
      <c r="I6" s="60">
        <v>157.18408602150538</v>
      </c>
      <c r="J6" s="60">
        <v>173.92204301075265</v>
      </c>
      <c r="K6" s="60">
        <v>375.68194444444447</v>
      </c>
      <c r="L6" s="60">
        <v>520.12940860215065</v>
      </c>
      <c r="M6" s="60">
        <v>619.40972222222217</v>
      </c>
      <c r="N6" s="60">
        <v>493.87096774193554</v>
      </c>
      <c r="O6" s="60">
        <v>215.23333333333335</v>
      </c>
      <c r="Q6" s="61">
        <v>6.65</v>
      </c>
    </row>
    <row r="8" spans="1:17">
      <c r="C8" s="115" t="s">
        <v>54</v>
      </c>
      <c r="D8" s="115"/>
      <c r="E8" s="115"/>
      <c r="F8" s="115"/>
      <c r="G8" s="115"/>
      <c r="H8" s="115"/>
      <c r="I8" s="115"/>
      <c r="J8" s="115"/>
      <c r="K8" s="115"/>
      <c r="L8" s="115"/>
      <c r="M8" s="115"/>
      <c r="N8" s="115"/>
    </row>
    <row r="9" spans="1:17">
      <c r="B9" t="s">
        <v>6</v>
      </c>
      <c r="C9">
        <v>1</v>
      </c>
      <c r="D9">
        <v>2</v>
      </c>
      <c r="E9">
        <v>3</v>
      </c>
      <c r="F9">
        <v>4</v>
      </c>
      <c r="G9">
        <v>5</v>
      </c>
      <c r="H9">
        <v>6</v>
      </c>
      <c r="I9">
        <v>7</v>
      </c>
      <c r="J9">
        <v>8</v>
      </c>
      <c r="K9">
        <v>9</v>
      </c>
      <c r="L9">
        <v>10</v>
      </c>
      <c r="M9">
        <v>11</v>
      </c>
      <c r="N9">
        <v>12</v>
      </c>
      <c r="Q9" t="s">
        <v>55</v>
      </c>
    </row>
    <row r="10" spans="1:17">
      <c r="A10" t="s">
        <v>44</v>
      </c>
      <c r="B10">
        <v>2006</v>
      </c>
      <c r="C10" s="60">
        <f>IF(C4*24*3600*31/$Q$4/10^6&lt;$Q$10,C4*24*3600*31/$Q$4/10^6,$Q$10)</f>
        <v>16.619351351351352</v>
      </c>
      <c r="D10" s="60">
        <f>IF(D4*24*3600*28/$Q$4/10^6&lt;$Q$10,D4*24*3600*28/$Q$4/10^6,$Q$10)</f>
        <v>11.196972972972974</v>
      </c>
      <c r="E10" s="60">
        <f>IF(E4*24*3600*31/$Q$4/10^6&lt;$Q$10,E4*24*3600*31/$Q$4/10^6,$Q$10)</f>
        <v>10.617081081081082</v>
      </c>
      <c r="F10" s="60">
        <f>IF(F4*24*3600*30/$Q$4/10^6&lt;$Q$10,F4*24*3600*30/$Q$4/10^6,$Q$10)</f>
        <v>10.566486486486488</v>
      </c>
      <c r="G10" s="60">
        <f t="shared" ref="G10:N10" si="0">IF(G4*24*3600*31/$Q$4/10^6&lt;$Q$10,G4*24*3600*31/$Q$4/10^6,$Q$10)</f>
        <v>12.064864864864864</v>
      </c>
      <c r="H10" s="60">
        <f>IF(H4*24*3600*30/$Q$4/10^6&lt;$Q$10,H4*24*3600*30/$Q$4/10^6,$Q$10)</f>
        <v>13.952432432432429</v>
      </c>
      <c r="I10" s="60">
        <f t="shared" si="0"/>
        <v>32.876756756756755</v>
      </c>
      <c r="J10" s="60">
        <f>IF(J4*24*3600*30/$Q$4/10^6&lt;$Q$10,J4*24*3600*30/$Q$4/10^6,$Q$10)</f>
        <v>58.670270270270265</v>
      </c>
      <c r="K10" s="60">
        <f>IF(K4*24*3600*30/$Q$4/10^6&lt;$Q$10,K4*24*3600*30/$Q$4/10^6,$Q$10)</f>
        <v>47.870270270270268</v>
      </c>
      <c r="L10" s="60">
        <f t="shared" si="0"/>
        <v>61.07</v>
      </c>
      <c r="M10" s="60">
        <f>IF(M4*24*3600*30/$Q$4/10^6&lt;$Q$10,M4*24*3600*30/$Q$4/10^6,$Q$10)</f>
        <v>20.578378378378375</v>
      </c>
      <c r="N10" s="60">
        <f t="shared" si="0"/>
        <v>15.533513513513514</v>
      </c>
      <c r="O10" s="60">
        <f>SUM(C10:N10)</f>
        <v>311.61637837837839</v>
      </c>
      <c r="Q10">
        <v>61.07</v>
      </c>
    </row>
    <row r="11" spans="1:17">
      <c r="A11" t="s">
        <v>43</v>
      </c>
      <c r="B11" s="62">
        <v>2018</v>
      </c>
      <c r="C11" s="60">
        <f>IF(C5*24*3600*31/$Q$5/10^6&lt;$Q$11,C5*24*3600*31/$Q$5/10^6,$Q$11)</f>
        <v>131.49355746509178</v>
      </c>
      <c r="D11" s="60">
        <f>IF(D5*24*3600*28/$Q$5/10^6&lt;$Q$11,D5*24*3600*28/$Q$5/10^6,$Q$11)</f>
        <v>66.754784532760738</v>
      </c>
      <c r="E11" s="60">
        <f t="shared" ref="E11:N11" si="1">IF(E5*24*3600*31/$Q$5/10^6&lt;$Q$11,E5*24*3600*31/$Q$5/10^6,$Q$11)</f>
        <v>73.587762373210992</v>
      </c>
      <c r="F11" s="60">
        <f>IF(F5*24*3600*30/$Q$5/10^6&lt;$Q$11,F5*24*3600*30/$Q$5/10^6,$Q$11)</f>
        <v>65.090354848414066</v>
      </c>
      <c r="G11" s="60">
        <f t="shared" si="1"/>
        <v>59.63291979949885</v>
      </c>
      <c r="H11" s="60">
        <f>IF(H5*24*3600*30/$Q$5/10^6&lt;$Q$11,H5*24*3600*30/$Q$5/10^6,$Q$11)</f>
        <v>75.669492452072262</v>
      </c>
      <c r="I11" s="60">
        <f t="shared" si="1"/>
        <v>122.2436592910848</v>
      </c>
      <c r="J11" s="60">
        <f t="shared" si="1"/>
        <v>148.23025857500912</v>
      </c>
      <c r="K11" s="60">
        <f>IF(K5*24*3600*30/$Q$5/10^6&lt;$Q$11,K5*24*3600*30/$Q$5/10^6,$Q$11)</f>
        <v>189.61</v>
      </c>
      <c r="L11" s="60">
        <f t="shared" si="1"/>
        <v>150.56015460078785</v>
      </c>
      <c r="M11" s="60">
        <f>IF(M5*24*3600*30/$Q$5/10^6&lt;$Q$11,M5*24*3600*30/$Q$5/10^6,$Q$11)</f>
        <v>92.819049051199173</v>
      </c>
      <c r="N11" s="60">
        <f t="shared" si="1"/>
        <v>118.85347926960281</v>
      </c>
      <c r="O11" s="60">
        <f t="shared" ref="O11:O12" si="2">SUM(C11:N11)</f>
        <v>1294.5454722587324</v>
      </c>
      <c r="Q11" s="60">
        <v>189.61</v>
      </c>
    </row>
    <row r="12" spans="1:17">
      <c r="A12" t="s">
        <v>45</v>
      </c>
      <c r="B12">
        <v>2021</v>
      </c>
      <c r="C12" s="60">
        <f>IF(C6*24*3600*31/$Q$6/10^6&lt;$Q$12,C6*24*3600*31/$Q$6/10^6,$Q$12)</f>
        <v>82.935338345864665</v>
      </c>
      <c r="D12" s="60">
        <f>IF(D6*24*3600*28/$Q$6/10^6&lt;$Q$12,D6*24*3600*28/$Q$6/10^6,$Q$12)</f>
        <v>46.79242105263156</v>
      </c>
      <c r="E12" s="60">
        <f t="shared" ref="E12:N12" si="3">IF(E6*24*3600*31/$Q$6/10^6&lt;$Q$12,E6*24*3600*31/$Q$6/10^6,$Q$12)</f>
        <v>45.526736842105258</v>
      </c>
      <c r="F12" s="60">
        <f>IF(F6*24*3600*30/$Q$6/10^6&lt;$Q$12,F6*24*3600*30/$Q$6/10^6,$Q$12)</f>
        <v>37.230496240601504</v>
      </c>
      <c r="G12" s="60">
        <f t="shared" si="3"/>
        <v>41.112000000000002</v>
      </c>
      <c r="H12" s="60">
        <f>IF(H6*24*3600*30/$Q$6/10^6&lt;$Q$12,H6*24*3600*30/$Q$6/10^6,$Q$12)</f>
        <v>40.32</v>
      </c>
      <c r="I12" s="60">
        <f t="shared" si="3"/>
        <v>63.308549774436088</v>
      </c>
      <c r="J12" s="60">
        <f t="shared" si="3"/>
        <v>70.05004511278193</v>
      </c>
      <c r="K12" s="60">
        <f>IF(K6*24*3600*30/$Q$6/10^6&lt;$Q$12,K6*24*3600*30/$Q$6/10^6,$Q$12)</f>
        <v>146.43121804511279</v>
      </c>
      <c r="L12" s="60">
        <f t="shared" si="3"/>
        <v>154.08000000000001</v>
      </c>
      <c r="M12" s="60">
        <f>IF(M6*24*3600*30/$Q$6/10^6&lt;$Q$12,M6*24*3600*30/$Q$6/10^6,$Q$12)</f>
        <v>154.08000000000001</v>
      </c>
      <c r="N12" s="60">
        <f t="shared" si="3"/>
        <v>154.08000000000001</v>
      </c>
      <c r="O12" s="60">
        <f t="shared" si="2"/>
        <v>1035.9468054135339</v>
      </c>
      <c r="Q12">
        <v>154.08000000000001</v>
      </c>
    </row>
    <row r="13" spans="1:17">
      <c r="C13" s="60">
        <f>SUM(C10:C12)</f>
        <v>231.0482471623078</v>
      </c>
      <c r="D13" s="60">
        <f t="shared" ref="D13:O13" si="4">SUM(D10:D12)</f>
        <v>124.74417855836526</v>
      </c>
      <c r="E13" s="60">
        <f t="shared" si="4"/>
        <v>129.73158029639734</v>
      </c>
      <c r="F13" s="60">
        <f t="shared" si="4"/>
        <v>112.88733757550204</v>
      </c>
      <c r="G13" s="60">
        <f t="shared" si="4"/>
        <v>112.80978466436372</v>
      </c>
      <c r="H13" s="60">
        <f t="shared" si="4"/>
        <v>129.94192488450469</v>
      </c>
      <c r="I13" s="60">
        <f t="shared" si="4"/>
        <v>218.42896582227763</v>
      </c>
      <c r="J13" s="60">
        <f t="shared" si="4"/>
        <v>276.95057395806134</v>
      </c>
      <c r="K13" s="60">
        <f t="shared" si="4"/>
        <v>383.91148831538305</v>
      </c>
      <c r="L13" s="60">
        <f t="shared" si="4"/>
        <v>365.71015460078786</v>
      </c>
      <c r="M13" s="60">
        <f t="shared" si="4"/>
        <v>267.47742742957757</v>
      </c>
      <c r="N13" s="60">
        <f t="shared" si="4"/>
        <v>288.46699278311632</v>
      </c>
      <c r="O13" s="65">
        <f t="shared" si="4"/>
        <v>2642.1086560506446</v>
      </c>
    </row>
    <row r="14" spans="1:17">
      <c r="C14" s="60"/>
      <c r="D14" s="60"/>
      <c r="E14" s="60"/>
      <c r="F14" s="60"/>
      <c r="G14" s="60"/>
      <c r="H14" s="60"/>
      <c r="I14" s="60"/>
      <c r="J14" s="60"/>
      <c r="K14" s="60"/>
      <c r="L14" s="60"/>
      <c r="M14" s="60"/>
      <c r="N14" s="60"/>
      <c r="O14" s="65"/>
    </row>
    <row r="15" spans="1:17">
      <c r="C15" s="115" t="s">
        <v>56</v>
      </c>
      <c r="D15" s="115"/>
      <c r="E15" s="115"/>
      <c r="F15" s="115"/>
      <c r="G15" s="115"/>
      <c r="H15" s="115"/>
      <c r="I15" s="115"/>
      <c r="J15" s="115"/>
      <c r="K15" s="115"/>
      <c r="L15" s="115"/>
      <c r="M15" s="115"/>
      <c r="N15" s="115"/>
    </row>
    <row r="16" spans="1:17">
      <c r="B16" t="s">
        <v>6</v>
      </c>
      <c r="C16">
        <v>1</v>
      </c>
      <c r="D16">
        <v>2</v>
      </c>
      <c r="E16">
        <v>3</v>
      </c>
      <c r="F16">
        <v>4</v>
      </c>
      <c r="G16">
        <v>5</v>
      </c>
      <c r="H16">
        <v>6</v>
      </c>
      <c r="I16">
        <v>7</v>
      </c>
      <c r="J16">
        <v>8</v>
      </c>
      <c r="K16">
        <v>9</v>
      </c>
      <c r="L16">
        <v>10</v>
      </c>
      <c r="M16">
        <v>11</v>
      </c>
      <c r="N16">
        <v>12</v>
      </c>
      <c r="Q16" t="s">
        <v>57</v>
      </c>
    </row>
    <row r="17" spans="1:19">
      <c r="A17" t="s">
        <v>44</v>
      </c>
      <c r="B17">
        <v>2006</v>
      </c>
      <c r="C17" s="77">
        <f>IF(IF(C4&lt;$Q$17,$Q$17,C4)*24*3600*31/$Q$4/10^6&lt;$Q$10,IF(C4&lt;$Q$17,$Q$17,C4)*24*3600*31/$Q$4/10^6,$Q$10)</f>
        <v>18.097297297297295</v>
      </c>
      <c r="D17" s="77">
        <f>IF(IF(D4&lt;$Q$17,$Q$17,D4)*24*3600*28/$Q$4/10^6&lt;$Q$10,IF(D4&lt;$Q$17,$Q$17,D4)*24*3600*28/$Q$4/10^6,$Q$10)</f>
        <v>16.345945945945946</v>
      </c>
      <c r="E17" s="77">
        <f t="shared" ref="E17:I17" si="5">IF(IF(E4&lt;$Q$17,$Q$17,E4)*24*3600*31/$Q$4/10^6&lt;$Q$10,IF(E4&lt;$Q$17,$Q$17,E4)*24*3600*31/$Q$4/10^6,$Q$10)</f>
        <v>18.097297297297295</v>
      </c>
      <c r="F17" s="77">
        <f>IF(IF(F4&lt;$Q$17,$Q$17,F4)*24*3600*30/$Q$4/10^6&lt;$Q$10,IF(F4&lt;$Q$17,$Q$17,F4)*24*3600*30/$Q$4/10^6,$Q$10)</f>
        <v>17.513513513513512</v>
      </c>
      <c r="G17" s="77">
        <f t="shared" si="5"/>
        <v>18.097297297297295</v>
      </c>
      <c r="H17" s="77">
        <f>IF(IF(H4&lt;$Q$17,$Q$17,H4)*24*3600*30/$Q$4/10^6&lt;$Q$10,IF(H4&lt;$Q$17,$Q$17,H4)*24*3600*30/$Q$4/10^6,$Q$10)</f>
        <v>17.513513513513512</v>
      </c>
      <c r="I17" s="77">
        <f t="shared" si="5"/>
        <v>32.876756756756755</v>
      </c>
      <c r="J17" s="60">
        <f>IF(J4*24*3600*31/$Q$4/10^6&lt;$Q$10,J4*24*3600*31/$Q$4/10^6,$Q$10)</f>
        <v>60.625945945945944</v>
      </c>
      <c r="K17" s="60">
        <f t="shared" ref="K17:M17" si="6">IF(K4*24*3600*30/$Q$4/10^6&lt;$Q$10,K4*24*3600*30/$Q$4/10^6,$Q$10)</f>
        <v>47.870270270270268</v>
      </c>
      <c r="L17" s="60">
        <f>IF(L4*24*3600*31/$Q$4/10^6&lt;$Q$10,L4*24*3600*31/$Q$4/10^6,$Q$10)</f>
        <v>61.07</v>
      </c>
      <c r="M17" s="60">
        <f t="shared" si="6"/>
        <v>20.578378378378375</v>
      </c>
      <c r="N17" s="60">
        <f>IF(N4*24*3600*31/$Q$4/10^6&lt;$Q$10,N4*24*3600*31/$Q$4/10^6,$Q$10)</f>
        <v>15.533513513513514</v>
      </c>
      <c r="O17" s="60">
        <f>SUM(C17:N17)</f>
        <v>344.21972972972969</v>
      </c>
      <c r="Q17">
        <v>60</v>
      </c>
      <c r="S17">
        <f>IF(C3&lt;Q17,Q17,C3)</f>
        <v>60</v>
      </c>
    </row>
    <row r="18" spans="1:19">
      <c r="A18" t="s">
        <v>43</v>
      </c>
      <c r="B18" s="62">
        <v>2018</v>
      </c>
      <c r="C18" s="60">
        <f>C11</f>
        <v>131.49355746509178</v>
      </c>
      <c r="D18" s="60">
        <f t="shared" ref="D18:N18" si="7">D11</f>
        <v>66.754784532760738</v>
      </c>
      <c r="E18" s="60">
        <f t="shared" si="7"/>
        <v>73.587762373210992</v>
      </c>
      <c r="F18" s="60">
        <f t="shared" si="7"/>
        <v>65.090354848414066</v>
      </c>
      <c r="G18" s="60">
        <f t="shared" si="7"/>
        <v>59.63291979949885</v>
      </c>
      <c r="H18" s="60">
        <f t="shared" si="7"/>
        <v>75.669492452072262</v>
      </c>
      <c r="I18" s="60">
        <f t="shared" si="7"/>
        <v>122.2436592910848</v>
      </c>
      <c r="J18" s="60">
        <f t="shared" si="7"/>
        <v>148.23025857500912</v>
      </c>
      <c r="K18" s="60">
        <f t="shared" si="7"/>
        <v>189.61</v>
      </c>
      <c r="L18" s="60">
        <f t="shared" si="7"/>
        <v>150.56015460078785</v>
      </c>
      <c r="M18" s="60">
        <f t="shared" si="7"/>
        <v>92.819049051199173</v>
      </c>
      <c r="N18" s="60">
        <f t="shared" si="7"/>
        <v>118.85347926960281</v>
      </c>
      <c r="O18" s="60">
        <f>SUM(C18:N18)</f>
        <v>1294.5454722587324</v>
      </c>
      <c r="Q18" s="60"/>
    </row>
    <row r="19" spans="1:19">
      <c r="A19" t="s">
        <v>45</v>
      </c>
      <c r="B19">
        <v>2021</v>
      </c>
      <c r="C19" s="60">
        <f>C12</f>
        <v>82.935338345864665</v>
      </c>
      <c r="D19" s="60">
        <f t="shared" ref="D19:N19" si="8">D12</f>
        <v>46.79242105263156</v>
      </c>
      <c r="E19" s="60">
        <f t="shared" si="8"/>
        <v>45.526736842105258</v>
      </c>
      <c r="F19" s="60">
        <f t="shared" si="8"/>
        <v>37.230496240601504</v>
      </c>
      <c r="G19" s="60">
        <f t="shared" si="8"/>
        <v>41.112000000000002</v>
      </c>
      <c r="H19" s="60">
        <f t="shared" si="8"/>
        <v>40.32</v>
      </c>
      <c r="I19" s="60">
        <f t="shared" si="8"/>
        <v>63.308549774436088</v>
      </c>
      <c r="J19" s="60">
        <f t="shared" si="8"/>
        <v>70.05004511278193</v>
      </c>
      <c r="K19" s="60">
        <f t="shared" si="8"/>
        <v>146.43121804511279</v>
      </c>
      <c r="L19" s="60">
        <f t="shared" si="8"/>
        <v>154.08000000000001</v>
      </c>
      <c r="M19" s="60">
        <f t="shared" si="8"/>
        <v>154.08000000000001</v>
      </c>
      <c r="N19" s="60">
        <f t="shared" si="8"/>
        <v>154.08000000000001</v>
      </c>
      <c r="O19" s="60">
        <f>SUM(C19:N19)</f>
        <v>1035.9468054135339</v>
      </c>
    </row>
    <row r="20" spans="1:19">
      <c r="C20" s="60">
        <f t="shared" ref="C20:O20" si="9">SUM(C17:C19)</f>
        <v>232.52619310825375</v>
      </c>
      <c r="D20" s="60">
        <f t="shared" si="9"/>
        <v>129.89315153133825</v>
      </c>
      <c r="E20" s="60">
        <f t="shared" si="9"/>
        <v>137.21179651261355</v>
      </c>
      <c r="F20" s="60">
        <f t="shared" si="9"/>
        <v>119.83436460252909</v>
      </c>
      <c r="G20" s="60">
        <f t="shared" si="9"/>
        <v>118.84221709679613</v>
      </c>
      <c r="H20" s="60">
        <f t="shared" si="9"/>
        <v>133.50300596558577</v>
      </c>
      <c r="I20" s="60">
        <f t="shared" si="9"/>
        <v>218.42896582227763</v>
      </c>
      <c r="J20" s="60">
        <f t="shared" si="9"/>
        <v>278.90624963373699</v>
      </c>
      <c r="K20" s="60">
        <f t="shared" si="9"/>
        <v>383.91148831538305</v>
      </c>
      <c r="L20" s="60">
        <f t="shared" si="9"/>
        <v>365.71015460078786</v>
      </c>
      <c r="M20" s="60">
        <f t="shared" si="9"/>
        <v>267.47742742957757</v>
      </c>
      <c r="N20" s="60">
        <f t="shared" si="9"/>
        <v>288.46699278311632</v>
      </c>
      <c r="O20" s="76">
        <f t="shared" si="9"/>
        <v>2674.7120074019958</v>
      </c>
    </row>
    <row r="22" spans="1:19">
      <c r="B22" s="115" t="s">
        <v>58</v>
      </c>
      <c r="C22" s="115"/>
      <c r="D22" s="115"/>
      <c r="E22" s="115"/>
      <c r="F22" s="115"/>
      <c r="G22" s="115"/>
      <c r="H22" s="115"/>
      <c r="I22" s="115"/>
      <c r="J22" s="115"/>
      <c r="K22" s="115"/>
      <c r="L22" s="115"/>
      <c r="M22" s="115"/>
      <c r="N22" s="115"/>
      <c r="O22" s="115"/>
    </row>
    <row r="23" spans="1:19">
      <c r="B23" t="s">
        <v>6</v>
      </c>
      <c r="C23">
        <v>1</v>
      </c>
      <c r="D23">
        <v>2</v>
      </c>
      <c r="E23">
        <v>3</v>
      </c>
      <c r="F23">
        <v>4</v>
      </c>
      <c r="G23">
        <v>5</v>
      </c>
      <c r="H23">
        <v>6</v>
      </c>
      <c r="I23">
        <v>7</v>
      </c>
      <c r="J23">
        <v>8</v>
      </c>
      <c r="K23">
        <v>9</v>
      </c>
      <c r="L23">
        <v>10</v>
      </c>
      <c r="M23">
        <v>11</v>
      </c>
      <c r="N23">
        <v>12</v>
      </c>
    </row>
    <row r="24" spans="1:19">
      <c r="A24" t="s">
        <v>44</v>
      </c>
      <c r="B24">
        <v>2006</v>
      </c>
      <c r="C24" s="64">
        <v>22.82</v>
      </c>
      <c r="D24" s="64">
        <v>21.43</v>
      </c>
      <c r="E24" s="64">
        <v>23.509354399999999</v>
      </c>
      <c r="F24" s="64">
        <v>22.266451</v>
      </c>
      <c r="G24" s="60">
        <f>G17</f>
        <v>18.097297297297295</v>
      </c>
      <c r="H24" s="60">
        <f t="shared" ref="H24:I24" si="10">H17</f>
        <v>17.513513513513512</v>
      </c>
      <c r="I24" s="60">
        <f t="shared" si="10"/>
        <v>32.876756756756755</v>
      </c>
      <c r="J24" s="60">
        <v>58.670270270270265</v>
      </c>
      <c r="K24" s="60">
        <v>47.870270270270268</v>
      </c>
      <c r="L24" s="60">
        <v>61.07</v>
      </c>
      <c r="M24" s="60">
        <v>20.578378378378375</v>
      </c>
      <c r="N24" s="60">
        <v>15.533513513513514</v>
      </c>
      <c r="O24" s="60">
        <f>SUM(C24:N24)</f>
        <v>362.2358054</v>
      </c>
    </row>
    <row r="25" spans="1:19">
      <c r="A25" t="s">
        <v>43</v>
      </c>
      <c r="B25" s="62">
        <v>2018</v>
      </c>
      <c r="C25" s="64">
        <v>112.12</v>
      </c>
      <c r="D25" s="64">
        <v>57.95</v>
      </c>
      <c r="E25" s="64">
        <v>63.468082199999998</v>
      </c>
      <c r="F25" s="64">
        <v>53.9780053</v>
      </c>
      <c r="G25" s="60">
        <v>59.63291979949885</v>
      </c>
      <c r="H25" s="60">
        <v>75.669492452072262</v>
      </c>
      <c r="I25" s="60">
        <v>122.2436592910848</v>
      </c>
      <c r="J25" s="60">
        <v>148.23025857500912</v>
      </c>
      <c r="K25" s="60">
        <v>189.61</v>
      </c>
      <c r="L25" s="60">
        <v>150.56015460078785</v>
      </c>
      <c r="M25" s="60">
        <v>92.819049051199173</v>
      </c>
      <c r="N25" s="60">
        <v>118.85347926960281</v>
      </c>
      <c r="O25" s="60">
        <f t="shared" ref="O25:O27" si="11">SUM(C25:N25)</f>
        <v>1245.1351005392548</v>
      </c>
    </row>
    <row r="26" spans="1:19">
      <c r="A26" t="s">
        <v>45</v>
      </c>
      <c r="B26">
        <v>2021</v>
      </c>
      <c r="C26" s="64">
        <v>77.61</v>
      </c>
      <c r="D26" s="64">
        <v>43.61</v>
      </c>
      <c r="E26" s="64">
        <v>48.613678100000001</v>
      </c>
      <c r="F26" s="64">
        <v>42.923941999999997</v>
      </c>
      <c r="G26" s="60">
        <v>41.112000000000002</v>
      </c>
      <c r="H26" s="60">
        <v>40.32</v>
      </c>
      <c r="I26" s="60">
        <v>63.308549774436088</v>
      </c>
      <c r="J26" s="60">
        <v>70.05004511278193</v>
      </c>
      <c r="K26" s="60">
        <v>146.43121804511279</v>
      </c>
      <c r="L26" s="60">
        <v>154.08000000000001</v>
      </c>
      <c r="M26" s="60">
        <v>154.08000000000001</v>
      </c>
      <c r="N26" s="60">
        <v>154.08000000000001</v>
      </c>
      <c r="O26" s="60">
        <f t="shared" si="11"/>
        <v>1036.2194330323309</v>
      </c>
    </row>
    <row r="27" spans="1:19">
      <c r="C27" s="64">
        <f>SUM(C24:C26)</f>
        <v>212.55</v>
      </c>
      <c r="D27" s="64">
        <f t="shared" ref="D27:G27" si="12">SUM(D24:D26)</f>
        <v>122.99</v>
      </c>
      <c r="E27" s="64">
        <f t="shared" si="12"/>
        <v>135.59111469999999</v>
      </c>
      <c r="F27" s="64">
        <f t="shared" si="12"/>
        <v>119.16839829999999</v>
      </c>
      <c r="G27" s="60">
        <f t="shared" si="12"/>
        <v>118.84221709679613</v>
      </c>
      <c r="H27" s="60">
        <f t="shared" ref="H27" si="13">SUM(H24:H26)</f>
        <v>133.50300596558577</v>
      </c>
      <c r="I27" s="60">
        <f t="shared" ref="I27" si="14">SUM(I24:I26)</f>
        <v>218.42896582227763</v>
      </c>
      <c r="J27" s="60">
        <f t="shared" ref="J27" si="15">SUM(J24:J26)</f>
        <v>276.95057395806134</v>
      </c>
      <c r="K27" s="60">
        <f t="shared" ref="K27" si="16">SUM(K24:K26)</f>
        <v>383.91148831538305</v>
      </c>
      <c r="L27" s="60">
        <f t="shared" ref="L27" si="17">SUM(L24:L26)</f>
        <v>365.71015460078786</v>
      </c>
      <c r="M27" s="60">
        <f t="shared" ref="M27" si="18">SUM(M24:M26)</f>
        <v>267.47742742957757</v>
      </c>
      <c r="N27" s="60">
        <f t="shared" ref="N27" si="19">SUM(N24:N26)</f>
        <v>288.46699278311632</v>
      </c>
      <c r="O27" s="66">
        <f t="shared" si="11"/>
        <v>2643.5903389715859</v>
      </c>
    </row>
  </sheetData>
  <mergeCells count="4">
    <mergeCell ref="C2:N2"/>
    <mergeCell ref="C8:N8"/>
    <mergeCell ref="B22:O22"/>
    <mergeCell ref="C15:N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AF2F0-472A-472B-AD68-2B9519F1737C}">
  <dimension ref="A1:S27"/>
  <sheetViews>
    <sheetView topLeftCell="A7" workbookViewId="0">
      <selection activeCell="B29" sqref="B29"/>
    </sheetView>
  </sheetViews>
  <sheetFormatPr defaultRowHeight="15"/>
  <cols>
    <col min="1" max="1" width="13.5703125" bestFit="1" customWidth="1"/>
    <col min="2" max="2" width="11.5703125" bestFit="1" customWidth="1"/>
    <col min="3" max="3" width="10.5703125" bestFit="1" customWidth="1"/>
    <col min="4" max="7" width="9.7109375" bestFit="1" customWidth="1"/>
    <col min="8" max="8" width="10.5703125" bestFit="1" customWidth="1"/>
    <col min="9" max="15" width="10.7109375" bestFit="1" customWidth="1"/>
  </cols>
  <sheetData>
    <row r="1" spans="1:17">
      <c r="A1" t="s">
        <v>60</v>
      </c>
    </row>
    <row r="2" spans="1:17">
      <c r="C2" s="115" t="s">
        <v>51</v>
      </c>
      <c r="D2" s="115"/>
      <c r="E2" s="115"/>
      <c r="F2" s="115"/>
      <c r="G2" s="115"/>
      <c r="H2" s="115"/>
      <c r="I2" s="115"/>
      <c r="J2" s="115"/>
      <c r="K2" s="115"/>
      <c r="L2" s="115"/>
      <c r="M2" s="115"/>
      <c r="N2" s="115"/>
    </row>
    <row r="3" spans="1:17">
      <c r="B3" t="s">
        <v>6</v>
      </c>
      <c r="C3">
        <v>1</v>
      </c>
      <c r="D3">
        <v>2</v>
      </c>
      <c r="E3">
        <v>3</v>
      </c>
      <c r="F3">
        <v>4</v>
      </c>
      <c r="G3">
        <v>5</v>
      </c>
      <c r="H3">
        <v>6</v>
      </c>
      <c r="I3">
        <v>7</v>
      </c>
      <c r="J3">
        <v>8</v>
      </c>
      <c r="K3">
        <v>9</v>
      </c>
      <c r="L3">
        <v>10</v>
      </c>
      <c r="M3">
        <v>11</v>
      </c>
      <c r="N3">
        <v>12</v>
      </c>
      <c r="O3" s="63" t="s">
        <v>52</v>
      </c>
      <c r="Q3" t="s">
        <v>53</v>
      </c>
    </row>
    <row r="4" spans="1:17">
      <c r="A4" t="s">
        <v>44</v>
      </c>
      <c r="B4">
        <v>1982</v>
      </c>
      <c r="C4">
        <v>60.9</v>
      </c>
      <c r="D4">
        <v>39</v>
      </c>
      <c r="E4">
        <v>29.4</v>
      </c>
      <c r="F4">
        <v>31.5</v>
      </c>
      <c r="G4">
        <v>29</v>
      </c>
      <c r="H4">
        <v>75.099999999999994</v>
      </c>
      <c r="I4">
        <v>89</v>
      </c>
      <c r="J4">
        <v>76.7</v>
      </c>
      <c r="K4">
        <v>307</v>
      </c>
      <c r="L4">
        <v>135</v>
      </c>
      <c r="M4">
        <v>80.7</v>
      </c>
      <c r="N4">
        <v>49</v>
      </c>
      <c r="O4" s="60">
        <v>120.20833333333333</v>
      </c>
      <c r="Q4">
        <v>8.8800000000000008</v>
      </c>
    </row>
    <row r="5" spans="1:17">
      <c r="A5" t="s">
        <v>43</v>
      </c>
      <c r="B5" s="62">
        <v>2016</v>
      </c>
      <c r="C5" s="60">
        <v>70.392357804232773</v>
      </c>
      <c r="D5" s="60">
        <v>43.48714390622137</v>
      </c>
      <c r="E5" s="60">
        <v>45.855622226488912</v>
      </c>
      <c r="F5" s="60">
        <v>47.572160714285879</v>
      </c>
      <c r="G5" s="60">
        <v>57.765901177675076</v>
      </c>
      <c r="H5" s="60">
        <v>91.753909611993421</v>
      </c>
      <c r="I5" s="60">
        <v>143.95738148574824</v>
      </c>
      <c r="J5" s="60">
        <v>155.5818294504183</v>
      </c>
      <c r="K5" s="60">
        <v>123.9304475308643</v>
      </c>
      <c r="L5" s="60">
        <v>235.81003872247788</v>
      </c>
      <c r="M5" s="60">
        <v>504.52869808201115</v>
      </c>
      <c r="N5" s="60">
        <v>439.25057870370404</v>
      </c>
      <c r="O5" s="60">
        <v>163.32383911801011</v>
      </c>
      <c r="Q5" s="61">
        <v>3.99</v>
      </c>
    </row>
    <row r="6" spans="1:17">
      <c r="A6" t="s">
        <v>45</v>
      </c>
      <c r="B6">
        <v>2006</v>
      </c>
      <c r="C6" s="60">
        <v>257</v>
      </c>
      <c r="D6" s="60">
        <v>102</v>
      </c>
      <c r="E6" s="60">
        <v>70.900000000000006</v>
      </c>
      <c r="F6" s="60">
        <v>70.599999999999994</v>
      </c>
      <c r="G6" s="60">
        <v>107</v>
      </c>
      <c r="H6" s="60">
        <v>138</v>
      </c>
      <c r="I6" s="60">
        <v>287</v>
      </c>
      <c r="J6" s="60">
        <v>459</v>
      </c>
      <c r="K6" s="60">
        <v>481</v>
      </c>
      <c r="L6" s="60">
        <v>595</v>
      </c>
      <c r="M6" s="60">
        <v>220</v>
      </c>
      <c r="N6" s="60">
        <v>161</v>
      </c>
      <c r="O6" s="60">
        <v>215.23333333333335</v>
      </c>
      <c r="Q6" s="61">
        <v>6.65</v>
      </c>
    </row>
    <row r="8" spans="1:17">
      <c r="C8" s="115" t="s">
        <v>54</v>
      </c>
      <c r="D8" s="115"/>
      <c r="E8" s="115"/>
      <c r="F8" s="115"/>
      <c r="G8" s="115"/>
      <c r="H8" s="115"/>
      <c r="I8" s="115"/>
      <c r="J8" s="115"/>
      <c r="K8" s="115"/>
      <c r="L8" s="115"/>
      <c r="M8" s="115"/>
      <c r="N8" s="115"/>
    </row>
    <row r="9" spans="1:17">
      <c r="B9" t="s">
        <v>6</v>
      </c>
      <c r="C9">
        <v>1</v>
      </c>
      <c r="D9">
        <v>2</v>
      </c>
      <c r="E9">
        <v>3</v>
      </c>
      <c r="F9">
        <v>4</v>
      </c>
      <c r="G9">
        <v>5</v>
      </c>
      <c r="H9">
        <v>6</v>
      </c>
      <c r="I9">
        <v>7</v>
      </c>
      <c r="J9">
        <v>8</v>
      </c>
      <c r="K9">
        <v>9</v>
      </c>
      <c r="L9">
        <v>10</v>
      </c>
      <c r="M9">
        <v>11</v>
      </c>
      <c r="N9">
        <v>12</v>
      </c>
      <c r="Q9" t="s">
        <v>55</v>
      </c>
    </row>
    <row r="10" spans="1:17">
      <c r="A10" t="s">
        <v>44</v>
      </c>
      <c r="B10">
        <v>1982</v>
      </c>
      <c r="C10" s="60">
        <f>IF(C4*24*3600*31/$Q$4/10^6&lt;$Q$10,C4*24*3600*31/$Q$4/10^6,$Q$10)</f>
        <v>18.368756756756756</v>
      </c>
      <c r="D10" s="60">
        <f>IF(D4*24*3600*28/$Q$4/10^6&lt;$Q$10,D4*24*3600*28/$Q$4/10^6,$Q$10)</f>
        <v>10.624864864864863</v>
      </c>
      <c r="E10" s="60">
        <f>IF(E4*24*3600*31/$Q$4/10^6&lt;$Q$10,E4*24*3600*31/$Q$4/10^6,$Q$10)</f>
        <v>8.8676756756756738</v>
      </c>
      <c r="F10" s="60">
        <f>IF(F4*24*3600*30/$Q$4/10^6&lt;$Q$10,F4*24*3600*30/$Q$4/10^6,$Q$10)</f>
        <v>9.1945945945945944</v>
      </c>
      <c r="G10" s="60">
        <f t="shared" ref="G10:N10" si="0">IF(G4*24*3600*31/$Q$4/10^6&lt;$Q$10,G4*24*3600*31/$Q$4/10^6,$Q$10)</f>
        <v>8.7470270270270252</v>
      </c>
      <c r="H10" s="60">
        <f>IF(H4*24*3600*30/$Q$4/10^6&lt;$Q$10,H4*24*3600*30/$Q$4/10^6,$Q$10)</f>
        <v>21.921081081081077</v>
      </c>
      <c r="I10" s="60">
        <f t="shared" si="0"/>
        <v>26.844324324324322</v>
      </c>
      <c r="J10" s="60">
        <f>IF(J4*24*3600*30/$Q$4/10^6&lt;$Q$10,J4*24*3600*30/$Q$4/10^6,$Q$10)</f>
        <v>22.38810810810811</v>
      </c>
      <c r="K10" s="60">
        <f>IF(K4*24*3600*30/$Q$4/10^6&lt;$Q$10,K4*24*3600*30/$Q$4/10^6,$Q$10)</f>
        <v>61.07</v>
      </c>
      <c r="L10" s="60">
        <f t="shared" si="0"/>
        <v>40.718918918918916</v>
      </c>
      <c r="M10" s="60">
        <f>IF(M4*24*3600*30/$Q$4/10^6&lt;$Q$10,M4*24*3600*30/$Q$4/10^6,$Q$10)</f>
        <v>23.555675675675676</v>
      </c>
      <c r="N10" s="60">
        <f t="shared" si="0"/>
        <v>14.779459459459458</v>
      </c>
      <c r="O10" s="60">
        <f>SUM(C10:N10)</f>
        <v>267.08048648648645</v>
      </c>
      <c r="Q10">
        <v>61.07</v>
      </c>
    </row>
    <row r="11" spans="1:17">
      <c r="A11" t="s">
        <v>43</v>
      </c>
      <c r="B11" s="62">
        <v>2016</v>
      </c>
      <c r="C11" s="60">
        <v>44.561899999999909</v>
      </c>
      <c r="D11" s="60">
        <v>24.298100000000094</v>
      </c>
      <c r="E11" s="60">
        <v>28.284299999999813</v>
      </c>
      <c r="F11" s="60">
        <v>27.128700000000187</v>
      </c>
      <c r="G11" s="60">
        <v>34.716699999999719</v>
      </c>
      <c r="H11" s="60">
        <v>54.870967000000284</v>
      </c>
      <c r="I11" s="60">
        <v>94.48197599999979</v>
      </c>
      <c r="J11" s="60">
        <v>101.94487800000003</v>
      </c>
      <c r="K11" s="60">
        <v>75.765530000000027</v>
      </c>
      <c r="L11" s="60">
        <v>156.29349900000005</v>
      </c>
      <c r="M11" s="60">
        <v>185.10087399999983</v>
      </c>
      <c r="N11" s="60">
        <v>195.29755300000031</v>
      </c>
      <c r="O11" s="60">
        <f t="shared" ref="O11:O12" si="1">SUM(C11:N11)</f>
        <v>1022.7449770000001</v>
      </c>
      <c r="Q11" s="60">
        <v>189.61</v>
      </c>
    </row>
    <row r="12" spans="1:17">
      <c r="A12" t="s">
        <v>45</v>
      </c>
      <c r="B12">
        <v>2006</v>
      </c>
      <c r="C12" s="60">
        <f>IF(C6*24*3600*31/$Q$6/10^6&lt;$Q$12,C6*24*3600*31/$Q$6/10^6,$Q$12)</f>
        <v>103.5110977443609</v>
      </c>
      <c r="D12" s="60">
        <f>IF(D6*24*3600*28/$Q$6/10^6&lt;$Q$12,D6*24*3600*28/$Q$6/10^6,$Q$12)</f>
        <v>37.106526315789466</v>
      </c>
      <c r="E12" s="60">
        <f t="shared" ref="E12:N12" si="2">IF(E6*24*3600*31/$Q$6/10^6&lt;$Q$12,E6*24*3600*31/$Q$6/10^6,$Q$12)</f>
        <v>28.556174436090227</v>
      </c>
      <c r="F12" s="60">
        <f>IF(F6*24*3600*30/$Q$6/10^6&lt;$Q$12,F6*24*3600*30/$Q$6/10^6,$Q$12)</f>
        <v>27.51807518796992</v>
      </c>
      <c r="G12" s="60">
        <f t="shared" si="2"/>
        <v>43.096060150375941</v>
      </c>
      <c r="H12" s="60">
        <f>IF(H6*24*3600*30/$Q$6/10^6&lt;$Q$12,H6*24*3600*30/$Q$6/10^6,$Q$12)</f>
        <v>53.788872180451122</v>
      </c>
      <c r="I12" s="60">
        <f t="shared" si="2"/>
        <v>115.59410526315789</v>
      </c>
      <c r="J12" s="60">
        <f t="shared" si="2"/>
        <v>154.08000000000001</v>
      </c>
      <c r="K12" s="60">
        <f>IF(K6*24*3600*30/$Q$6/10^6&lt;$Q$12,K6*24*3600*30/$Q$6/10^6,$Q$12)</f>
        <v>154.08000000000001</v>
      </c>
      <c r="L12" s="60">
        <f t="shared" si="2"/>
        <v>154.08000000000001</v>
      </c>
      <c r="M12" s="60">
        <f>IF(M6*24*3600*30/$Q$6/10^6&lt;$Q$12,M6*24*3600*30/$Q$6/10^6,$Q$12)</f>
        <v>85.750375939849619</v>
      </c>
      <c r="N12" s="60">
        <f t="shared" si="2"/>
        <v>64.845473684210518</v>
      </c>
      <c r="O12" s="60">
        <f t="shared" si="1"/>
        <v>1022.0067609022557</v>
      </c>
      <c r="Q12">
        <v>154.08000000000001</v>
      </c>
    </row>
    <row r="13" spans="1:17">
      <c r="C13" s="60">
        <f>SUM(C10:C12)</f>
        <v>166.44175450111754</v>
      </c>
      <c r="D13" s="60">
        <f t="shared" ref="D13:O13" si="3">SUM(D10:D12)</f>
        <v>72.029491180654418</v>
      </c>
      <c r="E13" s="60">
        <f t="shared" si="3"/>
        <v>65.708150111765718</v>
      </c>
      <c r="F13" s="60">
        <f t="shared" si="3"/>
        <v>63.841369782564705</v>
      </c>
      <c r="G13" s="60">
        <f t="shared" si="3"/>
        <v>86.559787177402683</v>
      </c>
      <c r="H13" s="60">
        <f t="shared" si="3"/>
        <v>130.58092026153247</v>
      </c>
      <c r="I13" s="60">
        <f t="shared" si="3"/>
        <v>236.92040558748198</v>
      </c>
      <c r="J13" s="60">
        <f t="shared" si="3"/>
        <v>278.41298610810816</v>
      </c>
      <c r="K13" s="60">
        <f t="shared" si="3"/>
        <v>290.91553000000005</v>
      </c>
      <c r="L13" s="60">
        <f t="shared" si="3"/>
        <v>351.09241791891895</v>
      </c>
      <c r="M13" s="60">
        <f t="shared" si="3"/>
        <v>294.4069256155251</v>
      </c>
      <c r="N13" s="60">
        <f t="shared" si="3"/>
        <v>274.92248614367026</v>
      </c>
      <c r="O13" s="65">
        <f t="shared" si="3"/>
        <v>2311.8322243887424</v>
      </c>
    </row>
    <row r="14" spans="1:17">
      <c r="C14" s="60"/>
      <c r="D14" s="60"/>
      <c r="E14" s="60"/>
      <c r="F14" s="60"/>
      <c r="G14" s="60"/>
      <c r="H14" s="60"/>
      <c r="I14" s="60"/>
      <c r="J14" s="60"/>
      <c r="K14" s="60"/>
      <c r="L14" s="60"/>
      <c r="M14" s="60"/>
      <c r="N14" s="60"/>
      <c r="O14" s="65"/>
    </row>
    <row r="15" spans="1:17">
      <c r="C15" s="115" t="s">
        <v>56</v>
      </c>
      <c r="D15" s="115"/>
      <c r="E15" s="115"/>
      <c r="F15" s="115"/>
      <c r="G15" s="115"/>
      <c r="H15" s="115"/>
      <c r="I15" s="115"/>
      <c r="J15" s="115"/>
      <c r="K15" s="115"/>
      <c r="L15" s="115"/>
      <c r="M15" s="115"/>
      <c r="N15" s="115"/>
    </row>
    <row r="16" spans="1:17">
      <c r="B16" t="s">
        <v>6</v>
      </c>
      <c r="C16">
        <v>1</v>
      </c>
      <c r="D16">
        <v>2</v>
      </c>
      <c r="E16">
        <v>3</v>
      </c>
      <c r="F16">
        <v>4</v>
      </c>
      <c r="G16">
        <v>5</v>
      </c>
      <c r="H16">
        <v>6</v>
      </c>
      <c r="I16">
        <v>7</v>
      </c>
      <c r="J16">
        <v>8</v>
      </c>
      <c r="K16">
        <v>9</v>
      </c>
      <c r="L16">
        <v>10</v>
      </c>
      <c r="M16">
        <v>11</v>
      </c>
      <c r="N16">
        <v>12</v>
      </c>
      <c r="Q16" t="s">
        <v>57</v>
      </c>
    </row>
    <row r="17" spans="1:19">
      <c r="A17" t="s">
        <v>44</v>
      </c>
      <c r="B17">
        <v>2006</v>
      </c>
      <c r="C17" s="77">
        <f>IF(IF(C4&lt;$Q$17,$Q$17,C4)*24*3600*31/$Q$4/10^6&lt;$Q$10,IF(C4&lt;$Q$17,$Q$17,C4)*24*3600*31/$Q$4/10^6,$Q$10)</f>
        <v>18.368756756756756</v>
      </c>
      <c r="D17" s="77">
        <f>IF(IF(D4&lt;$Q$17,$Q$17,D4)*24*3600*28/$Q$4/10^6&lt;$Q$10,IF(D4&lt;$Q$17,$Q$17,D4)*24*3600*28/$Q$4/10^6,$Q$10)</f>
        <v>16.345945945945946</v>
      </c>
      <c r="E17" s="77">
        <f t="shared" ref="E17:I17" si="4">IF(IF(E4&lt;$Q$17,$Q$17,E4)*24*3600*31/$Q$4/10^6&lt;$Q$10,IF(E4&lt;$Q$17,$Q$17,E4)*24*3600*31/$Q$4/10^6,$Q$10)</f>
        <v>18.097297297297295</v>
      </c>
      <c r="F17" s="77">
        <f>IF(IF(F4&lt;$Q$17,$Q$17,F4)*24*3600*30/$Q$4/10^6&lt;$Q$10,IF(F4&lt;$Q$17,$Q$17,F4)*24*3600*30/$Q$4/10^6,$Q$10)</f>
        <v>17.513513513513512</v>
      </c>
      <c r="G17" s="77">
        <f t="shared" si="4"/>
        <v>18.097297297297295</v>
      </c>
      <c r="H17" s="77">
        <f>IF(IF(H4&lt;$Q$17,$Q$17,H4)*24*3600*30/$Q$4/10^6&lt;$Q$10,IF(H4&lt;$Q$17,$Q$17,H4)*24*3600*30/$Q$4/10^6,$Q$10)</f>
        <v>21.921081081081077</v>
      </c>
      <c r="I17" s="77">
        <f t="shared" si="4"/>
        <v>26.844324324324322</v>
      </c>
      <c r="J17" s="60">
        <f>IF(J4*24*3600*31/$Q$4/10^6&lt;$Q$10,J4*24*3600*31/$Q$4/10^6,$Q$10)</f>
        <v>23.134378378378379</v>
      </c>
      <c r="K17" s="60">
        <f t="shared" ref="K17:M17" si="5">IF(K4*24*3600*30/$Q$4/10^6&lt;$Q$10,K4*24*3600*30/$Q$4/10^6,$Q$10)</f>
        <v>61.07</v>
      </c>
      <c r="L17" s="60">
        <f>IF(L4*24*3600*31/$Q$4/10^6&lt;$Q$10,L4*24*3600*31/$Q$4/10^6,$Q$10)</f>
        <v>40.718918918918916</v>
      </c>
      <c r="M17" s="60">
        <f t="shared" si="5"/>
        <v>23.555675675675676</v>
      </c>
      <c r="N17" s="60">
        <f>IF(N4*24*3600*31/$Q$4/10^6&lt;$Q$10,N4*24*3600*31/$Q$4/10^6,$Q$10)</f>
        <v>14.779459459459458</v>
      </c>
      <c r="O17" s="60">
        <f>SUM(C17:N17)</f>
        <v>300.44664864864865</v>
      </c>
      <c r="Q17">
        <v>60</v>
      </c>
      <c r="S17">
        <f>IF(C3&lt;Q17,Q17,C3)</f>
        <v>60</v>
      </c>
    </row>
    <row r="18" spans="1:19">
      <c r="A18" t="s">
        <v>43</v>
      </c>
      <c r="B18" s="62">
        <v>2018</v>
      </c>
      <c r="C18" s="60">
        <f>C11</f>
        <v>44.561899999999909</v>
      </c>
      <c r="D18" s="60">
        <f t="shared" ref="D18:N19" si="6">D11</f>
        <v>24.298100000000094</v>
      </c>
      <c r="E18" s="60">
        <f t="shared" si="6"/>
        <v>28.284299999999813</v>
      </c>
      <c r="F18" s="60">
        <f t="shared" si="6"/>
        <v>27.128700000000187</v>
      </c>
      <c r="G18" s="60">
        <f t="shared" si="6"/>
        <v>34.716699999999719</v>
      </c>
      <c r="H18" s="60">
        <f t="shared" si="6"/>
        <v>54.870967000000284</v>
      </c>
      <c r="I18" s="60">
        <f t="shared" si="6"/>
        <v>94.48197599999979</v>
      </c>
      <c r="J18" s="60">
        <f t="shared" si="6"/>
        <v>101.94487800000003</v>
      </c>
      <c r="K18" s="60">
        <f t="shared" si="6"/>
        <v>75.765530000000027</v>
      </c>
      <c r="L18" s="60">
        <f t="shared" si="6"/>
        <v>156.29349900000005</v>
      </c>
      <c r="M18" s="60">
        <f t="shared" si="6"/>
        <v>185.10087399999983</v>
      </c>
      <c r="N18" s="60">
        <f t="shared" si="6"/>
        <v>195.29755300000031</v>
      </c>
      <c r="O18" s="60">
        <f>SUM(C18:N18)</f>
        <v>1022.7449770000001</v>
      </c>
      <c r="Q18" s="60"/>
    </row>
    <row r="19" spans="1:19">
      <c r="A19" t="s">
        <v>45</v>
      </c>
      <c r="B19">
        <v>2021</v>
      </c>
      <c r="C19" s="60">
        <f>C12</f>
        <v>103.5110977443609</v>
      </c>
      <c r="D19" s="60">
        <f t="shared" si="6"/>
        <v>37.106526315789466</v>
      </c>
      <c r="E19" s="60">
        <f t="shared" si="6"/>
        <v>28.556174436090227</v>
      </c>
      <c r="F19" s="60">
        <f t="shared" si="6"/>
        <v>27.51807518796992</v>
      </c>
      <c r="G19" s="60">
        <f t="shared" si="6"/>
        <v>43.096060150375941</v>
      </c>
      <c r="H19" s="60">
        <f t="shared" si="6"/>
        <v>53.788872180451122</v>
      </c>
      <c r="I19" s="60">
        <f t="shared" si="6"/>
        <v>115.59410526315789</v>
      </c>
      <c r="J19" s="60">
        <f t="shared" si="6"/>
        <v>154.08000000000001</v>
      </c>
      <c r="K19" s="60">
        <f t="shared" si="6"/>
        <v>154.08000000000001</v>
      </c>
      <c r="L19" s="60">
        <f t="shared" si="6"/>
        <v>154.08000000000001</v>
      </c>
      <c r="M19" s="60">
        <f t="shared" si="6"/>
        <v>85.750375939849619</v>
      </c>
      <c r="N19" s="60">
        <f t="shared" si="6"/>
        <v>64.845473684210518</v>
      </c>
      <c r="O19" s="60">
        <f>SUM(C19:N19)</f>
        <v>1022.0067609022557</v>
      </c>
    </row>
    <row r="20" spans="1:19">
      <c r="C20" s="60">
        <f t="shared" ref="C20:O20" si="7">SUM(C17:C19)</f>
        <v>166.44175450111754</v>
      </c>
      <c r="D20" s="60">
        <f t="shared" si="7"/>
        <v>77.750572261735499</v>
      </c>
      <c r="E20" s="60">
        <f t="shared" si="7"/>
        <v>74.937771733387336</v>
      </c>
      <c r="F20" s="60">
        <f t="shared" si="7"/>
        <v>72.160288701483609</v>
      </c>
      <c r="G20" s="60">
        <f t="shared" si="7"/>
        <v>95.910057447672955</v>
      </c>
      <c r="H20" s="60">
        <f t="shared" si="7"/>
        <v>130.58092026153247</v>
      </c>
      <c r="I20" s="60">
        <f t="shared" si="7"/>
        <v>236.92040558748198</v>
      </c>
      <c r="J20" s="60">
        <f t="shared" si="7"/>
        <v>279.15925637837842</v>
      </c>
      <c r="K20" s="60">
        <f t="shared" si="7"/>
        <v>290.91553000000005</v>
      </c>
      <c r="L20" s="60">
        <f t="shared" si="7"/>
        <v>351.09241791891895</v>
      </c>
      <c r="M20" s="60">
        <f t="shared" si="7"/>
        <v>294.4069256155251</v>
      </c>
      <c r="N20" s="60">
        <f t="shared" si="7"/>
        <v>274.92248614367026</v>
      </c>
      <c r="O20" s="76">
        <f t="shared" si="7"/>
        <v>2345.1983865509046</v>
      </c>
    </row>
    <row r="22" spans="1:19">
      <c r="B22" s="115" t="s">
        <v>58</v>
      </c>
      <c r="C22" s="115"/>
      <c r="D22" s="115"/>
      <c r="E22" s="115"/>
      <c r="F22" s="115"/>
      <c r="G22" s="115"/>
      <c r="H22" s="115"/>
      <c r="I22" s="115"/>
      <c r="J22" s="115"/>
      <c r="K22" s="115"/>
      <c r="L22" s="115"/>
      <c r="M22" s="115"/>
      <c r="N22" s="115"/>
      <c r="O22" s="115"/>
    </row>
    <row r="23" spans="1:19">
      <c r="B23" t="s">
        <v>6</v>
      </c>
      <c r="C23">
        <v>1</v>
      </c>
      <c r="D23">
        <v>2</v>
      </c>
      <c r="E23">
        <v>3</v>
      </c>
      <c r="F23">
        <v>4</v>
      </c>
      <c r="G23">
        <v>5</v>
      </c>
      <c r="H23">
        <v>6</v>
      </c>
      <c r="I23">
        <v>7</v>
      </c>
      <c r="J23">
        <v>8</v>
      </c>
      <c r="K23">
        <v>9</v>
      </c>
      <c r="L23">
        <v>10</v>
      </c>
      <c r="M23">
        <v>11</v>
      </c>
      <c r="N23">
        <v>12</v>
      </c>
    </row>
    <row r="24" spans="1:19">
      <c r="A24" t="s">
        <v>44</v>
      </c>
      <c r="B24">
        <v>1982</v>
      </c>
      <c r="C24" s="64">
        <v>22.82</v>
      </c>
      <c r="D24" s="64">
        <v>21.43</v>
      </c>
      <c r="E24" s="64">
        <v>23.509354399999999</v>
      </c>
      <c r="F24" s="64">
        <v>22.266451</v>
      </c>
      <c r="G24" s="64">
        <v>26.197556800000001</v>
      </c>
      <c r="H24" s="60">
        <f>H17</f>
        <v>21.921081081081077</v>
      </c>
      <c r="I24" s="60">
        <f>I17</f>
        <v>26.844324324324322</v>
      </c>
      <c r="J24" s="60">
        <v>22.38810810810811</v>
      </c>
      <c r="K24" s="60">
        <v>61.07</v>
      </c>
      <c r="L24" s="60">
        <v>40.718918918918916</v>
      </c>
      <c r="M24" s="60">
        <v>23.555675675675676</v>
      </c>
      <c r="N24" s="60">
        <v>14.779459459459458</v>
      </c>
      <c r="O24" s="60">
        <f>SUM(C24:N24)</f>
        <v>327.50092976756758</v>
      </c>
    </row>
    <row r="25" spans="1:19">
      <c r="A25" t="s">
        <v>43</v>
      </c>
      <c r="B25" s="62">
        <v>2016</v>
      </c>
      <c r="C25" s="64">
        <v>112.12</v>
      </c>
      <c r="D25" s="64">
        <v>57.95</v>
      </c>
      <c r="E25" s="64">
        <v>63.468082199999998</v>
      </c>
      <c r="F25" s="64">
        <v>53.9780053</v>
      </c>
      <c r="G25" s="64">
        <v>82.254511300000004</v>
      </c>
      <c r="H25" s="60">
        <v>54.870967000000284</v>
      </c>
      <c r="I25" s="60">
        <v>94.48197599999979</v>
      </c>
      <c r="J25" s="60">
        <v>101.94487800000003</v>
      </c>
      <c r="K25" s="60">
        <v>75.765530000000027</v>
      </c>
      <c r="L25" s="60">
        <v>156.29349900000005</v>
      </c>
      <c r="M25" s="60">
        <v>185.10087399999983</v>
      </c>
      <c r="N25" s="60">
        <v>195.29755300000031</v>
      </c>
      <c r="O25" s="60">
        <f t="shared" ref="O25:O27" si="8">SUM(C25:N25)</f>
        <v>1233.5258758000002</v>
      </c>
    </row>
    <row r="26" spans="1:19">
      <c r="A26" t="s">
        <v>45</v>
      </c>
      <c r="B26">
        <v>2006</v>
      </c>
      <c r="C26" s="64">
        <v>77.61</v>
      </c>
      <c r="D26" s="64">
        <v>43.61</v>
      </c>
      <c r="E26" s="64">
        <v>48.613678100000001</v>
      </c>
      <c r="F26" s="64">
        <v>42.923941999999997</v>
      </c>
      <c r="G26" s="64">
        <v>56.096463399999998</v>
      </c>
      <c r="H26" s="60">
        <v>53.788872180451122</v>
      </c>
      <c r="I26" s="60">
        <v>115.59410526315789</v>
      </c>
      <c r="J26" s="60">
        <v>154.08000000000001</v>
      </c>
      <c r="K26" s="60">
        <v>154.08000000000001</v>
      </c>
      <c r="L26" s="60">
        <v>154.08000000000001</v>
      </c>
      <c r="M26" s="60">
        <v>85.750375939849619</v>
      </c>
      <c r="N26" s="60">
        <v>64.845473684210518</v>
      </c>
      <c r="O26" s="60">
        <f t="shared" si="8"/>
        <v>1051.0729105676692</v>
      </c>
    </row>
    <row r="27" spans="1:19">
      <c r="C27" s="64">
        <f>SUM(C24:C26)</f>
        <v>212.55</v>
      </c>
      <c r="D27" s="64">
        <f t="shared" ref="D27:H27" si="9">SUM(D24:D26)</f>
        <v>122.99</v>
      </c>
      <c r="E27" s="64">
        <f t="shared" si="9"/>
        <v>135.59111469999999</v>
      </c>
      <c r="F27" s="64">
        <f t="shared" si="9"/>
        <v>119.16839829999999</v>
      </c>
      <c r="G27" s="64">
        <f t="shared" si="9"/>
        <v>164.5485315</v>
      </c>
      <c r="H27" s="60">
        <f t="shared" si="9"/>
        <v>130.58092026153247</v>
      </c>
      <c r="I27" s="60">
        <f t="shared" ref="I27" si="10">SUM(I24:I26)</f>
        <v>236.92040558748198</v>
      </c>
      <c r="J27" s="60">
        <f t="shared" ref="J27" si="11">SUM(J24:J26)</f>
        <v>278.41298610810816</v>
      </c>
      <c r="K27" s="60">
        <f t="shared" ref="K27" si="12">SUM(K24:K26)</f>
        <v>290.91553000000005</v>
      </c>
      <c r="L27" s="60">
        <f t="shared" ref="L27" si="13">SUM(L24:L26)</f>
        <v>351.09241791891895</v>
      </c>
      <c r="M27" s="60">
        <f t="shared" ref="M27" si="14">SUM(M24:M26)</f>
        <v>294.4069256155251</v>
      </c>
      <c r="N27" s="60">
        <f t="shared" ref="N27" si="15">SUM(N24:N26)</f>
        <v>274.92248614367026</v>
      </c>
      <c r="O27" s="66">
        <f t="shared" si="8"/>
        <v>2612.0997161352366</v>
      </c>
    </row>
  </sheetData>
  <mergeCells count="4">
    <mergeCell ref="C2:N2"/>
    <mergeCell ref="C8:N8"/>
    <mergeCell ref="B22:O22"/>
    <mergeCell ref="C15:N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11314-5063-4955-AA97-0B4237642583}">
  <dimension ref="A1:S27"/>
  <sheetViews>
    <sheetView topLeftCell="A7" workbookViewId="0">
      <selection activeCell="J30" sqref="J30"/>
    </sheetView>
  </sheetViews>
  <sheetFormatPr defaultRowHeight="15"/>
  <cols>
    <col min="1" max="1" width="13.5703125" bestFit="1" customWidth="1"/>
    <col min="2" max="2" width="11.5703125" bestFit="1" customWidth="1"/>
    <col min="3" max="3" width="10.5703125" bestFit="1" customWidth="1"/>
    <col min="4" max="7" width="9.7109375" bestFit="1" customWidth="1"/>
    <col min="8" max="8" width="10.5703125" bestFit="1" customWidth="1"/>
    <col min="9" max="15" width="10.7109375" bestFit="1" customWidth="1"/>
  </cols>
  <sheetData>
    <row r="1" spans="1:17">
      <c r="A1" s="15" t="s">
        <v>61</v>
      </c>
    </row>
    <row r="2" spans="1:17">
      <c r="C2" s="115" t="s">
        <v>51</v>
      </c>
      <c r="D2" s="115"/>
      <c r="E2" s="115"/>
      <c r="F2" s="115"/>
      <c r="G2" s="115"/>
      <c r="H2" s="115"/>
      <c r="I2" s="115"/>
      <c r="J2" s="115"/>
      <c r="K2" s="115"/>
      <c r="L2" s="115"/>
      <c r="M2" s="115"/>
      <c r="N2" s="115"/>
    </row>
    <row r="3" spans="1:17">
      <c r="B3" t="s">
        <v>6</v>
      </c>
      <c r="C3">
        <v>1</v>
      </c>
      <c r="D3">
        <v>2</v>
      </c>
      <c r="E3">
        <v>3</v>
      </c>
      <c r="F3">
        <v>4</v>
      </c>
      <c r="G3">
        <v>5</v>
      </c>
      <c r="H3">
        <v>6</v>
      </c>
      <c r="I3">
        <v>7</v>
      </c>
      <c r="J3">
        <v>8</v>
      </c>
      <c r="K3">
        <v>9</v>
      </c>
      <c r="L3">
        <v>10</v>
      </c>
      <c r="M3">
        <v>11</v>
      </c>
      <c r="N3">
        <v>12</v>
      </c>
      <c r="O3" s="63" t="s">
        <v>52</v>
      </c>
      <c r="Q3" t="s">
        <v>53</v>
      </c>
    </row>
    <row r="4" spans="1:17">
      <c r="A4" t="s">
        <v>44</v>
      </c>
      <c r="B4">
        <v>1981</v>
      </c>
      <c r="C4">
        <v>47.2</v>
      </c>
      <c r="D4">
        <v>34</v>
      </c>
      <c r="E4">
        <v>25.5</v>
      </c>
      <c r="F4">
        <v>24.1</v>
      </c>
      <c r="G4">
        <v>34.6</v>
      </c>
      <c r="H4">
        <v>104</v>
      </c>
      <c r="I4">
        <v>74.099999999999994</v>
      </c>
      <c r="J4">
        <v>282</v>
      </c>
      <c r="K4">
        <v>150</v>
      </c>
      <c r="L4">
        <v>274</v>
      </c>
      <c r="M4">
        <v>235</v>
      </c>
      <c r="N4">
        <v>158</v>
      </c>
      <c r="O4" s="60">
        <v>120.20833333333333</v>
      </c>
      <c r="Q4">
        <v>8.8800000000000008</v>
      </c>
    </row>
    <row r="5" spans="1:17">
      <c r="A5" t="s">
        <v>43</v>
      </c>
      <c r="B5" s="62">
        <v>2016</v>
      </c>
      <c r="C5" s="60">
        <v>70.392357804232773</v>
      </c>
      <c r="D5" s="60">
        <v>43.48714390622137</v>
      </c>
      <c r="E5" s="60">
        <v>45.855622226488912</v>
      </c>
      <c r="F5" s="60">
        <v>47.572160714285879</v>
      </c>
      <c r="G5" s="60">
        <v>57.765901177675076</v>
      </c>
      <c r="H5" s="60">
        <v>91.753909611993421</v>
      </c>
      <c r="I5" s="60">
        <v>143.95738148574824</v>
      </c>
      <c r="J5" s="60">
        <v>155.5818294504183</v>
      </c>
      <c r="K5" s="60">
        <v>123.9304475308643</v>
      </c>
      <c r="L5" s="60">
        <v>235.81003872247788</v>
      </c>
      <c r="M5" s="60">
        <v>504.52869808201115</v>
      </c>
      <c r="N5" s="60">
        <v>439.25057870370404</v>
      </c>
      <c r="O5" s="60">
        <v>163.32383911801011</v>
      </c>
      <c r="Q5" s="61">
        <v>3.99</v>
      </c>
    </row>
    <row r="6" spans="1:17">
      <c r="A6" t="s">
        <v>45</v>
      </c>
      <c r="B6">
        <v>1979</v>
      </c>
      <c r="C6" s="60">
        <v>107</v>
      </c>
      <c r="D6" s="60">
        <v>63.9</v>
      </c>
      <c r="E6" s="60">
        <v>44.1</v>
      </c>
      <c r="F6" s="60">
        <v>44.8</v>
      </c>
      <c r="G6" s="60">
        <v>76</v>
      </c>
      <c r="H6" s="60">
        <v>183</v>
      </c>
      <c r="I6" s="60">
        <v>337</v>
      </c>
      <c r="J6" s="60">
        <v>409</v>
      </c>
      <c r="K6" s="60">
        <v>252</v>
      </c>
      <c r="L6" s="60">
        <v>454</v>
      </c>
      <c r="M6" s="60">
        <v>349</v>
      </c>
      <c r="N6" s="60">
        <v>263</v>
      </c>
      <c r="O6" s="60">
        <v>215.23333333333335</v>
      </c>
      <c r="Q6" s="61">
        <v>6.65</v>
      </c>
    </row>
    <row r="8" spans="1:17">
      <c r="C8" s="115" t="s">
        <v>54</v>
      </c>
      <c r="D8" s="115"/>
      <c r="E8" s="115"/>
      <c r="F8" s="115"/>
      <c r="G8" s="115"/>
      <c r="H8" s="115"/>
      <c r="I8" s="115"/>
      <c r="J8" s="115"/>
      <c r="K8" s="115"/>
      <c r="L8" s="115"/>
      <c r="M8" s="115"/>
      <c r="N8" s="115"/>
    </row>
    <row r="9" spans="1:17">
      <c r="B9" t="s">
        <v>6</v>
      </c>
      <c r="C9">
        <v>1</v>
      </c>
      <c r="D9">
        <v>2</v>
      </c>
      <c r="E9">
        <v>3</v>
      </c>
      <c r="F9">
        <v>4</v>
      </c>
      <c r="G9">
        <v>5</v>
      </c>
      <c r="H9">
        <v>6</v>
      </c>
      <c r="I9">
        <v>7</v>
      </c>
      <c r="J9">
        <v>8</v>
      </c>
      <c r="K9">
        <v>9</v>
      </c>
      <c r="L9">
        <v>10</v>
      </c>
      <c r="M9">
        <v>11</v>
      </c>
      <c r="N9">
        <v>12</v>
      </c>
      <c r="Q9" t="s">
        <v>55</v>
      </c>
    </row>
    <row r="10" spans="1:17">
      <c r="A10" t="s">
        <v>44</v>
      </c>
      <c r="B10">
        <v>1981</v>
      </c>
      <c r="C10" s="60">
        <f>IF(C4*24*3600*31/$Q$4/10^6&lt;$Q$10,C4*24*3600*31/$Q$4/10^6,$Q$10)</f>
        <v>14.23654054054054</v>
      </c>
      <c r="D10" s="60">
        <f>IF(D4*24*3600*28/$Q$4/10^6&lt;$Q$10,D4*24*3600*28/$Q$4/10^6,$Q$10)</f>
        <v>9.2627027027027005</v>
      </c>
      <c r="E10" s="60">
        <f>IF(E4*24*3600*31/$Q$4/10^6&lt;$Q$10,E4*24*3600*31/$Q$4/10^6,$Q$10)</f>
        <v>7.6913513513513507</v>
      </c>
      <c r="F10" s="60">
        <f>IF(F4*24*3600*30/$Q$4/10^6&lt;$Q$10,F4*24*3600*30/$Q$4/10^6,$Q$10)</f>
        <v>7.0345945945945951</v>
      </c>
      <c r="G10" s="60">
        <f t="shared" ref="G10:N10" si="0">IF(G4*24*3600*31/$Q$4/10^6&lt;$Q$10,G4*24*3600*31/$Q$4/10^6,$Q$10)</f>
        <v>10.436108108108108</v>
      </c>
      <c r="H10" s="60">
        <f>IF(H4*24*3600*30/$Q$4/10^6&lt;$Q$10,H4*24*3600*30/$Q$4/10^6,$Q$10)</f>
        <v>30.356756756756752</v>
      </c>
      <c r="I10" s="60">
        <f t="shared" si="0"/>
        <v>22.35016216216216</v>
      </c>
      <c r="J10" s="60">
        <f>IF(J4*24*3600*30/$Q$4/10^6&lt;$Q$10,J4*24*3600*30/$Q$4/10^6,$Q$10)</f>
        <v>61.07</v>
      </c>
      <c r="K10" s="60">
        <f>IF(K4*24*3600*30/$Q$4/10^6&lt;$Q$10,K4*24*3600*30/$Q$4/10^6,$Q$10)</f>
        <v>43.783783783783775</v>
      </c>
      <c r="L10" s="60">
        <f t="shared" si="0"/>
        <v>61.07</v>
      </c>
      <c r="M10" s="60">
        <f>IF(M4*24*3600*30/$Q$4/10^6&lt;$Q$10,M4*24*3600*30/$Q$4/10^6,$Q$10)</f>
        <v>61.07</v>
      </c>
      <c r="N10" s="60">
        <f t="shared" si="0"/>
        <v>47.656216216216215</v>
      </c>
      <c r="O10" s="60">
        <f>SUM(C10:N10)</f>
        <v>376.01821621621616</v>
      </c>
      <c r="Q10">
        <v>61.07</v>
      </c>
    </row>
    <row r="11" spans="1:17">
      <c r="A11" t="s">
        <v>43</v>
      </c>
      <c r="B11" s="62">
        <v>2016</v>
      </c>
      <c r="C11" s="60">
        <f>IF(C5*24*3600*31/$Q$5/10^6&lt;$Q$11,C5*24*3600*31/$Q$5/10^6,$Q$11)</f>
        <v>47.252854923021822</v>
      </c>
      <c r="D11" s="60">
        <f>IF(D5*24*3600*28/$Q$5/10^6&lt;$Q$11,D5*24*3600*28/$Q$5/10^6,$Q$11)</f>
        <v>26.366941989456322</v>
      </c>
      <c r="E11" s="60">
        <f t="shared" ref="E11:N11" si="1">IF(E5*24*3600*31/$Q$5/10^6&lt;$Q$11,E5*24*3600*31/$Q$5/10^6,$Q$11)</f>
        <v>30.781879341209997</v>
      </c>
      <c r="F11" s="60">
        <f>IF(F5*24*3600*30/$Q$5/10^6&lt;$Q$11,F5*24*3600*30/$Q$5/10^6,$Q$11)</f>
        <v>30.904020193340603</v>
      </c>
      <c r="G11" s="60">
        <f t="shared" si="1"/>
        <v>38.77698990332955</v>
      </c>
      <c r="H11" s="60">
        <f>IF(H5*24*3600*30/$Q$5/10^6&lt;$Q$11,H5*24*3600*30/$Q$5/10^6,$Q$11)</f>
        <v>59.605547296813761</v>
      </c>
      <c r="I11" s="60">
        <f t="shared" si="1"/>
        <v>96.635451271034611</v>
      </c>
      <c r="J11" s="60">
        <f t="shared" si="1"/>
        <v>104.43868972431086</v>
      </c>
      <c r="K11" s="60">
        <f>IF(K5*24*3600*30/$Q$5/10^6&lt;$Q$11,K5*24*3600*30/$Q$5/10^6,$Q$11)</f>
        <v>80.508200501253185</v>
      </c>
      <c r="L11" s="60">
        <f t="shared" si="1"/>
        <v>158.29413727175057</v>
      </c>
      <c r="M11" s="60">
        <f>IF(M5*24*3600*30/$Q$5/10^6&lt;$Q$11,M5*24*3600*30/$Q$5/10^6,$Q$11)</f>
        <v>189.61</v>
      </c>
      <c r="N11" s="60">
        <f t="shared" si="1"/>
        <v>189.61</v>
      </c>
      <c r="O11" s="60">
        <f t="shared" ref="O11:O12" si="2">SUM(C11:N11)</f>
        <v>1052.7847124155214</v>
      </c>
      <c r="Q11" s="60">
        <v>189.61</v>
      </c>
    </row>
    <row r="12" spans="1:17">
      <c r="A12" t="s">
        <v>45</v>
      </c>
      <c r="B12">
        <v>1979</v>
      </c>
      <c r="C12" s="60">
        <f>IF(C6*24*3600*31/$Q$6/10^6&lt;$Q$12,C6*24*3600*31/$Q$6/10^6,$Q$12)</f>
        <v>43.096060150375941</v>
      </c>
      <c r="D12" s="60">
        <f>IF(D6*24*3600*28/$Q$6/10^6&lt;$Q$12,D6*24*3600*28/$Q$6/10^6,$Q$12)</f>
        <v>23.246147368421052</v>
      </c>
      <c r="E12" s="60">
        <f t="shared" ref="E12:N12" si="3">IF(E6*24*3600*31/$Q$6/10^6&lt;$Q$12,E6*24*3600*31/$Q$6/10^6,$Q$12)</f>
        <v>17.762021052631578</v>
      </c>
      <c r="F12" s="60">
        <f>IF(F6*24*3600*30/$Q$6/10^6&lt;$Q$12,F6*24*3600*30/$Q$6/10^6,$Q$12)</f>
        <v>17.461894736842105</v>
      </c>
      <c r="G12" s="60">
        <f t="shared" si="3"/>
        <v>30.610285714285713</v>
      </c>
      <c r="H12" s="60">
        <f>IF(H6*24*3600*30/$Q$6/10^6&lt;$Q$12,H6*24*3600*30/$Q$6/10^6,$Q$12)</f>
        <v>71.328721804511275</v>
      </c>
      <c r="I12" s="60">
        <f t="shared" si="3"/>
        <v>135.73245112781953</v>
      </c>
      <c r="J12" s="60">
        <f t="shared" si="3"/>
        <v>154.08000000000001</v>
      </c>
      <c r="K12" s="60">
        <f>IF(K6*24*3600*30/$Q$6/10^6&lt;$Q$12,K6*24*3600*30/$Q$6/10^6,$Q$12)</f>
        <v>98.223157894736843</v>
      </c>
      <c r="L12" s="60">
        <f t="shared" si="3"/>
        <v>154.08000000000001</v>
      </c>
      <c r="M12" s="60">
        <f>IF(M6*24*3600*30/$Q$6/10^6&lt;$Q$12,M6*24*3600*30/$Q$6/10^6,$Q$12)</f>
        <v>136.03127819548871</v>
      </c>
      <c r="N12" s="60">
        <f t="shared" si="3"/>
        <v>105.92769924812029</v>
      </c>
      <c r="O12" s="60">
        <f t="shared" si="2"/>
        <v>987.57971729323299</v>
      </c>
      <c r="Q12">
        <v>154.08000000000001</v>
      </c>
    </row>
    <row r="13" spans="1:17">
      <c r="C13" s="60">
        <f>SUM(C10:C12)</f>
        <v>104.58545561393831</v>
      </c>
      <c r="D13" s="60">
        <f t="shared" ref="D13:O13" si="4">SUM(D10:D12)</f>
        <v>58.875792060580068</v>
      </c>
      <c r="E13" s="60">
        <f t="shared" si="4"/>
        <v>56.235251745192926</v>
      </c>
      <c r="F13" s="60">
        <f t="shared" si="4"/>
        <v>55.400509524777306</v>
      </c>
      <c r="G13" s="60">
        <f t="shared" si="4"/>
        <v>79.823383725723374</v>
      </c>
      <c r="H13" s="60">
        <f t="shared" si="4"/>
        <v>161.29102585808178</v>
      </c>
      <c r="I13" s="60">
        <f t="shared" si="4"/>
        <v>254.71806456101632</v>
      </c>
      <c r="J13" s="60">
        <f t="shared" si="4"/>
        <v>319.58868972431088</v>
      </c>
      <c r="K13" s="60">
        <f t="shared" si="4"/>
        <v>222.51514217977382</v>
      </c>
      <c r="L13" s="60">
        <f t="shared" si="4"/>
        <v>373.44413727175061</v>
      </c>
      <c r="M13" s="60">
        <f t="shared" si="4"/>
        <v>386.71127819548872</v>
      </c>
      <c r="N13" s="60">
        <f t="shared" si="4"/>
        <v>343.19391546433656</v>
      </c>
      <c r="O13" s="65">
        <f t="shared" si="4"/>
        <v>2416.3826459249703</v>
      </c>
    </row>
    <row r="14" spans="1:17">
      <c r="C14" s="60"/>
      <c r="D14" s="60"/>
      <c r="E14" s="60"/>
      <c r="F14" s="60"/>
      <c r="G14" s="60"/>
      <c r="H14" s="60"/>
      <c r="I14" s="60"/>
      <c r="J14" s="60"/>
      <c r="K14" s="60"/>
      <c r="L14" s="60"/>
      <c r="M14" s="60"/>
      <c r="N14" s="60"/>
      <c r="O14" s="65"/>
    </row>
    <row r="15" spans="1:17">
      <c r="C15" s="115" t="s">
        <v>56</v>
      </c>
      <c r="D15" s="115"/>
      <c r="E15" s="115"/>
      <c r="F15" s="115"/>
      <c r="G15" s="115"/>
      <c r="H15" s="115"/>
      <c r="I15" s="115"/>
      <c r="J15" s="115"/>
      <c r="K15" s="115"/>
      <c r="L15" s="115"/>
      <c r="M15" s="115"/>
      <c r="N15" s="115"/>
    </row>
    <row r="16" spans="1:17">
      <c r="B16" t="s">
        <v>6</v>
      </c>
      <c r="C16">
        <v>1</v>
      </c>
      <c r="D16">
        <v>2</v>
      </c>
      <c r="E16">
        <v>3</v>
      </c>
      <c r="F16">
        <v>4</v>
      </c>
      <c r="G16">
        <v>5</v>
      </c>
      <c r="H16">
        <v>6</v>
      </c>
      <c r="I16">
        <v>7</v>
      </c>
      <c r="J16">
        <v>8</v>
      </c>
      <c r="K16">
        <v>9</v>
      </c>
      <c r="L16">
        <v>10</v>
      </c>
      <c r="M16">
        <v>11</v>
      </c>
      <c r="N16">
        <v>12</v>
      </c>
      <c r="Q16" t="s">
        <v>57</v>
      </c>
    </row>
    <row r="17" spans="1:19">
      <c r="A17" t="s">
        <v>44</v>
      </c>
      <c r="B17">
        <v>2006</v>
      </c>
      <c r="C17" s="77">
        <f>IF(IF(C4&lt;$Q$17,$Q$17,C4)*24*3600*31/$Q$4/10^6&lt;$Q$10,IF(C4&lt;$Q$17,$Q$17,C4)*24*3600*31/$Q$4/10^6,$Q$10)</f>
        <v>18.097297297297295</v>
      </c>
      <c r="D17" s="77">
        <f>IF(IF(D4&lt;$Q$17,$Q$17,D4)*24*3600*28/$Q$4/10^6&lt;$Q$10,IF(D4&lt;$Q$17,$Q$17,D4)*24*3600*28/$Q$4/10^6,$Q$10)</f>
        <v>16.345945945945946</v>
      </c>
      <c r="E17" s="77">
        <f t="shared" ref="E17:I17" si="5">IF(IF(E4&lt;$Q$17,$Q$17,E4)*24*3600*31/$Q$4/10^6&lt;$Q$10,IF(E4&lt;$Q$17,$Q$17,E4)*24*3600*31/$Q$4/10^6,$Q$10)</f>
        <v>18.097297297297295</v>
      </c>
      <c r="F17" s="77">
        <f>IF(IF(F4&lt;$Q$17,$Q$17,F4)*24*3600*30/$Q$4/10^6&lt;$Q$10,IF(F4&lt;$Q$17,$Q$17,F4)*24*3600*30/$Q$4/10^6,$Q$10)</f>
        <v>17.513513513513512</v>
      </c>
      <c r="G17" s="77">
        <f t="shared" si="5"/>
        <v>18.097297297297295</v>
      </c>
      <c r="H17" s="77">
        <f>IF(IF(H4&lt;$Q$17,$Q$17,H4)*24*3600*30/$Q$4/10^6&lt;$Q$10,IF(H4&lt;$Q$17,$Q$17,H4)*24*3600*30/$Q$4/10^6,$Q$10)</f>
        <v>30.356756756756752</v>
      </c>
      <c r="I17" s="77">
        <f t="shared" si="5"/>
        <v>22.35016216216216</v>
      </c>
      <c r="J17" s="60">
        <f>IF(J4*24*3600*31/$Q$4/10^6&lt;$Q$10,J4*24*3600*31/$Q$4/10^6,$Q$10)</f>
        <v>61.07</v>
      </c>
      <c r="K17" s="60">
        <f t="shared" ref="K17:M17" si="6">IF(K4*24*3600*30/$Q$4/10^6&lt;$Q$10,K4*24*3600*30/$Q$4/10^6,$Q$10)</f>
        <v>43.783783783783775</v>
      </c>
      <c r="L17" s="60">
        <f>IF(L4*24*3600*31/$Q$4/10^6&lt;$Q$10,L4*24*3600*31/$Q$4/10^6,$Q$10)</f>
        <v>61.07</v>
      </c>
      <c r="M17" s="60">
        <f t="shared" si="6"/>
        <v>61.07</v>
      </c>
      <c r="N17" s="60">
        <f>IF(N4*24*3600*31/$Q$4/10^6&lt;$Q$10,N4*24*3600*31/$Q$4/10^6,$Q$10)</f>
        <v>47.656216216216215</v>
      </c>
      <c r="O17" s="60">
        <f>SUM(C17:N17)</f>
        <v>415.5082702702702</v>
      </c>
      <c r="Q17">
        <v>60</v>
      </c>
      <c r="S17">
        <f>IF(C3&lt;Q17,Q17,C3)</f>
        <v>60</v>
      </c>
    </row>
    <row r="18" spans="1:19">
      <c r="A18" t="s">
        <v>43</v>
      </c>
      <c r="B18" s="62">
        <v>2018</v>
      </c>
      <c r="C18" s="60">
        <f>C11</f>
        <v>47.252854923021822</v>
      </c>
      <c r="D18" s="60">
        <f t="shared" ref="D18:N19" si="7">D11</f>
        <v>26.366941989456322</v>
      </c>
      <c r="E18" s="60">
        <f t="shared" si="7"/>
        <v>30.781879341209997</v>
      </c>
      <c r="F18" s="60">
        <f t="shared" si="7"/>
        <v>30.904020193340603</v>
      </c>
      <c r="G18" s="60">
        <f t="shared" si="7"/>
        <v>38.77698990332955</v>
      </c>
      <c r="H18" s="60">
        <f t="shared" si="7"/>
        <v>59.605547296813761</v>
      </c>
      <c r="I18" s="60">
        <f t="shared" si="7"/>
        <v>96.635451271034611</v>
      </c>
      <c r="J18" s="60">
        <f t="shared" si="7"/>
        <v>104.43868972431086</v>
      </c>
      <c r="K18" s="60">
        <f t="shared" si="7"/>
        <v>80.508200501253185</v>
      </c>
      <c r="L18" s="60">
        <f t="shared" si="7"/>
        <v>158.29413727175057</v>
      </c>
      <c r="M18" s="60">
        <f t="shared" si="7"/>
        <v>189.61</v>
      </c>
      <c r="N18" s="60">
        <f t="shared" si="7"/>
        <v>189.61</v>
      </c>
      <c r="O18" s="60">
        <f>SUM(C18:N18)</f>
        <v>1052.7847124155214</v>
      </c>
      <c r="Q18" s="60"/>
    </row>
    <row r="19" spans="1:19">
      <c r="A19" t="s">
        <v>45</v>
      </c>
      <c r="B19">
        <v>2021</v>
      </c>
      <c r="C19" s="60">
        <f>C12</f>
        <v>43.096060150375941</v>
      </c>
      <c r="D19" s="60">
        <f t="shared" si="7"/>
        <v>23.246147368421052</v>
      </c>
      <c r="E19" s="60">
        <f t="shared" si="7"/>
        <v>17.762021052631578</v>
      </c>
      <c r="F19" s="60">
        <f t="shared" si="7"/>
        <v>17.461894736842105</v>
      </c>
      <c r="G19" s="60">
        <f t="shared" si="7"/>
        <v>30.610285714285713</v>
      </c>
      <c r="H19" s="60">
        <f t="shared" si="7"/>
        <v>71.328721804511275</v>
      </c>
      <c r="I19" s="60">
        <f t="shared" si="7"/>
        <v>135.73245112781953</v>
      </c>
      <c r="J19" s="60">
        <f t="shared" si="7"/>
        <v>154.08000000000001</v>
      </c>
      <c r="K19" s="60">
        <f t="shared" si="7"/>
        <v>98.223157894736843</v>
      </c>
      <c r="L19" s="60">
        <f t="shared" si="7"/>
        <v>154.08000000000001</v>
      </c>
      <c r="M19" s="60">
        <f t="shared" si="7"/>
        <v>136.03127819548871</v>
      </c>
      <c r="N19" s="60">
        <f t="shared" si="7"/>
        <v>105.92769924812029</v>
      </c>
      <c r="O19" s="60">
        <f>SUM(C19:N19)</f>
        <v>987.57971729323299</v>
      </c>
    </row>
    <row r="20" spans="1:19">
      <c r="C20" s="60">
        <f t="shared" ref="C20:O20" si="8">SUM(C17:C19)</f>
        <v>108.44621237069506</v>
      </c>
      <c r="D20" s="60">
        <f t="shared" si="8"/>
        <v>65.959035303823313</v>
      </c>
      <c r="E20" s="60">
        <f t="shared" si="8"/>
        <v>66.641197691138871</v>
      </c>
      <c r="F20" s="60">
        <f t="shared" si="8"/>
        <v>65.879428443696213</v>
      </c>
      <c r="G20" s="60">
        <f t="shared" si="8"/>
        <v>87.484572914912562</v>
      </c>
      <c r="H20" s="60">
        <f t="shared" si="8"/>
        <v>161.29102585808178</v>
      </c>
      <c r="I20" s="60">
        <f t="shared" si="8"/>
        <v>254.71806456101632</v>
      </c>
      <c r="J20" s="60">
        <f t="shared" si="8"/>
        <v>319.58868972431088</v>
      </c>
      <c r="K20" s="60">
        <f t="shared" si="8"/>
        <v>222.51514217977382</v>
      </c>
      <c r="L20" s="60">
        <f t="shared" si="8"/>
        <v>373.44413727175061</v>
      </c>
      <c r="M20" s="60">
        <f t="shared" si="8"/>
        <v>386.71127819548872</v>
      </c>
      <c r="N20" s="60">
        <f t="shared" si="8"/>
        <v>343.19391546433656</v>
      </c>
      <c r="O20" s="76">
        <f t="shared" si="8"/>
        <v>2455.8726999790247</v>
      </c>
    </row>
    <row r="22" spans="1:19">
      <c r="C22" s="116" t="s">
        <v>62</v>
      </c>
      <c r="D22" s="116"/>
      <c r="E22" s="116"/>
      <c r="F22" s="116"/>
      <c r="G22" s="116"/>
      <c r="H22" s="116"/>
      <c r="I22" s="116" t="s">
        <v>63</v>
      </c>
      <c r="J22" s="116"/>
      <c r="K22" s="116"/>
      <c r="L22" s="116"/>
      <c r="M22" s="116"/>
      <c r="N22" s="116"/>
    </row>
    <row r="23" spans="1:19">
      <c r="B23" t="s">
        <v>6</v>
      </c>
      <c r="C23" s="78">
        <v>1</v>
      </c>
      <c r="D23" s="78">
        <v>2</v>
      </c>
      <c r="E23" s="78">
        <v>3</v>
      </c>
      <c r="F23" s="78">
        <v>4</v>
      </c>
      <c r="G23" s="78">
        <v>5</v>
      </c>
      <c r="H23" s="78">
        <v>6</v>
      </c>
      <c r="I23" s="78">
        <v>7</v>
      </c>
      <c r="J23" s="78">
        <v>8</v>
      </c>
      <c r="K23" s="78">
        <v>9</v>
      </c>
      <c r="L23" s="78">
        <v>10</v>
      </c>
      <c r="M23" s="78">
        <v>11</v>
      </c>
      <c r="N23" s="78">
        <v>12</v>
      </c>
    </row>
    <row r="24" spans="1:19">
      <c r="A24" t="s">
        <v>44</v>
      </c>
      <c r="B24">
        <v>1981</v>
      </c>
      <c r="C24" s="80">
        <v>22.82</v>
      </c>
      <c r="D24" s="80">
        <v>21.43</v>
      </c>
      <c r="E24" s="80">
        <v>23.509354399999999</v>
      </c>
      <c r="F24" s="80">
        <v>22.266451</v>
      </c>
      <c r="G24" s="80">
        <v>26.197556800000001</v>
      </c>
      <c r="H24" s="80">
        <v>27.2371357</v>
      </c>
      <c r="I24" s="79">
        <f>I17</f>
        <v>22.35016216216216</v>
      </c>
      <c r="J24" s="79">
        <v>61.07</v>
      </c>
      <c r="K24" s="79">
        <v>43.783783783783775</v>
      </c>
      <c r="L24" s="79">
        <v>61.07</v>
      </c>
      <c r="M24" s="79">
        <v>61.07</v>
      </c>
      <c r="N24" s="79">
        <v>47.656216216216215</v>
      </c>
      <c r="O24" s="60">
        <f>SUM(C24:N24)</f>
        <v>440.46066006216211</v>
      </c>
    </row>
    <row r="25" spans="1:19">
      <c r="A25" t="s">
        <v>43</v>
      </c>
      <c r="B25">
        <v>2016</v>
      </c>
      <c r="C25" s="80">
        <v>112.12</v>
      </c>
      <c r="D25" s="80">
        <v>57.95</v>
      </c>
      <c r="E25" s="80">
        <v>63.468082199999998</v>
      </c>
      <c r="F25" s="80">
        <v>53.9780053</v>
      </c>
      <c r="G25" s="80">
        <v>82.254511300000004</v>
      </c>
      <c r="H25" s="80">
        <v>130.41091829999999</v>
      </c>
      <c r="I25" s="79">
        <f>I11</f>
        <v>96.635451271034611</v>
      </c>
      <c r="J25" s="79">
        <v>104.43868972431086</v>
      </c>
      <c r="K25" s="79">
        <v>80.508200501253185</v>
      </c>
      <c r="L25" s="79">
        <v>158.29413727175057</v>
      </c>
      <c r="M25" s="79">
        <v>189.61</v>
      </c>
      <c r="N25" s="79">
        <v>189.61</v>
      </c>
      <c r="O25" s="60">
        <f t="shared" ref="O25:O27" si="9">SUM(C25:N25)</f>
        <v>1319.2779958683495</v>
      </c>
    </row>
    <row r="26" spans="1:19">
      <c r="A26" t="s">
        <v>45</v>
      </c>
      <c r="B26">
        <v>1979</v>
      </c>
      <c r="C26" s="80">
        <v>77.61</v>
      </c>
      <c r="D26" s="80">
        <v>43.61</v>
      </c>
      <c r="E26" s="80">
        <v>48.613678100000001</v>
      </c>
      <c r="F26" s="80">
        <v>42.923941999999997</v>
      </c>
      <c r="G26" s="80">
        <v>56.096463399999998</v>
      </c>
      <c r="H26" s="80">
        <v>114.153021</v>
      </c>
      <c r="I26" s="79">
        <f>I12</f>
        <v>135.73245112781953</v>
      </c>
      <c r="J26" s="79">
        <v>154.08000000000001</v>
      </c>
      <c r="K26" s="79">
        <v>98.223157894736843</v>
      </c>
      <c r="L26" s="79">
        <v>154.08000000000001</v>
      </c>
      <c r="M26" s="79">
        <v>136.03127819548871</v>
      </c>
      <c r="N26" s="79">
        <v>105.92769924812029</v>
      </c>
      <c r="O26" s="60">
        <f t="shared" si="9"/>
        <v>1167.0816909661653</v>
      </c>
    </row>
    <row r="27" spans="1:19">
      <c r="C27" s="80">
        <f>SUM(C24:C26)</f>
        <v>212.55</v>
      </c>
      <c r="D27" s="80">
        <f t="shared" ref="D27:H27" si="10">SUM(D24:D26)</f>
        <v>122.99</v>
      </c>
      <c r="E27" s="80">
        <f t="shared" si="10"/>
        <v>135.59111469999999</v>
      </c>
      <c r="F27" s="80">
        <f t="shared" si="10"/>
        <v>119.16839829999999</v>
      </c>
      <c r="G27" s="80">
        <f t="shared" si="10"/>
        <v>164.5485315</v>
      </c>
      <c r="H27" s="80">
        <f t="shared" si="10"/>
        <v>271.80107499999997</v>
      </c>
      <c r="I27" s="79">
        <f>SUM(I24:I26)</f>
        <v>254.71806456101632</v>
      </c>
      <c r="J27" s="79">
        <f t="shared" ref="J27:N27" si="11">SUM(J24:J26)</f>
        <v>319.58868972431088</v>
      </c>
      <c r="K27" s="79">
        <f t="shared" si="11"/>
        <v>222.51514217977382</v>
      </c>
      <c r="L27" s="79">
        <f t="shared" si="11"/>
        <v>373.44413727175061</v>
      </c>
      <c r="M27" s="79">
        <f t="shared" si="11"/>
        <v>386.71127819548872</v>
      </c>
      <c r="N27" s="79">
        <f t="shared" si="11"/>
        <v>343.19391546433656</v>
      </c>
      <c r="O27" s="66">
        <f t="shared" si="9"/>
        <v>2926.8203468966767</v>
      </c>
    </row>
  </sheetData>
  <mergeCells count="5">
    <mergeCell ref="C2:N2"/>
    <mergeCell ref="C8:N8"/>
    <mergeCell ref="C22:H22"/>
    <mergeCell ref="I22:N22"/>
    <mergeCell ref="C15:N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268AB-605B-4AAF-8425-E6B9CC43134B}">
  <dimension ref="A1:Q20"/>
  <sheetViews>
    <sheetView zoomScaleNormal="100" workbookViewId="0">
      <selection activeCell="A4" sqref="A4:B6"/>
    </sheetView>
  </sheetViews>
  <sheetFormatPr defaultRowHeight="15"/>
  <cols>
    <col min="1" max="1" width="13.5703125" bestFit="1" customWidth="1"/>
    <col min="2" max="2" width="11.5703125" bestFit="1" customWidth="1"/>
    <col min="3" max="3" width="10.5703125" bestFit="1" customWidth="1"/>
    <col min="4" max="7" width="9.7109375" bestFit="1" customWidth="1"/>
    <col min="8" max="8" width="10.5703125" bestFit="1" customWidth="1"/>
    <col min="9" max="15" width="10.7109375" bestFit="1" customWidth="1"/>
  </cols>
  <sheetData>
    <row r="1" spans="1:17">
      <c r="A1" t="s">
        <v>64</v>
      </c>
    </row>
    <row r="2" spans="1:17">
      <c r="C2" s="115" t="s">
        <v>51</v>
      </c>
      <c r="D2" s="115"/>
      <c r="E2" s="115"/>
      <c r="F2" s="115"/>
      <c r="G2" s="115"/>
      <c r="H2" s="115"/>
      <c r="I2" s="115"/>
      <c r="J2" s="115"/>
      <c r="K2" s="115"/>
      <c r="L2" s="115"/>
      <c r="M2" s="115"/>
      <c r="N2" s="115"/>
    </row>
    <row r="3" spans="1:17">
      <c r="B3" t="s">
        <v>6</v>
      </c>
      <c r="C3">
        <v>1</v>
      </c>
      <c r="D3">
        <v>2</v>
      </c>
      <c r="E3">
        <v>3</v>
      </c>
      <c r="F3">
        <v>4</v>
      </c>
      <c r="G3">
        <v>5</v>
      </c>
      <c r="H3">
        <v>6</v>
      </c>
      <c r="I3">
        <v>7</v>
      </c>
      <c r="J3">
        <v>8</v>
      </c>
      <c r="K3">
        <v>9</v>
      </c>
      <c r="L3">
        <v>10</v>
      </c>
      <c r="M3">
        <v>11</v>
      </c>
      <c r="N3">
        <v>12</v>
      </c>
      <c r="O3" s="63" t="s">
        <v>52</v>
      </c>
      <c r="Q3" t="s">
        <v>53</v>
      </c>
    </row>
    <row r="4" spans="1:17">
      <c r="A4" t="s">
        <v>44</v>
      </c>
      <c r="B4">
        <v>2004</v>
      </c>
      <c r="C4">
        <v>43.2</v>
      </c>
      <c r="D4">
        <v>29.2</v>
      </c>
      <c r="E4">
        <v>21.4</v>
      </c>
      <c r="F4">
        <v>25.6</v>
      </c>
      <c r="G4">
        <v>29.9</v>
      </c>
      <c r="H4">
        <v>60.3</v>
      </c>
      <c r="I4">
        <v>60.9</v>
      </c>
      <c r="J4">
        <v>151</v>
      </c>
      <c r="K4">
        <v>94.1</v>
      </c>
      <c r="L4">
        <v>57.6</v>
      </c>
      <c r="M4">
        <v>32.5</v>
      </c>
      <c r="N4">
        <v>22.4</v>
      </c>
      <c r="O4" s="60">
        <v>52.341666666666669</v>
      </c>
      <c r="Q4">
        <v>8.8800000000000008</v>
      </c>
    </row>
    <row r="5" spans="1:17">
      <c r="A5" t="s">
        <v>43</v>
      </c>
      <c r="B5" s="62">
        <v>2004</v>
      </c>
      <c r="C5" s="60">
        <v>95.674608486146425</v>
      </c>
      <c r="D5" s="60">
        <v>55.669552153383883</v>
      </c>
      <c r="E5" s="60">
        <v>38.343193682237988</v>
      </c>
      <c r="F5" s="60">
        <v>47.864149377593364</v>
      </c>
      <c r="G5" s="60">
        <v>61.681595502610094</v>
      </c>
      <c r="H5" s="60">
        <v>127.61170124481328</v>
      </c>
      <c r="I5" s="60">
        <v>134.84844063713024</v>
      </c>
      <c r="J5" s="60">
        <v>310.82233971355907</v>
      </c>
      <c r="K5" s="60">
        <v>195.73900414937759</v>
      </c>
      <c r="L5" s="60">
        <v>128.48333556418149</v>
      </c>
      <c r="M5" s="60">
        <v>84.080193637621022</v>
      </c>
      <c r="N5" s="60">
        <v>78.943581849819296</v>
      </c>
      <c r="O5" s="60">
        <v>113.31347466653949</v>
      </c>
      <c r="Q5" s="61">
        <v>3.99</v>
      </c>
    </row>
    <row r="6" spans="1:17">
      <c r="A6" t="s">
        <v>45</v>
      </c>
      <c r="B6">
        <v>1981</v>
      </c>
      <c r="C6" s="60">
        <v>139</v>
      </c>
      <c r="D6" s="60">
        <v>99.7</v>
      </c>
      <c r="E6" s="60">
        <v>64.900000000000006</v>
      </c>
      <c r="F6" s="60">
        <v>62.6</v>
      </c>
      <c r="G6" s="60">
        <v>105</v>
      </c>
      <c r="H6" s="60">
        <v>258</v>
      </c>
      <c r="I6" s="60">
        <v>207</v>
      </c>
      <c r="J6" s="60">
        <v>521</v>
      </c>
      <c r="K6" s="60">
        <v>325</v>
      </c>
      <c r="L6" s="60">
        <v>781</v>
      </c>
      <c r="M6" s="60">
        <v>882</v>
      </c>
      <c r="N6" s="60">
        <v>493</v>
      </c>
      <c r="O6" s="60">
        <v>328.18333333333334</v>
      </c>
      <c r="Q6" s="61">
        <v>6.65</v>
      </c>
    </row>
    <row r="8" spans="1:17">
      <c r="C8" s="115" t="s">
        <v>54</v>
      </c>
      <c r="D8" s="115"/>
      <c r="E8" s="115"/>
      <c r="F8" s="115"/>
      <c r="G8" s="115"/>
      <c r="H8" s="115"/>
      <c r="I8" s="115"/>
      <c r="J8" s="115"/>
      <c r="K8" s="115"/>
      <c r="L8" s="115"/>
      <c r="M8" s="115"/>
      <c r="N8" s="115"/>
    </row>
    <row r="9" spans="1:17">
      <c r="B9" t="s">
        <v>6</v>
      </c>
      <c r="C9">
        <v>1</v>
      </c>
      <c r="D9">
        <v>2</v>
      </c>
      <c r="E9">
        <v>3</v>
      </c>
      <c r="F9">
        <v>4</v>
      </c>
      <c r="G9">
        <v>5</v>
      </c>
      <c r="H9">
        <v>6</v>
      </c>
      <c r="I9">
        <v>7</v>
      </c>
      <c r="J9">
        <v>8</v>
      </c>
      <c r="K9">
        <v>9</v>
      </c>
      <c r="L9">
        <v>10</v>
      </c>
      <c r="M9">
        <v>11</v>
      </c>
      <c r="N9">
        <v>12</v>
      </c>
      <c r="Q9" t="s">
        <v>55</v>
      </c>
    </row>
    <row r="10" spans="1:17">
      <c r="A10" t="s">
        <v>44</v>
      </c>
      <c r="B10">
        <v>2004</v>
      </c>
      <c r="C10" s="60">
        <f>IF(C4*24*3600*31/$Q$4/10^6&lt;$Q$10,C4*24*3600*31/$Q$4/10^6,$Q$10)</f>
        <v>13.030054054054055</v>
      </c>
      <c r="D10" s="60">
        <f>IF(D4*24*3600*28/$Q$4/10^6&lt;$Q$10,D4*24*3600*28/$Q$4/10^6,$Q$10)</f>
        <v>7.9550270270270271</v>
      </c>
      <c r="E10" s="60">
        <f>IF(E4*24*3600*31/$Q$4/10^6&lt;$Q$10,E4*24*3600*31/$Q$4/10^6,$Q$10)</f>
        <v>6.4547027027027015</v>
      </c>
      <c r="F10" s="60">
        <f>IF(F4*24*3600*30/$Q$4/10^6&lt;$Q$10,F4*24*3600*30/$Q$4/10^6,$Q$10)</f>
        <v>7.4724324324324334</v>
      </c>
      <c r="G10" s="60">
        <f t="shared" ref="G10:N10" si="0">IF(G4*24*3600*31/$Q$4/10^6&lt;$Q$10,G4*24*3600*31/$Q$4/10^6,$Q$10)</f>
        <v>9.0184864864864842</v>
      </c>
      <c r="H10" s="60">
        <f>IF(H4*24*3600*30/$Q$4/10^6&lt;$Q$10,H4*24*3600*30/$Q$4/10^6,$Q$10)</f>
        <v>17.601081081081077</v>
      </c>
      <c r="I10" s="60">
        <f t="shared" si="0"/>
        <v>18.368756756756756</v>
      </c>
      <c r="J10" s="60">
        <f>IF(J4*24*3600*30/$Q$4/10^6&lt;$Q$10,J4*24*3600*30/$Q$4/10^6,$Q$10)</f>
        <v>44.075675675675676</v>
      </c>
      <c r="K10" s="60">
        <f>IF(K4*24*3600*30/$Q$4/10^6&lt;$Q$10,K4*24*3600*30/$Q$4/10^6,$Q$10)</f>
        <v>27.467027027027022</v>
      </c>
      <c r="L10" s="60">
        <f t="shared" si="0"/>
        <v>17.373405405405403</v>
      </c>
      <c r="M10" s="60">
        <f>IF(M4*24*3600*30/$Q$4/10^6&lt;$Q$10,M4*24*3600*30/$Q$4/10^6,$Q$10)</f>
        <v>9.486486486486486</v>
      </c>
      <c r="N10" s="60">
        <f t="shared" si="0"/>
        <v>6.7563243243243232</v>
      </c>
      <c r="O10" s="60">
        <f>SUM(C10:N10)</f>
        <v>185.05945945945945</v>
      </c>
      <c r="Q10">
        <v>61.07</v>
      </c>
    </row>
    <row r="11" spans="1:17">
      <c r="A11" t="s">
        <v>43</v>
      </c>
      <c r="B11" s="62">
        <v>2004</v>
      </c>
      <c r="C11" s="60">
        <f>IF(C5*24*3600*31/$Q$5/10^6&lt;$Q$11,C5*24*3600*31/$Q$5/10^6,$Q$11)</f>
        <v>64.224278538670319</v>
      </c>
      <c r="D11" s="60">
        <f>IF(D5*24*3600*28/$Q$5/10^6&lt;$Q$11,D5*24*3600*28/$Q$5/10^6,$Q$11)</f>
        <v>33.753328463525385</v>
      </c>
      <c r="E11" s="60">
        <f t="shared" ref="E11:N11" si="1">IF(E5*24*3600*31/$Q$5/10^6&lt;$Q$11,E5*24*3600*31/$Q$5/10^6,$Q$11)</f>
        <v>25.738949864287271</v>
      </c>
      <c r="F11" s="60">
        <f>IF(F5*24*3600*30/$Q$5/10^6&lt;$Q$11,F5*24*3600*30/$Q$5/10^6,$Q$11)</f>
        <v>31.093703054316286</v>
      </c>
      <c r="G11" s="60">
        <f t="shared" si="1"/>
        <v>41.405510123857361</v>
      </c>
      <c r="H11" s="60">
        <f>IF(H5*24*3600*30/$Q$5/10^6&lt;$Q$11,H5*24*3600*30/$Q$5/10^6,$Q$11)</f>
        <v>82.899631485352373</v>
      </c>
      <c r="I11" s="60">
        <f t="shared" si="1"/>
        <v>90.520817895360793</v>
      </c>
      <c r="J11" s="60">
        <f t="shared" si="1"/>
        <v>189.61</v>
      </c>
      <c r="K11" s="60">
        <f>IF(K5*24*3600*30/$Q$5/10^6&lt;$Q$11,K5*24*3600*30/$Q$5/10^6,$Q$11)</f>
        <v>127.15676660530994</v>
      </c>
      <c r="L11" s="60">
        <f t="shared" si="1"/>
        <v>86.248061647895653</v>
      </c>
      <c r="M11" s="60">
        <f>IF(M5*24*3600*30/$Q$5/10^6&lt;$Q$11,M5*24*3600*30/$Q$5/10^6,$Q$11)</f>
        <v>54.620516769101172</v>
      </c>
      <c r="N11" s="60">
        <f t="shared" si="1"/>
        <v>52.993105169562917</v>
      </c>
      <c r="O11" s="60">
        <f t="shared" ref="O11:O12" si="2">SUM(C11:N11)</f>
        <v>880.26466961723941</v>
      </c>
      <c r="Q11" s="60">
        <v>189.61</v>
      </c>
    </row>
    <row r="12" spans="1:17">
      <c r="A12" t="s">
        <v>45</v>
      </c>
      <c r="B12">
        <v>1981</v>
      </c>
      <c r="C12" s="60">
        <f>IF(C6*24*3600*31/$Q$6/10^6&lt;$Q$12,C6*24*3600*31/$Q$6/10^6,$Q$12)</f>
        <v>55.9846015037594</v>
      </c>
      <c r="D12" s="60">
        <f>IF(D6*24*3600*28/$Q$6/10^6&lt;$Q$12,D6*24*3600*28/$Q$6/10^6,$Q$12)</f>
        <v>36.269810526315787</v>
      </c>
      <c r="E12" s="60">
        <f t="shared" ref="E12:N12" si="3">IF(E6*24*3600*31/$Q$6/10^6&lt;$Q$12,E6*24*3600*31/$Q$6/10^6,$Q$12)</f>
        <v>26.139572932330832</v>
      </c>
      <c r="F12" s="60">
        <f>IF(F6*24*3600*30/$Q$6/10^6&lt;$Q$12,F6*24*3600*30/$Q$6/10^6,$Q$12)</f>
        <v>24.399879699248121</v>
      </c>
      <c r="G12" s="60">
        <f t="shared" si="3"/>
        <v>42.290526315789471</v>
      </c>
      <c r="H12" s="60">
        <f>IF(H6*24*3600*30/$Q$6/10^6&lt;$Q$12,H6*24*3600*30/$Q$6/10^6,$Q$12)</f>
        <v>100.5618045112782</v>
      </c>
      <c r="I12" s="60">
        <f t="shared" si="3"/>
        <v>83.372751879699251</v>
      </c>
      <c r="J12" s="60">
        <f t="shared" si="3"/>
        <v>154.08000000000001</v>
      </c>
      <c r="K12" s="60">
        <f>IF(K6*24*3600*30/$Q$6/10^6&lt;$Q$12,K6*24*3600*30/$Q$6/10^6,$Q$12)</f>
        <v>126.6766917293233</v>
      </c>
      <c r="L12" s="60">
        <f t="shared" si="3"/>
        <v>154.08000000000001</v>
      </c>
      <c r="M12" s="60">
        <f>IF(M6*24*3600*30/$Q$6/10^6&lt;$Q$12,M6*24*3600*30/$Q$6/10^6,$Q$12)</f>
        <v>154.08000000000001</v>
      </c>
      <c r="N12" s="60">
        <f t="shared" si="3"/>
        <v>154.08000000000001</v>
      </c>
      <c r="O12" s="60">
        <f t="shared" si="2"/>
        <v>1112.0156390977443</v>
      </c>
      <c r="Q12">
        <v>154.08000000000001</v>
      </c>
    </row>
    <row r="13" spans="1:17">
      <c r="C13" s="60">
        <f>SUM(C10:C12)</f>
        <v>133.23893409648377</v>
      </c>
      <c r="D13" s="60">
        <f t="shared" ref="D13:O13" si="4">SUM(D10:D12)</f>
        <v>77.978166016868201</v>
      </c>
      <c r="E13" s="60">
        <f t="shared" si="4"/>
        <v>58.333225499320804</v>
      </c>
      <c r="F13" s="60">
        <f t="shared" si="4"/>
        <v>62.966015185996838</v>
      </c>
      <c r="G13" s="60">
        <f t="shared" si="4"/>
        <v>92.714522926133327</v>
      </c>
      <c r="H13" s="60">
        <f t="shared" si="4"/>
        <v>201.06251707771165</v>
      </c>
      <c r="I13" s="60">
        <f t="shared" si="4"/>
        <v>192.2623265318168</v>
      </c>
      <c r="J13" s="60">
        <f t="shared" si="4"/>
        <v>387.76567567567571</v>
      </c>
      <c r="K13" s="60">
        <f t="shared" si="4"/>
        <v>281.30048536166026</v>
      </c>
      <c r="L13" s="60">
        <f t="shared" si="4"/>
        <v>257.70146705330109</v>
      </c>
      <c r="M13" s="60">
        <f t="shared" si="4"/>
        <v>218.18700325558768</v>
      </c>
      <c r="N13" s="60">
        <f t="shared" si="4"/>
        <v>213.82942949388726</v>
      </c>
      <c r="O13" s="65">
        <f t="shared" si="4"/>
        <v>2177.3397681744432</v>
      </c>
    </row>
    <row r="15" spans="1:17">
      <c r="C15" s="116" t="s">
        <v>62</v>
      </c>
      <c r="D15" s="116"/>
      <c r="E15" s="116"/>
      <c r="F15" s="116"/>
      <c r="G15" s="116"/>
      <c r="H15" s="116"/>
      <c r="I15" s="116"/>
      <c r="J15" s="116" t="s">
        <v>63</v>
      </c>
      <c r="K15" s="116"/>
      <c r="L15" s="116"/>
      <c r="M15" s="116"/>
      <c r="N15" s="116"/>
    </row>
    <row r="16" spans="1:17">
      <c r="B16" t="s">
        <v>6</v>
      </c>
      <c r="C16" s="78">
        <v>1</v>
      </c>
      <c r="D16" s="78">
        <v>2</v>
      </c>
      <c r="E16" s="78">
        <v>3</v>
      </c>
      <c r="F16" s="78">
        <v>4</v>
      </c>
      <c r="G16" s="78">
        <v>5</v>
      </c>
      <c r="H16" s="78">
        <v>6</v>
      </c>
      <c r="I16" s="78">
        <v>7</v>
      </c>
      <c r="J16" s="78">
        <v>8</v>
      </c>
      <c r="K16" s="78">
        <v>9</v>
      </c>
      <c r="L16" s="78">
        <v>10</v>
      </c>
      <c r="M16" s="78">
        <v>11</v>
      </c>
      <c r="N16" s="78">
        <v>12</v>
      </c>
    </row>
    <row r="17" spans="1:15">
      <c r="A17" t="s">
        <v>44</v>
      </c>
      <c r="B17">
        <v>2004</v>
      </c>
      <c r="C17" s="80">
        <v>22.82</v>
      </c>
      <c r="D17" s="80">
        <v>21.43</v>
      </c>
      <c r="E17" s="80">
        <v>23.509354399999999</v>
      </c>
      <c r="F17" s="80">
        <v>22.266451</v>
      </c>
      <c r="G17" s="80">
        <v>26.197556800000001</v>
      </c>
      <c r="H17" s="80">
        <v>27.2371357</v>
      </c>
      <c r="I17" s="80">
        <v>36.299999999999997</v>
      </c>
      <c r="J17" s="79">
        <f>J10</f>
        <v>44.075675675675676</v>
      </c>
      <c r="K17" s="79">
        <f t="shared" ref="K17:N17" si="5">K10</f>
        <v>27.467027027027022</v>
      </c>
      <c r="L17" s="79">
        <f t="shared" si="5"/>
        <v>17.373405405405403</v>
      </c>
      <c r="M17" s="79">
        <f t="shared" si="5"/>
        <v>9.486486486486486</v>
      </c>
      <c r="N17" s="79">
        <f t="shared" si="5"/>
        <v>6.7563243243243232</v>
      </c>
      <c r="O17" s="60">
        <f>SUM(C17:N17)</f>
        <v>284.91941681891899</v>
      </c>
    </row>
    <row r="18" spans="1:15">
      <c r="A18" t="s">
        <v>43</v>
      </c>
      <c r="B18" s="62">
        <v>2004</v>
      </c>
      <c r="C18" s="80">
        <v>112.12</v>
      </c>
      <c r="D18" s="80">
        <v>57.95</v>
      </c>
      <c r="E18" s="80">
        <v>63.468082199999998</v>
      </c>
      <c r="F18" s="80">
        <v>53.9780053</v>
      </c>
      <c r="G18" s="80">
        <v>82.254511300000004</v>
      </c>
      <c r="H18" s="80">
        <v>130.41091829999999</v>
      </c>
      <c r="I18" s="80">
        <v>130.69999999999999</v>
      </c>
      <c r="J18" s="79">
        <f>J11</f>
        <v>189.61</v>
      </c>
      <c r="K18" s="79">
        <f t="shared" ref="K18:N18" si="6">K11</f>
        <v>127.15676660530994</v>
      </c>
      <c r="L18" s="79">
        <f t="shared" si="6"/>
        <v>86.248061647895653</v>
      </c>
      <c r="M18" s="79">
        <f t="shared" si="6"/>
        <v>54.620516769101172</v>
      </c>
      <c r="N18" s="79">
        <f t="shared" si="6"/>
        <v>52.993105169562917</v>
      </c>
      <c r="O18" s="60">
        <f t="shared" ref="O18:O20" si="7">SUM(C18:N18)</f>
        <v>1141.5099672918698</v>
      </c>
    </row>
    <row r="19" spans="1:15">
      <c r="A19" t="s">
        <v>45</v>
      </c>
      <c r="B19">
        <v>1981</v>
      </c>
      <c r="C19" s="80">
        <v>77.61</v>
      </c>
      <c r="D19" s="80">
        <v>43.61</v>
      </c>
      <c r="E19" s="80">
        <v>48.613678100000001</v>
      </c>
      <c r="F19" s="80">
        <v>42.923941999999997</v>
      </c>
      <c r="G19" s="80">
        <v>56.096463399999998</v>
      </c>
      <c r="H19" s="80">
        <v>114.153021</v>
      </c>
      <c r="I19" s="80">
        <v>105.4</v>
      </c>
      <c r="J19" s="79">
        <f>J12</f>
        <v>154.08000000000001</v>
      </c>
      <c r="K19" s="79">
        <f t="shared" ref="K19:N19" si="8">K12</f>
        <v>126.6766917293233</v>
      </c>
      <c r="L19" s="79">
        <f t="shared" si="8"/>
        <v>154.08000000000001</v>
      </c>
      <c r="M19" s="79">
        <f t="shared" si="8"/>
        <v>154.08000000000001</v>
      </c>
      <c r="N19" s="79">
        <f t="shared" si="8"/>
        <v>154.08000000000001</v>
      </c>
      <c r="O19" s="60">
        <f t="shared" si="7"/>
        <v>1231.4037962293232</v>
      </c>
    </row>
    <row r="20" spans="1:15">
      <c r="C20" s="80">
        <f>SUM(C17:C19)</f>
        <v>212.55</v>
      </c>
      <c r="D20" s="80">
        <f t="shared" ref="D20:H20" si="9">SUM(D17:D19)</f>
        <v>122.99</v>
      </c>
      <c r="E20" s="80">
        <f t="shared" si="9"/>
        <v>135.59111469999999</v>
      </c>
      <c r="F20" s="80">
        <f t="shared" si="9"/>
        <v>119.16839829999999</v>
      </c>
      <c r="G20" s="80">
        <f t="shared" si="9"/>
        <v>164.5485315</v>
      </c>
      <c r="H20" s="80">
        <f t="shared" si="9"/>
        <v>271.80107499999997</v>
      </c>
      <c r="I20" s="80">
        <f>SUM(I17:I19)</f>
        <v>272.39999999999998</v>
      </c>
      <c r="J20" s="79">
        <f t="shared" ref="J20:N20" si="10">SUM(J17:J19)</f>
        <v>387.76567567567571</v>
      </c>
      <c r="K20" s="79">
        <f t="shared" si="10"/>
        <v>281.30048536166026</v>
      </c>
      <c r="L20" s="79">
        <f t="shared" si="10"/>
        <v>257.70146705330109</v>
      </c>
      <c r="M20" s="79">
        <f t="shared" si="10"/>
        <v>218.18700325558768</v>
      </c>
      <c r="N20" s="79">
        <f t="shared" si="10"/>
        <v>213.82942949388726</v>
      </c>
      <c r="O20" s="66">
        <f t="shared" si="7"/>
        <v>2657.833180340112</v>
      </c>
    </row>
  </sheetData>
  <mergeCells count="4">
    <mergeCell ref="C2:N2"/>
    <mergeCell ref="C8:N8"/>
    <mergeCell ref="C15:I15"/>
    <mergeCell ref="J15:N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AA4CE-31DD-4786-9EE3-2685E9B66D9A}">
  <dimension ref="A1:Q23"/>
  <sheetViews>
    <sheetView zoomScaleNormal="100" workbookViewId="0">
      <selection activeCell="B4" sqref="B4:B6"/>
    </sheetView>
  </sheetViews>
  <sheetFormatPr defaultRowHeight="15"/>
  <cols>
    <col min="1" max="1" width="13.5703125" bestFit="1" customWidth="1"/>
    <col min="2" max="2" width="11.5703125" bestFit="1" customWidth="1"/>
    <col min="3" max="3" width="10.5703125" bestFit="1" customWidth="1"/>
    <col min="4" max="7" width="9.7109375" bestFit="1" customWidth="1"/>
    <col min="8" max="8" width="10.5703125" bestFit="1" customWidth="1"/>
    <col min="9" max="15" width="10.7109375" bestFit="1" customWidth="1"/>
  </cols>
  <sheetData>
    <row r="1" spans="1:17">
      <c r="A1" t="s">
        <v>65</v>
      </c>
    </row>
    <row r="2" spans="1:17">
      <c r="C2" s="115" t="s">
        <v>51</v>
      </c>
      <c r="D2" s="115"/>
      <c r="E2" s="115"/>
      <c r="F2" s="115"/>
      <c r="G2" s="115"/>
      <c r="H2" s="115"/>
      <c r="I2" s="115"/>
      <c r="J2" s="115"/>
      <c r="K2" s="115"/>
      <c r="L2" s="115"/>
      <c r="M2" s="115"/>
      <c r="N2" s="115"/>
    </row>
    <row r="3" spans="1:17">
      <c r="B3" t="s">
        <v>6</v>
      </c>
      <c r="C3">
        <v>1</v>
      </c>
      <c r="D3">
        <v>2</v>
      </c>
      <c r="E3">
        <v>3</v>
      </c>
      <c r="F3">
        <v>4</v>
      </c>
      <c r="G3">
        <v>5</v>
      </c>
      <c r="H3">
        <v>6</v>
      </c>
      <c r="I3">
        <v>7</v>
      </c>
      <c r="J3">
        <v>8</v>
      </c>
      <c r="K3">
        <v>9</v>
      </c>
      <c r="L3">
        <v>10</v>
      </c>
      <c r="M3">
        <v>11</v>
      </c>
      <c r="N3">
        <v>12</v>
      </c>
      <c r="O3" s="63" t="s">
        <v>52</v>
      </c>
      <c r="Q3" t="s">
        <v>53</v>
      </c>
    </row>
    <row r="4" spans="1:17">
      <c r="A4" t="s">
        <v>44</v>
      </c>
      <c r="B4">
        <v>2015</v>
      </c>
      <c r="C4" s="60">
        <v>36.899219235444427</v>
      </c>
      <c r="D4" s="60">
        <v>27.700377976303493</v>
      </c>
      <c r="E4" s="60">
        <v>21.834744250359524</v>
      </c>
      <c r="F4" s="60">
        <v>20.873681249971828</v>
      </c>
      <c r="G4" s="60">
        <v>32.755230510842587</v>
      </c>
      <c r="H4" s="60">
        <v>65.172759490823239</v>
      </c>
      <c r="I4" s="60">
        <v>84.748947207350341</v>
      </c>
      <c r="J4" s="60">
        <v>100.64193548387097</v>
      </c>
      <c r="K4" s="60">
        <v>89.368023865740454</v>
      </c>
      <c r="L4" s="60">
        <v>95.338733042582007</v>
      </c>
      <c r="M4" s="60">
        <v>65.611737461419381</v>
      </c>
      <c r="N4" s="60">
        <v>49.560215247355998</v>
      </c>
      <c r="O4" s="60">
        <v>52.341666666666669</v>
      </c>
      <c r="Q4">
        <v>8.8800000000000008</v>
      </c>
    </row>
    <row r="5" spans="1:17">
      <c r="A5" t="s">
        <v>43</v>
      </c>
      <c r="B5" s="62">
        <v>1980</v>
      </c>
      <c r="C5" s="60">
        <v>116.2</v>
      </c>
      <c r="D5" s="60">
        <v>82.1</v>
      </c>
      <c r="E5" s="60">
        <v>59.7</v>
      </c>
      <c r="F5" s="60">
        <v>56.9</v>
      </c>
      <c r="G5" s="60">
        <v>100.9</v>
      </c>
      <c r="H5" s="60">
        <v>166.7</v>
      </c>
      <c r="I5" s="60">
        <v>187.2</v>
      </c>
      <c r="J5" s="60">
        <v>212.8</v>
      </c>
      <c r="K5" s="60">
        <v>497.1</v>
      </c>
      <c r="L5" s="60">
        <v>484.8</v>
      </c>
      <c r="M5" s="60">
        <v>530.5</v>
      </c>
      <c r="N5" s="60">
        <v>240.1</v>
      </c>
      <c r="O5" s="60">
        <v>113.31347466653949</v>
      </c>
      <c r="Q5" s="61">
        <v>3.99</v>
      </c>
    </row>
    <row r="6" spans="1:17">
      <c r="A6" t="s">
        <v>45</v>
      </c>
      <c r="B6" s="62">
        <v>1980</v>
      </c>
      <c r="C6" s="60">
        <v>124</v>
      </c>
      <c r="D6" s="60">
        <v>88</v>
      </c>
      <c r="E6" s="60">
        <v>63.1</v>
      </c>
      <c r="F6" s="60">
        <v>59.6</v>
      </c>
      <c r="G6" s="60">
        <v>110</v>
      </c>
      <c r="H6" s="60">
        <v>187</v>
      </c>
      <c r="I6" s="60">
        <v>201</v>
      </c>
      <c r="J6" s="60">
        <v>239</v>
      </c>
      <c r="K6" s="60">
        <v>580</v>
      </c>
      <c r="L6" s="60">
        <v>562</v>
      </c>
      <c r="M6" s="60">
        <v>607</v>
      </c>
      <c r="N6" s="60">
        <v>269</v>
      </c>
      <c r="O6" s="60">
        <v>328.18333333333334</v>
      </c>
      <c r="Q6" s="61">
        <v>6.65</v>
      </c>
    </row>
    <row r="7" spans="1:17">
      <c r="A7" t="s">
        <v>66</v>
      </c>
      <c r="C7" s="84">
        <v>58.057796774193548</v>
      </c>
      <c r="D7" s="84">
        <v>38.39</v>
      </c>
      <c r="E7" s="84">
        <v>31.147848387096776</v>
      </c>
      <c r="F7" s="84">
        <v>31.900006666666666</v>
      </c>
      <c r="G7" s="84">
        <v>32.67802727272727</v>
      </c>
      <c r="H7" s="84">
        <v>106.77638333333331</v>
      </c>
      <c r="I7" s="84">
        <v>110.5309129032258</v>
      </c>
      <c r="J7" s="84">
        <v>136.34811612903226</v>
      </c>
      <c r="K7" s="60"/>
      <c r="L7" s="60"/>
      <c r="M7" s="60"/>
      <c r="N7" s="60"/>
    </row>
    <row r="8" spans="1:17">
      <c r="C8" s="115" t="s">
        <v>54</v>
      </c>
      <c r="D8" s="115"/>
      <c r="E8" s="115"/>
      <c r="F8" s="115"/>
      <c r="G8" s="115"/>
      <c r="H8" s="115"/>
      <c r="I8" s="115"/>
      <c r="J8" s="115"/>
      <c r="K8" s="115"/>
      <c r="L8" s="115"/>
      <c r="M8" s="115"/>
      <c r="N8" s="115"/>
    </row>
    <row r="9" spans="1:17">
      <c r="B9" t="s">
        <v>6</v>
      </c>
      <c r="C9">
        <v>1</v>
      </c>
      <c r="D9">
        <v>2</v>
      </c>
      <c r="E9">
        <v>3</v>
      </c>
      <c r="F9">
        <v>4</v>
      </c>
      <c r="G9">
        <v>5</v>
      </c>
      <c r="H9">
        <v>6</v>
      </c>
      <c r="I9">
        <v>7</v>
      </c>
      <c r="J9">
        <v>8</v>
      </c>
      <c r="K9">
        <v>9</v>
      </c>
      <c r="L9">
        <v>10</v>
      </c>
      <c r="M9">
        <v>11</v>
      </c>
      <c r="N9">
        <v>12</v>
      </c>
      <c r="Q9" t="s">
        <v>55</v>
      </c>
    </row>
    <row r="10" spans="1:17">
      <c r="A10" t="s">
        <v>44</v>
      </c>
      <c r="B10">
        <v>2015</v>
      </c>
      <c r="C10" s="60">
        <f>IF(C4*24*3600*31/$Q$4/10^6&lt;$Q$10,C4*24*3600*31/$Q$4/10^6,$Q$10)</f>
        <v>11.129602342366477</v>
      </c>
      <c r="D10" s="60">
        <f>IF(D4*24*3600*28/$Q$4/10^6&lt;$Q$10,D4*24*3600*28/$Q$4/10^6,$Q$10)</f>
        <v>7.5464813513821403</v>
      </c>
      <c r="E10" s="60">
        <f>IF(E4*24*3600*31/$Q$4/10^6&lt;$Q$10,E4*24*3600*31/$Q$4/10^6,$Q$10)</f>
        <v>6.5858309684868184</v>
      </c>
      <c r="F10" s="60">
        <f>IF(F4*24*3600*30/$Q$4/10^6&lt;$Q$10,F4*24*3600*30/$Q$4/10^6,$Q$10)</f>
        <v>6.0928583108025869</v>
      </c>
      <c r="G10" s="60">
        <f t="shared" ref="G10:N10" si="0">IF(G4*24*3600*31/$Q$4/10^6&lt;$Q$10,G4*24*3600*31/$Q$4/10^6,$Q$10)</f>
        <v>9.8796857432703575</v>
      </c>
      <c r="H10" s="60">
        <f>IF(H4*24*3600*30/$Q$4/10^6&lt;$Q$10,H4*24*3600*30/$Q$4/10^6,$Q$10)</f>
        <v>19.023400067591648</v>
      </c>
      <c r="I10" s="60">
        <f t="shared" si="0"/>
        <v>25.562114887406207</v>
      </c>
      <c r="J10" s="60">
        <f>IF(J4*24*3600*30/$Q$4/10^6&lt;$Q$10,J4*24*3600*30/$Q$4/10^6,$Q$10)</f>
        <v>29.376564952048824</v>
      </c>
      <c r="K10" s="60">
        <f>IF(K4*24*3600*30/$Q$4/10^6&lt;$Q$10,K4*24*3600*30/$Q$4/10^6,$Q$10)</f>
        <v>26.085801560810726</v>
      </c>
      <c r="L10" s="60">
        <f t="shared" si="0"/>
        <v>28.756223263654459</v>
      </c>
      <c r="M10" s="60">
        <f>IF(M4*24*3600*30/$Q$4/10^6&lt;$Q$10,M4*24*3600*30/$Q$4/10^6,$Q$10)</f>
        <v>19.151534177927818</v>
      </c>
      <c r="N10" s="60">
        <f t="shared" si="0"/>
        <v>14.948432490824134</v>
      </c>
      <c r="O10" s="60">
        <f>SUM(C10:N10)</f>
        <v>204.13853011657221</v>
      </c>
      <c r="Q10">
        <v>61.07</v>
      </c>
    </row>
    <row r="11" spans="1:17">
      <c r="A11" t="s">
        <v>43</v>
      </c>
      <c r="B11" s="62">
        <v>1980</v>
      </c>
      <c r="C11" s="60">
        <f>IF(C5*24*3600*31/$Q$5/10^6&lt;$Q$11,C5*24*3600*31/$Q$5/10^6,$Q$11)</f>
        <v>78.002526315789481</v>
      </c>
      <c r="D11" s="60">
        <f>IF(D5*24*3600*28/$Q$5/10^6&lt;$Q$11,D5*24*3600*28/$Q$5/10^6,$Q$11)</f>
        <v>49.778526315789463</v>
      </c>
      <c r="E11" s="60">
        <f t="shared" ref="E11:N11" si="1">IF(E5*24*3600*31/$Q$5/10^6&lt;$Q$11,E5*24*3600*31/$Q$5/10^6,$Q$11)</f>
        <v>40.075308270676693</v>
      </c>
      <c r="F11" s="60">
        <f>IF(F5*24*3600*30/$Q$5/10^6&lt;$Q$11,F5*24*3600*30/$Q$5/10^6,$Q$11)</f>
        <v>36.963609022556383</v>
      </c>
      <c r="G11" s="60">
        <f t="shared" si="1"/>
        <v>67.731969924812049</v>
      </c>
      <c r="H11" s="60">
        <f>IF(H5*24*3600*30/$Q$5/10^6&lt;$Q$11,H5*24*3600*30/$Q$5/10^6,$Q$11)</f>
        <v>108.29233082706764</v>
      </c>
      <c r="I11" s="60">
        <f t="shared" si="1"/>
        <v>125.6632781954887</v>
      </c>
      <c r="J11" s="60">
        <f t="shared" si="1"/>
        <v>142.84800000000004</v>
      </c>
      <c r="K11" s="60">
        <f>IF(K5*24*3600*30/$Q$5/10^6&lt;$Q$11,K5*24*3600*30/$Q$5/10^6,$Q$11)</f>
        <v>189.61</v>
      </c>
      <c r="L11" s="60">
        <f t="shared" si="1"/>
        <v>189.61</v>
      </c>
      <c r="M11" s="60">
        <f>IF(M5*24*3600*30/$Q$5/10^6&lt;$Q$11,M5*24*3600*30/$Q$5/10^6,$Q$11)</f>
        <v>189.61</v>
      </c>
      <c r="N11" s="60">
        <f t="shared" si="1"/>
        <v>161.1738947368421</v>
      </c>
      <c r="O11" s="60">
        <f t="shared" ref="O11:O12" si="2">SUM(C11:N11)</f>
        <v>1379.3594436090229</v>
      </c>
      <c r="Q11" s="60">
        <v>189.61</v>
      </c>
    </row>
    <row r="12" spans="1:17">
      <c r="A12" t="s">
        <v>45</v>
      </c>
      <c r="B12" s="62">
        <v>1980</v>
      </c>
      <c r="C12" s="60">
        <f>IF(C6*24*3600*31/$Q$6/10^6&lt;$Q$12,C6*24*3600*31/$Q$6/10^6,$Q$12)</f>
        <v>49.943097744360898</v>
      </c>
      <c r="D12" s="60">
        <f>IF(D6*24*3600*28/$Q$6/10^6&lt;$Q$12,D6*24*3600*28/$Q$6/10^6,$Q$12)</f>
        <v>32.013473684210524</v>
      </c>
      <c r="E12" s="60">
        <f t="shared" ref="E12:N12" si="3">IF(E6*24*3600*31/$Q$6/10^6&lt;$Q$12,E6*24*3600*31/$Q$6/10^6,$Q$12)</f>
        <v>25.414592481203005</v>
      </c>
      <c r="F12" s="60">
        <f>IF(F6*24*3600*30/$Q$6/10^6&lt;$Q$12,F6*24*3600*30/$Q$6/10^6,$Q$12)</f>
        <v>23.230556390977441</v>
      </c>
      <c r="G12" s="60">
        <f t="shared" si="3"/>
        <v>44.304360902255638</v>
      </c>
      <c r="H12" s="60">
        <f>IF(H6*24*3600*30/$Q$6/10^6&lt;$Q$12,H6*24*3600*30/$Q$6/10^6,$Q$12)</f>
        <v>72.887819548872173</v>
      </c>
      <c r="I12" s="60">
        <f t="shared" si="3"/>
        <v>80.956150375939842</v>
      </c>
      <c r="J12" s="60">
        <f t="shared" si="3"/>
        <v>96.261293233082696</v>
      </c>
      <c r="K12" s="60">
        <f>IF(K6*24*3600*30/$Q$6/10^6&lt;$Q$12,K6*24*3600*30/$Q$6/10^6,$Q$12)</f>
        <v>154.08000000000001</v>
      </c>
      <c r="L12" s="60">
        <f t="shared" si="3"/>
        <v>154.08000000000001</v>
      </c>
      <c r="M12" s="60">
        <f>IF(M6*24*3600*30/$Q$6/10^6&lt;$Q$12,M6*24*3600*30/$Q$6/10^6,$Q$12)</f>
        <v>154.08000000000001</v>
      </c>
      <c r="N12" s="60">
        <f t="shared" si="3"/>
        <v>108.34430075187969</v>
      </c>
      <c r="O12" s="60">
        <f t="shared" si="2"/>
        <v>995.59564511278199</v>
      </c>
      <c r="Q12">
        <v>154.08000000000001</v>
      </c>
    </row>
    <row r="13" spans="1:17">
      <c r="C13" s="60">
        <f>SUM(C10:C12)</f>
        <v>139.07522640251688</v>
      </c>
      <c r="D13" s="60">
        <f t="shared" ref="D13:O13" si="4">SUM(D10:D12)</f>
        <v>89.338481351382129</v>
      </c>
      <c r="E13" s="60">
        <f t="shared" si="4"/>
        <v>72.07573172036652</v>
      </c>
      <c r="F13" s="60">
        <f t="shared" si="4"/>
        <v>66.287023724336407</v>
      </c>
      <c r="G13" s="60">
        <f t="shared" si="4"/>
        <v>121.91601657033804</v>
      </c>
      <c r="H13" s="60">
        <f t="shared" si="4"/>
        <v>200.20355044353147</v>
      </c>
      <c r="I13" s="60">
        <f t="shared" si="4"/>
        <v>232.18154345883474</v>
      </c>
      <c r="J13" s="60">
        <f t="shared" si="4"/>
        <v>268.48585818513158</v>
      </c>
      <c r="K13" s="60">
        <f t="shared" si="4"/>
        <v>369.77580156081075</v>
      </c>
      <c r="L13" s="60">
        <f t="shared" si="4"/>
        <v>372.44622326365447</v>
      </c>
      <c r="M13" s="60">
        <f t="shared" si="4"/>
        <v>362.84153417792788</v>
      </c>
      <c r="N13" s="60">
        <f t="shared" si="4"/>
        <v>284.46662797954593</v>
      </c>
      <c r="O13" s="85">
        <f t="shared" si="4"/>
        <v>2579.0936188383771</v>
      </c>
    </row>
    <row r="15" spans="1:17">
      <c r="C15" s="117" t="s">
        <v>62</v>
      </c>
      <c r="D15" s="118"/>
      <c r="E15" s="118"/>
      <c r="F15" s="118"/>
      <c r="G15" s="118"/>
      <c r="H15" s="118"/>
      <c r="I15" s="118"/>
      <c r="J15" s="119"/>
      <c r="K15" s="117" t="s">
        <v>63</v>
      </c>
      <c r="L15" s="118"/>
      <c r="M15" s="118"/>
      <c r="N15" s="119"/>
    </row>
    <row r="16" spans="1:17">
      <c r="B16" t="s">
        <v>6</v>
      </c>
      <c r="C16" s="78">
        <v>1</v>
      </c>
      <c r="D16" s="78">
        <v>2</v>
      </c>
      <c r="E16" s="78">
        <v>3</v>
      </c>
      <c r="F16" s="78">
        <v>4</v>
      </c>
      <c r="G16" s="78">
        <v>5</v>
      </c>
      <c r="H16" s="78">
        <v>6</v>
      </c>
      <c r="I16" s="78">
        <v>7</v>
      </c>
      <c r="J16" s="78">
        <v>8</v>
      </c>
      <c r="K16" s="78">
        <v>9</v>
      </c>
      <c r="L16" s="78">
        <v>10</v>
      </c>
      <c r="M16" s="78">
        <v>11</v>
      </c>
      <c r="N16" s="78">
        <v>12</v>
      </c>
    </row>
    <row r="17" spans="1:15">
      <c r="A17" t="s">
        <v>44</v>
      </c>
      <c r="B17">
        <v>2015</v>
      </c>
      <c r="C17" s="80">
        <v>22.82</v>
      </c>
      <c r="D17" s="80">
        <v>21.43</v>
      </c>
      <c r="E17" s="80">
        <v>23.509354399999999</v>
      </c>
      <c r="F17" s="80">
        <v>22.266451</v>
      </c>
      <c r="G17" s="80">
        <v>26.197556800000001</v>
      </c>
      <c r="H17" s="80">
        <v>27.2371357</v>
      </c>
      <c r="I17" s="80">
        <v>36.299999999999997</v>
      </c>
      <c r="J17" s="80">
        <v>36.4</v>
      </c>
      <c r="K17" s="79">
        <f t="shared" ref="K17:N19" si="5">K10</f>
        <v>26.085801560810726</v>
      </c>
      <c r="L17" s="79">
        <f t="shared" si="5"/>
        <v>28.756223263654459</v>
      </c>
      <c r="M17" s="79">
        <f t="shared" si="5"/>
        <v>19.151534177927818</v>
      </c>
      <c r="N17" s="79">
        <f t="shared" si="5"/>
        <v>14.948432490824134</v>
      </c>
      <c r="O17" s="60">
        <f>SUM(C17:N17)</f>
        <v>305.10248939321718</v>
      </c>
    </row>
    <row r="18" spans="1:15">
      <c r="A18" t="s">
        <v>43</v>
      </c>
      <c r="B18" s="62">
        <v>1980</v>
      </c>
      <c r="C18" s="80">
        <v>112.12</v>
      </c>
      <c r="D18" s="80">
        <v>57.95</v>
      </c>
      <c r="E18" s="80">
        <v>63.468082199999998</v>
      </c>
      <c r="F18" s="80">
        <v>53.9780053</v>
      </c>
      <c r="G18" s="80">
        <v>82.254511300000004</v>
      </c>
      <c r="H18" s="80">
        <v>130.41091829999999</v>
      </c>
      <c r="I18" s="80">
        <v>130.69999999999999</v>
      </c>
      <c r="J18" s="80">
        <v>144.1</v>
      </c>
      <c r="K18" s="79">
        <f t="shared" si="5"/>
        <v>189.61</v>
      </c>
      <c r="L18" s="79">
        <f t="shared" si="5"/>
        <v>189.61</v>
      </c>
      <c r="M18" s="79">
        <f t="shared" si="5"/>
        <v>189.61</v>
      </c>
      <c r="N18" s="79">
        <f t="shared" si="5"/>
        <v>161.1738947368421</v>
      </c>
      <c r="O18" s="60">
        <f t="shared" ref="O18:O20" si="6">SUM(C18:N18)</f>
        <v>1504.9854118368421</v>
      </c>
    </row>
    <row r="19" spans="1:15">
      <c r="A19" t="s">
        <v>45</v>
      </c>
      <c r="B19" s="62">
        <v>1980</v>
      </c>
      <c r="C19" s="80">
        <v>77.61</v>
      </c>
      <c r="D19" s="80">
        <v>43.61</v>
      </c>
      <c r="E19" s="80">
        <v>48.613678100000001</v>
      </c>
      <c r="F19" s="80">
        <v>42.923941999999997</v>
      </c>
      <c r="G19" s="80">
        <v>56.096463399999998</v>
      </c>
      <c r="H19" s="80">
        <v>114.153021</v>
      </c>
      <c r="I19" s="80">
        <v>105.4</v>
      </c>
      <c r="J19" s="80">
        <v>109.2</v>
      </c>
      <c r="K19" s="79">
        <f t="shared" si="5"/>
        <v>154.08000000000001</v>
      </c>
      <c r="L19" s="79">
        <f t="shared" si="5"/>
        <v>154.08000000000001</v>
      </c>
      <c r="M19" s="79">
        <f t="shared" si="5"/>
        <v>154.08000000000001</v>
      </c>
      <c r="N19" s="79">
        <f t="shared" si="5"/>
        <v>108.34430075187969</v>
      </c>
      <c r="O19" s="60">
        <f t="shared" si="6"/>
        <v>1168.1914052518798</v>
      </c>
    </row>
    <row r="20" spans="1:15">
      <c r="C20" s="80">
        <f>SUM(C17:C19)</f>
        <v>212.55</v>
      </c>
      <c r="D20" s="80">
        <f t="shared" ref="D20:H20" si="7">SUM(D17:D19)</f>
        <v>122.99</v>
      </c>
      <c r="E20" s="80">
        <f t="shared" si="7"/>
        <v>135.59111469999999</v>
      </c>
      <c r="F20" s="80">
        <f t="shared" si="7"/>
        <v>119.16839829999999</v>
      </c>
      <c r="G20" s="80">
        <f t="shared" si="7"/>
        <v>164.5485315</v>
      </c>
      <c r="H20" s="80">
        <f t="shared" si="7"/>
        <v>271.80107499999997</v>
      </c>
      <c r="I20" s="80">
        <f>SUM(I17:I19)</f>
        <v>272.39999999999998</v>
      </c>
      <c r="J20" s="80">
        <f t="shared" ref="J20:N20" si="8">SUM(J17:J19)</f>
        <v>289.7</v>
      </c>
      <c r="K20" s="79">
        <f t="shared" si="8"/>
        <v>369.77580156081075</v>
      </c>
      <c r="L20" s="79">
        <f t="shared" si="8"/>
        <v>372.44622326365447</v>
      </c>
      <c r="M20" s="79">
        <f t="shared" si="8"/>
        <v>362.84153417792788</v>
      </c>
      <c r="N20" s="79">
        <f t="shared" si="8"/>
        <v>284.46662797954593</v>
      </c>
      <c r="O20" s="86">
        <f t="shared" si="6"/>
        <v>2978.2793064819389</v>
      </c>
    </row>
    <row r="22" spans="1:15">
      <c r="A22" s="15" t="s">
        <v>67</v>
      </c>
      <c r="B22">
        <v>2015</v>
      </c>
      <c r="C22" s="60">
        <v>19.655700000000071</v>
      </c>
      <c r="D22" s="60">
        <v>16.195399999999907</v>
      </c>
      <c r="E22" s="60">
        <v>21.992599999999978</v>
      </c>
      <c r="F22" s="60">
        <v>19.548800000000163</v>
      </c>
      <c r="G22" s="60">
        <v>14.585599999999861</v>
      </c>
      <c r="H22" s="60">
        <v>16.866854000000092</v>
      </c>
      <c r="I22" s="60">
        <v>30.453499999999998</v>
      </c>
      <c r="J22" s="60">
        <v>23.635599999999979</v>
      </c>
      <c r="K22" s="60">
        <v>10.946999999999999</v>
      </c>
      <c r="L22" s="60">
        <v>5.6862000000000696</v>
      </c>
      <c r="M22" s="60">
        <v>6.8305999999999765</v>
      </c>
      <c r="N22" s="60">
        <v>11.53079999999993</v>
      </c>
      <c r="O22" s="84">
        <v>197.92865400000005</v>
      </c>
    </row>
    <row r="23" spans="1:15">
      <c r="A23" s="15" t="s">
        <v>68</v>
      </c>
      <c r="C23" s="61">
        <f>C17/C22</f>
        <v>1.1609863805410094</v>
      </c>
      <c r="D23" s="61">
        <f t="shared" ref="D23:J23" si="9">D17/D22</f>
        <v>1.3232152339553283</v>
      </c>
      <c r="E23" s="61">
        <f t="shared" si="9"/>
        <v>1.0689665796677075</v>
      </c>
      <c r="F23" s="61">
        <f t="shared" si="9"/>
        <v>1.1390188144540747</v>
      </c>
      <c r="G23" s="61">
        <f t="shared" si="9"/>
        <v>1.7961247257569282</v>
      </c>
      <c r="H23" s="61">
        <f t="shared" si="9"/>
        <v>1.6148320072018083</v>
      </c>
      <c r="I23" s="61">
        <f t="shared" si="9"/>
        <v>1.1919812172656674</v>
      </c>
      <c r="J23" s="61">
        <f t="shared" si="9"/>
        <v>1.540049755453639</v>
      </c>
    </row>
  </sheetData>
  <mergeCells count="4">
    <mergeCell ref="C2:N2"/>
    <mergeCell ref="C8:N8"/>
    <mergeCell ref="K15:N15"/>
    <mergeCell ref="C15:J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
  <cp:revision/>
  <dcterms:created xsi:type="dcterms:W3CDTF">2015-06-05T18:17:20Z</dcterms:created>
  <dcterms:modified xsi:type="dcterms:W3CDTF">2026-07-18T16:24:47Z</dcterms:modified>
  <cp:category/>
  <cp:contentStatus/>
</cp:coreProperties>
</file>