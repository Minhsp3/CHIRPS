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evngenco3pm-my.sharepoint.com/personal/haitk_genco3_evn_vn/Documents/KTSX/Thủy điện/Buôn Kuốp/2026/"/>
    </mc:Choice>
  </mc:AlternateContent>
  <xr:revisionPtr revIDLastSave="0" documentId="8_{EAD1D536-43D2-4C6D-B864-5FA38BFBFB8B}" xr6:coauthVersionLast="47" xr6:coauthVersionMax="47" xr10:uidLastSave="{00000000-0000-0000-0000-000000000000}"/>
  <bookViews>
    <workbookView xWindow="-120" yWindow="-120" windowWidth="20970" windowHeight="12480" firstSheet="7" activeTab="7" xr2:uid="{00000000-000D-0000-FFFF-FFFF00000000}"/>
  </bookViews>
  <sheets>
    <sheet name="Đầu vào" sheetId="4" r:id="rId1"/>
    <sheet name="TS Ho" sheetId="16" r:id="rId2"/>
    <sheet name="Bảng tra TS-SL BTS" sheetId="20" r:id="rId3"/>
    <sheet name="Bảng tra TS-SL BK" sheetId="21" r:id="rId4"/>
    <sheet name="Bảng tra TS-SL SP3" sheetId="13" r:id="rId5"/>
    <sheet name="ThK SL điện" sheetId="15" r:id="rId6"/>
    <sheet name="Tính toán" sheetId="1" r:id="rId7"/>
    <sheet name="2026" sheetId="14" r:id="rId8"/>
    <sheet name="Theo dõi TV" sheetId="12" r:id="rId9"/>
    <sheet name="T.Toan MNH" sheetId="17" r:id="rId10"/>
    <sheet name="SL vs TS" sheetId="22" r:id="rId11"/>
    <sheet name="So chuỗi" sheetId="2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23" l="1"/>
  <c r="M25" i="23"/>
  <c r="N25" i="23"/>
  <c r="O25" i="23"/>
  <c r="K25" i="23"/>
  <c r="J25" i="23"/>
  <c r="AM12" i="21"/>
  <c r="Q110" i="14"/>
  <c r="O110" i="14"/>
  <c r="N110" i="14"/>
  <c r="H110" i="14"/>
  <c r="P110" i="14" s="1"/>
  <c r="Q109" i="14"/>
  <c r="P109" i="14"/>
  <c r="R109" i="14" s="1"/>
  <c r="O109" i="14"/>
  <c r="N109" i="14"/>
  <c r="H109" i="14"/>
  <c r="Q108" i="14"/>
  <c r="Q107" i="14" s="1"/>
  <c r="P108" i="14"/>
  <c r="P107" i="14" s="1"/>
  <c r="O108" i="14"/>
  <c r="O107" i="14" s="1"/>
  <c r="N108" i="14"/>
  <c r="H108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1" i="14"/>
  <c r="O101" i="14"/>
  <c r="N101" i="14"/>
  <c r="H101" i="14"/>
  <c r="P101" i="14" s="1"/>
  <c r="Q100" i="14"/>
  <c r="O100" i="14"/>
  <c r="N100" i="14"/>
  <c r="H100" i="14"/>
  <c r="P100" i="14" s="1"/>
  <c r="Q99" i="14"/>
  <c r="P99" i="14"/>
  <c r="O99" i="14"/>
  <c r="O98" i="14" s="1"/>
  <c r="N99" i="14"/>
  <c r="H99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H92" i="14"/>
  <c r="H91" i="14"/>
  <c r="H90" i="14"/>
  <c r="H89" i="14" s="1"/>
  <c r="Q92" i="14"/>
  <c r="P92" i="14"/>
  <c r="O92" i="14"/>
  <c r="N92" i="14"/>
  <c r="R92" i="14" s="1"/>
  <c r="Q91" i="14"/>
  <c r="Q89" i="14" s="1"/>
  <c r="P91" i="14"/>
  <c r="O91" i="14"/>
  <c r="N91" i="14"/>
  <c r="R91" i="14" s="1"/>
  <c r="Q90" i="14"/>
  <c r="P90" i="14"/>
  <c r="O90" i="14"/>
  <c r="O89" i="14" s="1"/>
  <c r="N90" i="14"/>
  <c r="N89" i="14" s="1"/>
  <c r="M89" i="14"/>
  <c r="L89" i="14"/>
  <c r="K89" i="14"/>
  <c r="J89" i="14"/>
  <c r="I89" i="14"/>
  <c r="G89" i="14"/>
  <c r="F89" i="14"/>
  <c r="E89" i="14"/>
  <c r="D89" i="14"/>
  <c r="C89" i="14"/>
  <c r="B89" i="14"/>
  <c r="T71" i="14"/>
  <c r="T76" i="14"/>
  <c r="S83" i="14"/>
  <c r="T67" i="14"/>
  <c r="P7" i="23"/>
  <c r="P25" i="23"/>
  <c r="P19" i="23"/>
  <c r="P13" i="23"/>
  <c r="AM12" i="13"/>
  <c r="AM12" i="20"/>
  <c r="Q79" i="14"/>
  <c r="P79" i="14"/>
  <c r="O79" i="14"/>
  <c r="N79" i="14"/>
  <c r="R79" i="14" s="1"/>
  <c r="Q78" i="14"/>
  <c r="P78" i="14"/>
  <c r="O78" i="14"/>
  <c r="N78" i="14"/>
  <c r="R78" i="14" s="1"/>
  <c r="Q77" i="14"/>
  <c r="Q76" i="14" s="1"/>
  <c r="P77" i="14"/>
  <c r="P76" i="14" s="1"/>
  <c r="O77" i="14"/>
  <c r="O76" i="14" s="1"/>
  <c r="N77" i="14"/>
  <c r="N76" i="14" s="1"/>
  <c r="M76" i="14"/>
  <c r="L76" i="14"/>
  <c r="K76" i="14"/>
  <c r="J76" i="14"/>
  <c r="I76" i="14"/>
  <c r="H76" i="14"/>
  <c r="G76" i="14"/>
  <c r="F76" i="14"/>
  <c r="E76" i="14"/>
  <c r="D76" i="14"/>
  <c r="C76" i="14"/>
  <c r="B76" i="14"/>
  <c r="R69" i="14"/>
  <c r="R67" i="14" s="1"/>
  <c r="R70" i="14"/>
  <c r="R68" i="14"/>
  <c r="N69" i="14"/>
  <c r="N70" i="14"/>
  <c r="N68" i="14"/>
  <c r="Q69" i="14"/>
  <c r="Q70" i="14"/>
  <c r="Q67" i="14" s="1"/>
  <c r="Q68" i="14"/>
  <c r="P69" i="14"/>
  <c r="P70" i="14"/>
  <c r="P68" i="14"/>
  <c r="P67" i="14" s="1"/>
  <c r="O69" i="14"/>
  <c r="O70" i="14"/>
  <c r="O68" i="14"/>
  <c r="C67" i="14"/>
  <c r="D67" i="14"/>
  <c r="E67" i="14"/>
  <c r="F67" i="14"/>
  <c r="G67" i="14"/>
  <c r="H67" i="14"/>
  <c r="I67" i="14"/>
  <c r="J67" i="14"/>
  <c r="K67" i="14"/>
  <c r="L67" i="14"/>
  <c r="M67" i="14"/>
  <c r="B67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R55" i="14" s="1"/>
  <c r="O55" i="14"/>
  <c r="P55" i="14"/>
  <c r="Q55" i="14"/>
  <c r="N56" i="14"/>
  <c r="O56" i="14"/>
  <c r="P56" i="14"/>
  <c r="Q56" i="14"/>
  <c r="R56" i="14"/>
  <c r="N57" i="14"/>
  <c r="O57" i="14"/>
  <c r="P57" i="14"/>
  <c r="R57" i="14" s="1"/>
  <c r="Q57" i="14"/>
  <c r="N58" i="14"/>
  <c r="O58" i="14"/>
  <c r="P58" i="14"/>
  <c r="Q58" i="14"/>
  <c r="R58" i="14"/>
  <c r="B17" i="14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5" i="22"/>
  <c r="AN6" i="21"/>
  <c r="AU6" i="21" s="1"/>
  <c r="AO6" i="21"/>
  <c r="AS6" i="21"/>
  <c r="AT6" i="21"/>
  <c r="Y4" i="16"/>
  <c r="O353" i="15"/>
  <c r="N353" i="15"/>
  <c r="M353" i="15"/>
  <c r="L353" i="15"/>
  <c r="K353" i="15"/>
  <c r="J353" i="15"/>
  <c r="I353" i="15"/>
  <c r="H353" i="15"/>
  <c r="G353" i="15"/>
  <c r="F353" i="15"/>
  <c r="E353" i="15"/>
  <c r="D353" i="15"/>
  <c r="P348" i="15"/>
  <c r="P343" i="15"/>
  <c r="P338" i="15"/>
  <c r="O333" i="15"/>
  <c r="N333" i="15"/>
  <c r="M333" i="15"/>
  <c r="L333" i="15"/>
  <c r="K333" i="15"/>
  <c r="J333" i="15"/>
  <c r="I333" i="15"/>
  <c r="H333" i="15"/>
  <c r="G333" i="15"/>
  <c r="F333" i="15"/>
  <c r="E333" i="15"/>
  <c r="D333" i="15"/>
  <c r="P328" i="15"/>
  <c r="P323" i="15"/>
  <c r="P318" i="15"/>
  <c r="P89" i="14" l="1"/>
  <c r="R110" i="14"/>
  <c r="R108" i="14"/>
  <c r="Q98" i="14"/>
  <c r="P98" i="14"/>
  <c r="R100" i="14"/>
  <c r="R101" i="14"/>
  <c r="R99" i="14"/>
  <c r="R98" i="14" s="1"/>
  <c r="N98" i="14"/>
  <c r="R90" i="14"/>
  <c r="R89" i="14" s="1"/>
  <c r="R77" i="14"/>
  <c r="R76" i="14" s="1"/>
  <c r="O67" i="14"/>
  <c r="N67" i="14"/>
  <c r="P353" i="15"/>
  <c r="P333" i="15"/>
  <c r="C8" i="14"/>
  <c r="D8" i="14"/>
  <c r="S17" i="14"/>
  <c r="R107" i="14" l="1"/>
  <c r="C17" i="14"/>
  <c r="D17" i="14"/>
  <c r="V18" i="14"/>
  <c r="W18" i="14" s="1"/>
  <c r="V19" i="14"/>
  <c r="W19" i="14" s="1"/>
  <c r="V20" i="14"/>
  <c r="W20" i="14" s="1"/>
  <c r="H36" i="14"/>
  <c r="R36" i="14"/>
  <c r="N37" i="14"/>
  <c r="O37" i="14"/>
  <c r="P37" i="14"/>
  <c r="Q37" i="14"/>
  <c r="Q36" i="14" s="1"/>
  <c r="N38" i="14"/>
  <c r="O38" i="14"/>
  <c r="P38" i="14"/>
  <c r="Q38" i="14"/>
  <c r="R38" i="14"/>
  <c r="N39" i="14"/>
  <c r="O39" i="14"/>
  <c r="R39" i="14" s="1"/>
  <c r="P39" i="14"/>
  <c r="Q39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6" i="14"/>
  <c r="O46" i="14"/>
  <c r="O45" i="14" s="1"/>
  <c r="P46" i="14"/>
  <c r="Q46" i="14"/>
  <c r="V46" i="14"/>
  <c r="W46" i="14"/>
  <c r="N47" i="14"/>
  <c r="O47" i="14"/>
  <c r="P47" i="14"/>
  <c r="Q47" i="14"/>
  <c r="R47" i="14"/>
  <c r="V47" i="14"/>
  <c r="W47" i="14"/>
  <c r="N48" i="14"/>
  <c r="O48" i="14"/>
  <c r="P48" i="14"/>
  <c r="Q48" i="14"/>
  <c r="Q45" i="14" s="1"/>
  <c r="R48" i="14"/>
  <c r="V48" i="14"/>
  <c r="W48" i="14" s="1"/>
  <c r="F20" i="12"/>
  <c r="E20" i="12"/>
  <c r="D20" i="12"/>
  <c r="B20" i="12"/>
  <c r="G8" i="12"/>
  <c r="E8" i="12"/>
  <c r="C8" i="12"/>
  <c r="C20" i="12" s="1"/>
  <c r="F46" i="17"/>
  <c r="G45" i="17"/>
  <c r="D45" i="17"/>
  <c r="F42" i="17"/>
  <c r="G41" i="17"/>
  <c r="V40" i="17"/>
  <c r="U40" i="17"/>
  <c r="T40" i="17"/>
  <c r="S40" i="17"/>
  <c r="M40" i="17"/>
  <c r="V39" i="17"/>
  <c r="U39" i="17"/>
  <c r="M39" i="17"/>
  <c r="V38" i="17"/>
  <c r="U38" i="17"/>
  <c r="M38" i="17"/>
  <c r="F38" i="17"/>
  <c r="V37" i="17"/>
  <c r="U37" i="17"/>
  <c r="M37" i="17"/>
  <c r="G37" i="17"/>
  <c r="D37" i="17"/>
  <c r="C37" i="17"/>
  <c r="V36" i="17"/>
  <c r="U36" i="17"/>
  <c r="M36" i="17"/>
  <c r="V35" i="17"/>
  <c r="U35" i="17"/>
  <c r="M35" i="17"/>
  <c r="A29" i="17"/>
  <c r="C28" i="17"/>
  <c r="I30" i="17" s="1"/>
  <c r="N23" i="17"/>
  <c r="K20" i="17"/>
  <c r="I20" i="17"/>
  <c r="I19" i="17" s="1"/>
  <c r="K19" i="17" s="1"/>
  <c r="P19" i="17"/>
  <c r="A19" i="17"/>
  <c r="Q12" i="17"/>
  <c r="R12" i="17" s="1"/>
  <c r="I10" i="17"/>
  <c r="K10" i="17" s="1"/>
  <c r="O9" i="17"/>
  <c r="A9" i="17"/>
  <c r="C8" i="17"/>
  <c r="N6" i="17"/>
  <c r="O6" i="17" s="1"/>
  <c r="Q11" i="14"/>
  <c r="P11" i="14"/>
  <c r="O11" i="14"/>
  <c r="N11" i="14"/>
  <c r="Q10" i="14"/>
  <c r="P10" i="14"/>
  <c r="O10" i="14"/>
  <c r="N10" i="14"/>
  <c r="Q9" i="14"/>
  <c r="P9" i="14"/>
  <c r="O9" i="14"/>
  <c r="N9" i="14"/>
  <c r="M8" i="14"/>
  <c r="L8" i="14"/>
  <c r="K8" i="14"/>
  <c r="J8" i="14"/>
  <c r="I8" i="14"/>
  <c r="H8" i="14"/>
  <c r="G8" i="14"/>
  <c r="F8" i="14"/>
  <c r="E8" i="14"/>
  <c r="B8" i="14"/>
  <c r="O314" i="15"/>
  <c r="N314" i="15"/>
  <c r="M314" i="15"/>
  <c r="L314" i="15"/>
  <c r="K314" i="15"/>
  <c r="J314" i="15"/>
  <c r="I314" i="15"/>
  <c r="H314" i="15"/>
  <c r="G314" i="15"/>
  <c r="F314" i="15"/>
  <c r="E314" i="15"/>
  <c r="D314" i="15"/>
  <c r="O313" i="15"/>
  <c r="N313" i="15"/>
  <c r="M313" i="15"/>
  <c r="L313" i="15"/>
  <c r="K313" i="15"/>
  <c r="J313" i="15"/>
  <c r="I313" i="15"/>
  <c r="H313" i="15"/>
  <c r="G313" i="15"/>
  <c r="F313" i="15"/>
  <c r="E313" i="15"/>
  <c r="D313" i="15"/>
  <c r="Q312" i="15"/>
  <c r="O312" i="15"/>
  <c r="N312" i="15"/>
  <c r="M312" i="15"/>
  <c r="L312" i="15"/>
  <c r="K312" i="15"/>
  <c r="J312" i="15"/>
  <c r="I312" i="15"/>
  <c r="H312" i="15"/>
  <c r="G312" i="15"/>
  <c r="F312" i="15"/>
  <c r="E312" i="15"/>
  <c r="D312" i="15"/>
  <c r="P309" i="15"/>
  <c r="P308" i="15"/>
  <c r="P307" i="15"/>
  <c r="P304" i="15"/>
  <c r="P303" i="15"/>
  <c r="P302" i="15"/>
  <c r="P299" i="15"/>
  <c r="P298" i="15"/>
  <c r="P297" i="15"/>
  <c r="Q293" i="15"/>
  <c r="Q277" i="15"/>
  <c r="Q261" i="15"/>
  <c r="Q245" i="15"/>
  <c r="Q229" i="15"/>
  <c r="Q225" i="15"/>
  <c r="Q221" i="15"/>
  <c r="Q217" i="15"/>
  <c r="T46" i="15"/>
  <c r="T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T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O41" i="15"/>
  <c r="N41" i="15"/>
  <c r="N49" i="15" s="1"/>
  <c r="M41" i="15"/>
  <c r="L41" i="15"/>
  <c r="K41" i="15"/>
  <c r="J41" i="15"/>
  <c r="I41" i="15"/>
  <c r="I49" i="15" s="1"/>
  <c r="H41" i="15"/>
  <c r="G41" i="15"/>
  <c r="F41" i="15"/>
  <c r="E41" i="15"/>
  <c r="D41" i="15"/>
  <c r="O40" i="15"/>
  <c r="N40" i="15"/>
  <c r="M40" i="15"/>
  <c r="L40" i="15"/>
  <c r="L48" i="15" s="1"/>
  <c r="K40" i="15"/>
  <c r="K48" i="15" s="1"/>
  <c r="J40" i="15"/>
  <c r="J48" i="15" s="1"/>
  <c r="I40" i="15"/>
  <c r="H40" i="15"/>
  <c r="G40" i="15"/>
  <c r="F40" i="15"/>
  <c r="F48" i="15" s="1"/>
  <c r="E40" i="15"/>
  <c r="E48" i="15" s="1"/>
  <c r="D40" i="15"/>
  <c r="O37" i="15"/>
  <c r="N37" i="15"/>
  <c r="M37" i="15"/>
  <c r="L37" i="15"/>
  <c r="K37" i="15"/>
  <c r="J37" i="15"/>
  <c r="I37" i="15"/>
  <c r="H37" i="15"/>
  <c r="H49" i="15" s="1"/>
  <c r="G37" i="15"/>
  <c r="G49" i="15" s="1"/>
  <c r="F37" i="15"/>
  <c r="F49" i="15" s="1"/>
  <c r="E37" i="15"/>
  <c r="E49" i="15" s="1"/>
  <c r="D37" i="15"/>
  <c r="P37" i="15" s="1"/>
  <c r="O36" i="15"/>
  <c r="N36" i="15"/>
  <c r="N48" i="15" s="1"/>
  <c r="M36" i="15"/>
  <c r="L36" i="15"/>
  <c r="K36" i="15"/>
  <c r="J36" i="15"/>
  <c r="I36" i="15"/>
  <c r="H36" i="15"/>
  <c r="G36" i="15"/>
  <c r="F36" i="15"/>
  <c r="E36" i="15"/>
  <c r="D36" i="15"/>
  <c r="R32" i="15"/>
  <c r="R21" i="15"/>
  <c r="R20" i="15"/>
  <c r="EM18" i="15"/>
  <c r="EL18" i="15"/>
  <c r="EK18" i="15"/>
  <c r="EO18" i="15" s="1"/>
  <c r="EJ18" i="15"/>
  <c r="EI18" i="15"/>
  <c r="EH18" i="15"/>
  <c r="EE18" i="15"/>
  <c r="ED18" i="15"/>
  <c r="EC18" i="15"/>
  <c r="EB18" i="15"/>
  <c r="EA18" i="15"/>
  <c r="EG18" i="15" s="1"/>
  <c r="DZ18" i="15"/>
  <c r="EO17" i="15"/>
  <c r="EN17" i="15"/>
  <c r="EG17" i="15"/>
  <c r="EF17" i="15"/>
  <c r="EO16" i="15"/>
  <c r="EN16" i="15"/>
  <c r="EG16" i="15"/>
  <c r="EF16" i="15"/>
  <c r="EO15" i="15"/>
  <c r="EN15" i="15"/>
  <c r="EG15" i="15"/>
  <c r="EF15" i="15"/>
  <c r="EO14" i="15"/>
  <c r="EN14" i="15"/>
  <c r="EG14" i="15"/>
  <c r="EF14" i="15"/>
  <c r="EO13" i="15"/>
  <c r="EN13" i="15"/>
  <c r="EG13" i="15"/>
  <c r="EF13" i="15"/>
  <c r="EO12" i="15"/>
  <c r="EN12" i="15"/>
  <c r="EG12" i="15"/>
  <c r="EF12" i="15"/>
  <c r="EO11" i="15"/>
  <c r="EN11" i="15"/>
  <c r="EG11" i="15"/>
  <c r="EF11" i="15"/>
  <c r="EO10" i="15"/>
  <c r="EN10" i="15"/>
  <c r="EG10" i="15"/>
  <c r="EF10" i="15"/>
  <c r="EO9" i="15"/>
  <c r="EN9" i="15"/>
  <c r="EG9" i="15"/>
  <c r="EF9" i="15"/>
  <c r="EO8" i="15"/>
  <c r="EN8" i="15"/>
  <c r="EG8" i="15"/>
  <c r="EF8" i="15"/>
  <c r="EO7" i="15"/>
  <c r="EN7" i="15"/>
  <c r="EG7" i="15"/>
  <c r="EF7" i="15"/>
  <c r="EO6" i="15"/>
  <c r="EN6" i="15"/>
  <c r="EG6" i="15"/>
  <c r="EF6" i="15"/>
  <c r="AB24" i="13"/>
  <c r="AA24" i="13"/>
  <c r="Z24" i="13"/>
  <c r="Y24" i="13"/>
  <c r="X24" i="13"/>
  <c r="W24" i="13"/>
  <c r="V24" i="13"/>
  <c r="U24" i="13"/>
  <c r="T24" i="13"/>
  <c r="S24" i="13"/>
  <c r="R24" i="13"/>
  <c r="Q24" i="13"/>
  <c r="AB23" i="13"/>
  <c r="AA23" i="13"/>
  <c r="AC23" i="13" s="1"/>
  <c r="Z23" i="13"/>
  <c r="Y23" i="13"/>
  <c r="X23" i="13"/>
  <c r="W23" i="13"/>
  <c r="V23" i="13"/>
  <c r="U23" i="13"/>
  <c r="T23" i="13"/>
  <c r="S23" i="13"/>
  <c r="R23" i="13"/>
  <c r="Q23" i="13"/>
  <c r="AB22" i="13"/>
  <c r="AA22" i="13"/>
  <c r="Z22" i="13"/>
  <c r="Y22" i="13"/>
  <c r="X22" i="13"/>
  <c r="AC22" i="13" s="1"/>
  <c r="W22" i="13"/>
  <c r="V22" i="13"/>
  <c r="U22" i="13"/>
  <c r="T22" i="13"/>
  <c r="S22" i="13"/>
  <c r="R22" i="13"/>
  <c r="Q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AC21" i="13" s="1"/>
  <c r="AB20" i="13"/>
  <c r="AA20" i="13"/>
  <c r="Z20" i="13"/>
  <c r="Y20" i="13"/>
  <c r="X20" i="13"/>
  <c r="W20" i="13"/>
  <c r="V20" i="13"/>
  <c r="U20" i="13"/>
  <c r="T20" i="13"/>
  <c r="S20" i="13"/>
  <c r="R20" i="13"/>
  <c r="Q20" i="13"/>
  <c r="AC20" i="13" s="1"/>
  <c r="AB19" i="13"/>
  <c r="AA19" i="13"/>
  <c r="Z19" i="13"/>
  <c r="Y19" i="13"/>
  <c r="X19" i="13"/>
  <c r="W19" i="13"/>
  <c r="V19" i="13"/>
  <c r="U19" i="13"/>
  <c r="T19" i="13"/>
  <c r="S19" i="13"/>
  <c r="R19" i="13"/>
  <c r="Q19" i="13"/>
  <c r="AC19" i="13" s="1"/>
  <c r="AB18" i="13"/>
  <c r="AA18" i="13"/>
  <c r="AC18" i="13" s="1"/>
  <c r="Z18" i="13"/>
  <c r="Y18" i="13"/>
  <c r="X18" i="13"/>
  <c r="W18" i="13"/>
  <c r="V18" i="13"/>
  <c r="U18" i="13"/>
  <c r="T18" i="13"/>
  <c r="S18" i="13"/>
  <c r="R18" i="13"/>
  <c r="Q18" i="13"/>
  <c r="AT17" i="13"/>
  <c r="AS17" i="13"/>
  <c r="AQ17" i="13"/>
  <c r="AP17" i="13"/>
  <c r="AO17" i="13"/>
  <c r="AN17" i="13"/>
  <c r="AE17" i="13"/>
  <c r="AI17" i="13" s="1"/>
  <c r="AB17" i="13"/>
  <c r="AA17" i="13"/>
  <c r="Z17" i="13"/>
  <c r="Y17" i="13"/>
  <c r="X17" i="13"/>
  <c r="W17" i="13"/>
  <c r="V17" i="13"/>
  <c r="U17" i="13"/>
  <c r="T17" i="13"/>
  <c r="S17" i="13"/>
  <c r="R17" i="13"/>
  <c r="AC17" i="13" s="1"/>
  <c r="Q17" i="13"/>
  <c r="AT16" i="13"/>
  <c r="AS16" i="13"/>
  <c r="AQ16" i="13"/>
  <c r="AP16" i="13"/>
  <c r="AO16" i="13"/>
  <c r="AN16" i="13"/>
  <c r="AE16" i="13"/>
  <c r="AG16" i="13" s="1"/>
  <c r="AB16" i="13"/>
  <c r="AA16" i="13"/>
  <c r="Z16" i="13"/>
  <c r="AQ15" i="13" s="1"/>
  <c r="Y16" i="13"/>
  <c r="X16" i="13"/>
  <c r="W16" i="13"/>
  <c r="V16" i="13"/>
  <c r="U16" i="13"/>
  <c r="AP10" i="13" s="1"/>
  <c r="T16" i="13"/>
  <c r="S16" i="13"/>
  <c r="R16" i="13"/>
  <c r="Q16" i="13"/>
  <c r="AT15" i="13"/>
  <c r="AS15" i="13"/>
  <c r="AP15" i="13"/>
  <c r="AO15" i="13"/>
  <c r="AN15" i="13"/>
  <c r="AE15" i="13"/>
  <c r="AF15" i="13" s="1"/>
  <c r="AB15" i="13"/>
  <c r="AA15" i="13"/>
  <c r="Z15" i="13"/>
  <c r="AC15" i="13" s="1"/>
  <c r="Y15" i="13"/>
  <c r="X15" i="13"/>
  <c r="W15" i="13"/>
  <c r="V15" i="13"/>
  <c r="U15" i="13"/>
  <c r="T15" i="13"/>
  <c r="S15" i="13"/>
  <c r="R15" i="13"/>
  <c r="Q15" i="13"/>
  <c r="AT14" i="13"/>
  <c r="AS14" i="13"/>
  <c r="AQ14" i="13"/>
  <c r="AO14" i="13"/>
  <c r="AN14" i="13"/>
  <c r="AE14" i="13"/>
  <c r="AH14" i="13" s="1"/>
  <c r="AB14" i="13"/>
  <c r="AA14" i="13"/>
  <c r="Z14" i="13"/>
  <c r="Y14" i="13"/>
  <c r="X14" i="13"/>
  <c r="W14" i="13"/>
  <c r="V14" i="13"/>
  <c r="U14" i="13"/>
  <c r="T14" i="13"/>
  <c r="S14" i="13"/>
  <c r="R14" i="13"/>
  <c r="AC14" i="13" s="1"/>
  <c r="Q14" i="13"/>
  <c r="AT13" i="13"/>
  <c r="AS13" i="13"/>
  <c r="AO13" i="13"/>
  <c r="AN13" i="13"/>
  <c r="AE13" i="13"/>
  <c r="AG13" i="13" s="1"/>
  <c r="AB13" i="13"/>
  <c r="AA13" i="13"/>
  <c r="Z13" i="13"/>
  <c r="Y13" i="13"/>
  <c r="X13" i="13"/>
  <c r="W13" i="13"/>
  <c r="V13" i="13"/>
  <c r="U13" i="13"/>
  <c r="T13" i="13"/>
  <c r="S13" i="13"/>
  <c r="R13" i="13"/>
  <c r="AC13" i="13" s="1"/>
  <c r="Q13" i="13"/>
  <c r="AT12" i="13"/>
  <c r="AS12" i="13"/>
  <c r="AQ12" i="13"/>
  <c r="AP12" i="13"/>
  <c r="AO12" i="13"/>
  <c r="AN12" i="13"/>
  <c r="AE12" i="13"/>
  <c r="AB12" i="13"/>
  <c r="AA12" i="13"/>
  <c r="Z12" i="13"/>
  <c r="Y12" i="13"/>
  <c r="X12" i="13"/>
  <c r="W12" i="13"/>
  <c r="V12" i="13"/>
  <c r="U12" i="13"/>
  <c r="T12" i="13"/>
  <c r="AP9" i="13" s="1"/>
  <c r="S12" i="13"/>
  <c r="R12" i="13"/>
  <c r="Q12" i="13"/>
  <c r="AT11" i="13"/>
  <c r="AS11" i="13"/>
  <c r="AQ11" i="13"/>
  <c r="AO11" i="13"/>
  <c r="AN11" i="13"/>
  <c r="AE11" i="13"/>
  <c r="AH11" i="13" s="1"/>
  <c r="AB11" i="13"/>
  <c r="AA11" i="13"/>
  <c r="Z11" i="13"/>
  <c r="Y11" i="13"/>
  <c r="X11" i="13"/>
  <c r="W11" i="13"/>
  <c r="V11" i="13"/>
  <c r="U11" i="13"/>
  <c r="T11" i="13"/>
  <c r="S11" i="13"/>
  <c r="R11" i="13"/>
  <c r="Q11" i="13"/>
  <c r="AT10" i="13"/>
  <c r="AS10" i="13"/>
  <c r="AQ10" i="13"/>
  <c r="AO10" i="13"/>
  <c r="AN10" i="13"/>
  <c r="AE10" i="13"/>
  <c r="AH10" i="13" s="1"/>
  <c r="AB10" i="13"/>
  <c r="AA10" i="13"/>
  <c r="Z10" i="13"/>
  <c r="Y10" i="13"/>
  <c r="X10" i="13"/>
  <c r="W10" i="13"/>
  <c r="V10" i="13"/>
  <c r="U10" i="13"/>
  <c r="T10" i="13"/>
  <c r="S10" i="13"/>
  <c r="R10" i="13"/>
  <c r="Q10" i="13"/>
  <c r="AC10" i="13" s="1"/>
  <c r="AT9" i="13"/>
  <c r="AS9" i="13"/>
  <c r="AQ9" i="13"/>
  <c r="AO9" i="13"/>
  <c r="AN9" i="13"/>
  <c r="AE9" i="13"/>
  <c r="AB9" i="13"/>
  <c r="AA9" i="13"/>
  <c r="Z9" i="13"/>
  <c r="Y9" i="13"/>
  <c r="X9" i="13"/>
  <c r="W9" i="13"/>
  <c r="V9" i="13"/>
  <c r="U9" i="13"/>
  <c r="T9" i="13"/>
  <c r="S9" i="13"/>
  <c r="R9" i="13"/>
  <c r="Q9" i="13"/>
  <c r="AT8" i="13"/>
  <c r="AS8" i="13"/>
  <c r="AQ8" i="13"/>
  <c r="AP8" i="13"/>
  <c r="AO8" i="13"/>
  <c r="AN8" i="13"/>
  <c r="AE8" i="13"/>
  <c r="AF8" i="13" s="1"/>
  <c r="AB8" i="13"/>
  <c r="AA8" i="13"/>
  <c r="Z8" i="13"/>
  <c r="Y8" i="13"/>
  <c r="X8" i="13"/>
  <c r="W8" i="13"/>
  <c r="V8" i="13"/>
  <c r="U8" i="13"/>
  <c r="T8" i="13"/>
  <c r="S8" i="13"/>
  <c r="R8" i="13"/>
  <c r="Q8" i="13"/>
  <c r="AT7" i="13"/>
  <c r="AS7" i="13"/>
  <c r="AQ7" i="13"/>
  <c r="AP7" i="13"/>
  <c r="AO7" i="13"/>
  <c r="AN7" i="13"/>
  <c r="AE7" i="13"/>
  <c r="AH7" i="13" s="1"/>
  <c r="AB7" i="13"/>
  <c r="AA7" i="13"/>
  <c r="Z7" i="13"/>
  <c r="Y7" i="13"/>
  <c r="X7" i="13"/>
  <c r="W7" i="13"/>
  <c r="V7" i="13"/>
  <c r="U7" i="13"/>
  <c r="T7" i="13"/>
  <c r="S7" i="13"/>
  <c r="R7" i="13"/>
  <c r="Q7" i="13"/>
  <c r="AC7" i="13" s="1"/>
  <c r="AT6" i="13"/>
  <c r="AS6" i="13"/>
  <c r="AQ6" i="13"/>
  <c r="AP6" i="13"/>
  <c r="AO6" i="13"/>
  <c r="AN6" i="13"/>
  <c r="AR6" i="13" s="1"/>
  <c r="S11" i="14" s="1"/>
  <c r="T11" i="14" s="1"/>
  <c r="AE6" i="13"/>
  <c r="AH6" i="13" s="1"/>
  <c r="AB6" i="13"/>
  <c r="AA6" i="13"/>
  <c r="Z6" i="13"/>
  <c r="Y6" i="13"/>
  <c r="X6" i="13"/>
  <c r="W6" i="13"/>
  <c r="V6" i="13"/>
  <c r="U6" i="13"/>
  <c r="T6" i="13"/>
  <c r="S6" i="13"/>
  <c r="R6" i="13"/>
  <c r="Q6" i="13"/>
  <c r="AB24" i="21"/>
  <c r="AA24" i="21"/>
  <c r="Z24" i="21"/>
  <c r="Y24" i="21"/>
  <c r="X24" i="21"/>
  <c r="W24" i="21"/>
  <c r="V24" i="21"/>
  <c r="U24" i="21"/>
  <c r="T24" i="21"/>
  <c r="S24" i="21"/>
  <c r="R24" i="21"/>
  <c r="Q24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AC23" i="21" s="1"/>
  <c r="AB22" i="21"/>
  <c r="AA22" i="21"/>
  <c r="Z22" i="21"/>
  <c r="Y22" i="21"/>
  <c r="X22" i="21"/>
  <c r="W22" i="21"/>
  <c r="V22" i="21"/>
  <c r="U22" i="21"/>
  <c r="T22" i="21"/>
  <c r="S22" i="21"/>
  <c r="R22" i="21"/>
  <c r="Q22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AB20" i="21"/>
  <c r="AA20" i="21"/>
  <c r="Z20" i="21"/>
  <c r="Y20" i="21"/>
  <c r="AQ14" i="21" s="1"/>
  <c r="X20" i="21"/>
  <c r="AQ13" i="21" s="1"/>
  <c r="W20" i="21"/>
  <c r="AP12" i="21" s="1"/>
  <c r="V20" i="21"/>
  <c r="AQ11" i="21" s="1"/>
  <c r="U20" i="21"/>
  <c r="T20" i="21"/>
  <c r="S20" i="21"/>
  <c r="R20" i="21"/>
  <c r="Q20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AT17" i="21"/>
  <c r="AS17" i="21"/>
  <c r="AO17" i="21"/>
  <c r="AN17" i="21"/>
  <c r="AE17" i="21"/>
  <c r="AF17" i="21" s="1"/>
  <c r="AB17" i="21"/>
  <c r="AA17" i="21"/>
  <c r="Z17" i="21"/>
  <c r="Y17" i="21"/>
  <c r="X17" i="21"/>
  <c r="W17" i="21"/>
  <c r="V17" i="21"/>
  <c r="U17" i="21"/>
  <c r="T17" i="21"/>
  <c r="S17" i="21"/>
  <c r="R17" i="21"/>
  <c r="Q17" i="21"/>
  <c r="AC17" i="21" s="1"/>
  <c r="AT16" i="21"/>
  <c r="AS16" i="21"/>
  <c r="AP16" i="21"/>
  <c r="AO16" i="21"/>
  <c r="AN16" i="21"/>
  <c r="AE16" i="21"/>
  <c r="AF16" i="21" s="1"/>
  <c r="AB16" i="21"/>
  <c r="AQ17" i="21" s="1"/>
  <c r="AA16" i="21"/>
  <c r="Z16" i="21"/>
  <c r="Y16" i="21"/>
  <c r="X16" i="21"/>
  <c r="W16" i="21"/>
  <c r="AQ12" i="21" s="1"/>
  <c r="V16" i="21"/>
  <c r="U16" i="21"/>
  <c r="T16" i="21"/>
  <c r="S16" i="21"/>
  <c r="AQ8" i="21" s="1"/>
  <c r="R16" i="21"/>
  <c r="Q16" i="21"/>
  <c r="AT15" i="21"/>
  <c r="AS15" i="21"/>
  <c r="AO15" i="21"/>
  <c r="AN15" i="21"/>
  <c r="AE15" i="21"/>
  <c r="AF15" i="21" s="1"/>
  <c r="AB15" i="21"/>
  <c r="AP17" i="21" s="1"/>
  <c r="AA15" i="21"/>
  <c r="Z15" i="21"/>
  <c r="Y15" i="21"/>
  <c r="X15" i="21"/>
  <c r="W15" i="21"/>
  <c r="V15" i="21"/>
  <c r="U15" i="21"/>
  <c r="T15" i="21"/>
  <c r="S15" i="21"/>
  <c r="AP8" i="21" s="1"/>
  <c r="R15" i="21"/>
  <c r="Q15" i="21"/>
  <c r="AC15" i="21" s="1"/>
  <c r="AT14" i="21"/>
  <c r="AS14" i="21"/>
  <c r="AO14" i="21"/>
  <c r="AN14" i="21"/>
  <c r="AE14" i="21"/>
  <c r="AB14" i="21"/>
  <c r="AA14" i="21"/>
  <c r="Z14" i="21"/>
  <c r="Y14" i="21"/>
  <c r="X14" i="21"/>
  <c r="W14" i="21"/>
  <c r="V14" i="21"/>
  <c r="U14" i="21"/>
  <c r="T14" i="21"/>
  <c r="AC14" i="21" s="1"/>
  <c r="S14" i="21"/>
  <c r="R14" i="21"/>
  <c r="Q14" i="21"/>
  <c r="AT13" i="21"/>
  <c r="AS13" i="21"/>
  <c r="AO13" i="21"/>
  <c r="AN13" i="21"/>
  <c r="AE13" i="21"/>
  <c r="AG13" i="21" s="1"/>
  <c r="AB13" i="21"/>
  <c r="AA13" i="21"/>
  <c r="Z13" i="21"/>
  <c r="Y13" i="21"/>
  <c r="X13" i="21"/>
  <c r="W13" i="21"/>
  <c r="V13" i="21"/>
  <c r="U13" i="21"/>
  <c r="T13" i="21"/>
  <c r="S13" i="21"/>
  <c r="R13" i="21"/>
  <c r="Q13" i="21"/>
  <c r="AT12" i="21"/>
  <c r="AS12" i="21"/>
  <c r="AO12" i="21"/>
  <c r="AN12" i="21"/>
  <c r="AE12" i="21"/>
  <c r="AI12" i="21" s="1"/>
  <c r="AB12" i="21"/>
  <c r="AA12" i="21"/>
  <c r="Z12" i="21"/>
  <c r="Y12" i="21"/>
  <c r="X12" i="21"/>
  <c r="W12" i="21"/>
  <c r="V12" i="21"/>
  <c r="U12" i="21"/>
  <c r="T12" i="21"/>
  <c r="S12" i="21"/>
  <c r="R12" i="21"/>
  <c r="Q12" i="21"/>
  <c r="AQ6" i="21" s="1"/>
  <c r="AT11" i="21"/>
  <c r="AS11" i="21"/>
  <c r="AO11" i="21"/>
  <c r="AN11" i="21"/>
  <c r="AE11" i="21"/>
  <c r="AB11" i="21"/>
  <c r="AA11" i="21"/>
  <c r="Z11" i="21"/>
  <c r="Y11" i="21"/>
  <c r="X11" i="21"/>
  <c r="W11" i="21"/>
  <c r="V11" i="21"/>
  <c r="U11" i="21"/>
  <c r="T11" i="21"/>
  <c r="S11" i="21"/>
  <c r="R11" i="21"/>
  <c r="AQ7" i="21" s="1"/>
  <c r="Q11" i="21"/>
  <c r="AP6" i="21" s="1"/>
  <c r="AT10" i="21"/>
  <c r="AS10" i="21"/>
  <c r="AQ10" i="21"/>
  <c r="AP10" i="21"/>
  <c r="AO10" i="21"/>
  <c r="AN10" i="21"/>
  <c r="AE10" i="21"/>
  <c r="AI10" i="21" s="1"/>
  <c r="AB10" i="21"/>
  <c r="AA10" i="21"/>
  <c r="Z10" i="21"/>
  <c r="Y10" i="21"/>
  <c r="X10" i="21"/>
  <c r="W10" i="21"/>
  <c r="V10" i="21"/>
  <c r="U10" i="21"/>
  <c r="T10" i="21"/>
  <c r="S10" i="21"/>
  <c r="R10" i="21"/>
  <c r="Q10" i="21"/>
  <c r="AT9" i="21"/>
  <c r="AS9" i="21"/>
  <c r="AQ9" i="21"/>
  <c r="AO9" i="21"/>
  <c r="AN9" i="21"/>
  <c r="AE9" i="21"/>
  <c r="AH9" i="21" s="1"/>
  <c r="AB9" i="21"/>
  <c r="AA9" i="21"/>
  <c r="Z9" i="21"/>
  <c r="Y9" i="21"/>
  <c r="X9" i="21"/>
  <c r="W9" i="21"/>
  <c r="V9" i="21"/>
  <c r="U9" i="21"/>
  <c r="T9" i="21"/>
  <c r="S9" i="21"/>
  <c r="R9" i="21"/>
  <c r="Q9" i="21"/>
  <c r="AT8" i="21"/>
  <c r="AS8" i="21"/>
  <c r="AO8" i="21"/>
  <c r="AN8" i="21"/>
  <c r="AE8" i="21"/>
  <c r="AF8" i="21" s="1"/>
  <c r="AB8" i="21"/>
  <c r="AA8" i="21"/>
  <c r="Z8" i="21"/>
  <c r="Y8" i="21"/>
  <c r="X8" i="21"/>
  <c r="W8" i="21"/>
  <c r="V8" i="21"/>
  <c r="U8" i="21"/>
  <c r="T8" i="21"/>
  <c r="S8" i="21"/>
  <c r="R8" i="21"/>
  <c r="Q8" i="21"/>
  <c r="AT7" i="21"/>
  <c r="AS7" i="21"/>
  <c r="AO7" i="21"/>
  <c r="AN7" i="21"/>
  <c r="AE7" i="21"/>
  <c r="AI7" i="21" s="1"/>
  <c r="AB7" i="21"/>
  <c r="AA7" i="21"/>
  <c r="Z7" i="21"/>
  <c r="Y7" i="21"/>
  <c r="X7" i="21"/>
  <c r="W7" i="21"/>
  <c r="V7" i="21"/>
  <c r="U7" i="21"/>
  <c r="T7" i="21"/>
  <c r="S7" i="21"/>
  <c r="AC7" i="21" s="1"/>
  <c r="R7" i="21"/>
  <c r="Q7" i="21"/>
  <c r="AE6" i="21"/>
  <c r="AF6" i="21" s="1"/>
  <c r="AB6" i="21"/>
  <c r="AA6" i="21"/>
  <c r="Z6" i="21"/>
  <c r="Y6" i="21"/>
  <c r="X6" i="21"/>
  <c r="W6" i="21"/>
  <c r="V6" i="21"/>
  <c r="U6" i="21"/>
  <c r="T6" i="21"/>
  <c r="S6" i="21"/>
  <c r="R6" i="21"/>
  <c r="Q6" i="21"/>
  <c r="Q23" i="20"/>
  <c r="AB22" i="20"/>
  <c r="AA22" i="20"/>
  <c r="S20" i="20"/>
  <c r="Q20" i="20"/>
  <c r="U19" i="20"/>
  <c r="AT17" i="20"/>
  <c r="AS17" i="20"/>
  <c r="AO17" i="20"/>
  <c r="AN17" i="20"/>
  <c r="AE17" i="20"/>
  <c r="X17" i="20"/>
  <c r="V17" i="20"/>
  <c r="AT16" i="20"/>
  <c r="AS16" i="20"/>
  <c r="AO16" i="20"/>
  <c r="AN16" i="20"/>
  <c r="AE16" i="20"/>
  <c r="AG16" i="20" s="1"/>
  <c r="AT15" i="20"/>
  <c r="AS15" i="20"/>
  <c r="AO15" i="20"/>
  <c r="AN15" i="20"/>
  <c r="AE15" i="20"/>
  <c r="AI15" i="20" s="1"/>
  <c r="AB15" i="20"/>
  <c r="AT14" i="20"/>
  <c r="AS14" i="20"/>
  <c r="AO14" i="20"/>
  <c r="AN14" i="20"/>
  <c r="AE14" i="20"/>
  <c r="AT13" i="20"/>
  <c r="AS13" i="20"/>
  <c r="AP13" i="20"/>
  <c r="AO13" i="20"/>
  <c r="AN13" i="20"/>
  <c r="AE13" i="20"/>
  <c r="AH13" i="20" s="1"/>
  <c r="AT12" i="20"/>
  <c r="AS12" i="20"/>
  <c r="AO12" i="20"/>
  <c r="AN12" i="20"/>
  <c r="AE12" i="20"/>
  <c r="AI12" i="20" s="1"/>
  <c r="T12" i="20"/>
  <c r="R12" i="20"/>
  <c r="AT11" i="20"/>
  <c r="AS11" i="20"/>
  <c r="AO11" i="20"/>
  <c r="AN11" i="20"/>
  <c r="AE11" i="20"/>
  <c r="AG11" i="20" s="1"/>
  <c r="AT10" i="20"/>
  <c r="AS10" i="20"/>
  <c r="AO10" i="20"/>
  <c r="AN10" i="20"/>
  <c r="AE10" i="20"/>
  <c r="AI10" i="20" s="1"/>
  <c r="Z10" i="20"/>
  <c r="AT9" i="20"/>
  <c r="AS9" i="20"/>
  <c r="AO9" i="20"/>
  <c r="AN9" i="20"/>
  <c r="AE9" i="20"/>
  <c r="AF9" i="20" s="1"/>
  <c r="Q9" i="20"/>
  <c r="AT8" i="20"/>
  <c r="AS8" i="20"/>
  <c r="AO8" i="20"/>
  <c r="AN8" i="20"/>
  <c r="AE8" i="20"/>
  <c r="AG8" i="20" s="1"/>
  <c r="AT7" i="20"/>
  <c r="AS7" i="20"/>
  <c r="AO7" i="20"/>
  <c r="AN7" i="20"/>
  <c r="AE7" i="20"/>
  <c r="AI7" i="20" s="1"/>
  <c r="Y7" i="20"/>
  <c r="X7" i="20"/>
  <c r="W7" i="20"/>
  <c r="AT6" i="20"/>
  <c r="AS6" i="20"/>
  <c r="AO6" i="20"/>
  <c r="AN6" i="20"/>
  <c r="AE6" i="20"/>
  <c r="AI6" i="20" s="1"/>
  <c r="AE2" i="20"/>
  <c r="AB24" i="20" s="1"/>
  <c r="P2554" i="16"/>
  <c r="P2553" i="16"/>
  <c r="P2552" i="16"/>
  <c r="P2551" i="16"/>
  <c r="P2550" i="16"/>
  <c r="P2549" i="16"/>
  <c r="P2548" i="16"/>
  <c r="P2547" i="16"/>
  <c r="P2546" i="16"/>
  <c r="P2545" i="16"/>
  <c r="P2544" i="16"/>
  <c r="P2543" i="16"/>
  <c r="P2542" i="16"/>
  <c r="P2541" i="16"/>
  <c r="P2540" i="16"/>
  <c r="P2539" i="16"/>
  <c r="P2538" i="16"/>
  <c r="P2537" i="16"/>
  <c r="P2536" i="16"/>
  <c r="P2535" i="16"/>
  <c r="P2534" i="16"/>
  <c r="P2533" i="16"/>
  <c r="P2532" i="16"/>
  <c r="P2531" i="16"/>
  <c r="P2530" i="16"/>
  <c r="P2529" i="16"/>
  <c r="P2528" i="16"/>
  <c r="P2527" i="16"/>
  <c r="P2526" i="16"/>
  <c r="P2525" i="16"/>
  <c r="P2524" i="16"/>
  <c r="P2523" i="16"/>
  <c r="P2522" i="16"/>
  <c r="P2521" i="16"/>
  <c r="P2520" i="16"/>
  <c r="P2519" i="16"/>
  <c r="P2518" i="16"/>
  <c r="P2517" i="16"/>
  <c r="P2516" i="16"/>
  <c r="P2515" i="16"/>
  <c r="P2514" i="16"/>
  <c r="P2513" i="16"/>
  <c r="P2512" i="16"/>
  <c r="P2511" i="16"/>
  <c r="P2510" i="16"/>
  <c r="P2509" i="16"/>
  <c r="P2508" i="16"/>
  <c r="P2507" i="16"/>
  <c r="P2506" i="16"/>
  <c r="P2505" i="16"/>
  <c r="P2504" i="16"/>
  <c r="P2503" i="16"/>
  <c r="P2502" i="16"/>
  <c r="P2501" i="16"/>
  <c r="P2500" i="16"/>
  <c r="P2499" i="16"/>
  <c r="P2498" i="16"/>
  <c r="P2497" i="16"/>
  <c r="P2496" i="16"/>
  <c r="P2495" i="16"/>
  <c r="P2494" i="16"/>
  <c r="P2493" i="16"/>
  <c r="P2492" i="16"/>
  <c r="P2491" i="16"/>
  <c r="P2490" i="16"/>
  <c r="P2489" i="16"/>
  <c r="P2488" i="16"/>
  <c r="P2487" i="16"/>
  <c r="P2486" i="16"/>
  <c r="P2485" i="16"/>
  <c r="P2484" i="16"/>
  <c r="P2483" i="16"/>
  <c r="P2482" i="16"/>
  <c r="P2481" i="16"/>
  <c r="P2480" i="16"/>
  <c r="P2479" i="16"/>
  <c r="P2478" i="16"/>
  <c r="P2477" i="16"/>
  <c r="P2476" i="16"/>
  <c r="P2475" i="16"/>
  <c r="P2474" i="16"/>
  <c r="P2473" i="16"/>
  <c r="P2472" i="16"/>
  <c r="P2471" i="16"/>
  <c r="P2470" i="16"/>
  <c r="P2469" i="16"/>
  <c r="P2468" i="16"/>
  <c r="P2467" i="16"/>
  <c r="P2466" i="16"/>
  <c r="P2465" i="16"/>
  <c r="P2464" i="16"/>
  <c r="P2463" i="16"/>
  <c r="P2462" i="16"/>
  <c r="P2461" i="16"/>
  <c r="P2460" i="16"/>
  <c r="P2459" i="16"/>
  <c r="P2458" i="16"/>
  <c r="P2457" i="16"/>
  <c r="P2456" i="16"/>
  <c r="P2455" i="16"/>
  <c r="P2454" i="16"/>
  <c r="P2453" i="16"/>
  <c r="P2452" i="16"/>
  <c r="P2451" i="16"/>
  <c r="P2450" i="16"/>
  <c r="P2449" i="16"/>
  <c r="P2448" i="16"/>
  <c r="P2447" i="16"/>
  <c r="P2446" i="16"/>
  <c r="P2445" i="16"/>
  <c r="P2444" i="16"/>
  <c r="P2443" i="16"/>
  <c r="P2442" i="16"/>
  <c r="P2441" i="16"/>
  <c r="P2440" i="16"/>
  <c r="P2439" i="16"/>
  <c r="P2438" i="16"/>
  <c r="P2437" i="16"/>
  <c r="P2436" i="16"/>
  <c r="P2435" i="16"/>
  <c r="P2434" i="16"/>
  <c r="P2433" i="16"/>
  <c r="P2432" i="16"/>
  <c r="P2431" i="16"/>
  <c r="P2430" i="16"/>
  <c r="P2429" i="16"/>
  <c r="P2428" i="16"/>
  <c r="P2427" i="16"/>
  <c r="P2426" i="16"/>
  <c r="P2425" i="16"/>
  <c r="P2424" i="16"/>
  <c r="P2423" i="16"/>
  <c r="P2422" i="16"/>
  <c r="P2421" i="16"/>
  <c r="P2420" i="16"/>
  <c r="P2419" i="16"/>
  <c r="P2418" i="16"/>
  <c r="P2417" i="16"/>
  <c r="P2416" i="16"/>
  <c r="P2415" i="16"/>
  <c r="P2414" i="16"/>
  <c r="P2413" i="16"/>
  <c r="P2412" i="16"/>
  <c r="P2411" i="16"/>
  <c r="P2410" i="16"/>
  <c r="P2409" i="16"/>
  <c r="P2408" i="16"/>
  <c r="P2407" i="16"/>
  <c r="P2406" i="16"/>
  <c r="P2405" i="16"/>
  <c r="P2404" i="16"/>
  <c r="P2403" i="16"/>
  <c r="P2402" i="16"/>
  <c r="P2401" i="16"/>
  <c r="P2400" i="16"/>
  <c r="P2399" i="16"/>
  <c r="P2398" i="16"/>
  <c r="P2397" i="16"/>
  <c r="P2396" i="16"/>
  <c r="P2395" i="16"/>
  <c r="P2394" i="16"/>
  <c r="P2393" i="16"/>
  <c r="P2392" i="16"/>
  <c r="P2391" i="16"/>
  <c r="P2390" i="16"/>
  <c r="P2389" i="16"/>
  <c r="P2388" i="16"/>
  <c r="P2387" i="16"/>
  <c r="P2386" i="16"/>
  <c r="P2385" i="16"/>
  <c r="P2384" i="16"/>
  <c r="P2383" i="16"/>
  <c r="P2382" i="16"/>
  <c r="P2381" i="16"/>
  <c r="P2380" i="16"/>
  <c r="P2379" i="16"/>
  <c r="P2378" i="16"/>
  <c r="P2377" i="16"/>
  <c r="P2376" i="16"/>
  <c r="P2375" i="16"/>
  <c r="P2374" i="16"/>
  <c r="P2373" i="16"/>
  <c r="P2372" i="16"/>
  <c r="P2371" i="16"/>
  <c r="P2370" i="16"/>
  <c r="P2369" i="16"/>
  <c r="P2368" i="16"/>
  <c r="P2367" i="16"/>
  <c r="P2366" i="16"/>
  <c r="P2365" i="16"/>
  <c r="P2364" i="16"/>
  <c r="P2363" i="16"/>
  <c r="P2362" i="16"/>
  <c r="P2361" i="16"/>
  <c r="P2360" i="16"/>
  <c r="P2359" i="16"/>
  <c r="P2358" i="16"/>
  <c r="P2357" i="16"/>
  <c r="P2356" i="16"/>
  <c r="P2355" i="16"/>
  <c r="P2354" i="16"/>
  <c r="P2353" i="16"/>
  <c r="P2352" i="16"/>
  <c r="P2351" i="16"/>
  <c r="P2350" i="16"/>
  <c r="P2349" i="16"/>
  <c r="P2348" i="16"/>
  <c r="P2347" i="16"/>
  <c r="P2346" i="16"/>
  <c r="P2345" i="16"/>
  <c r="P2344" i="16"/>
  <c r="P2343" i="16"/>
  <c r="P2342" i="16"/>
  <c r="P2341" i="16"/>
  <c r="P2340" i="16"/>
  <c r="P2339" i="16"/>
  <c r="P2338" i="16"/>
  <c r="P2337" i="16"/>
  <c r="P2336" i="16"/>
  <c r="P2335" i="16"/>
  <c r="P2334" i="16"/>
  <c r="P2333" i="16"/>
  <c r="P2332" i="16"/>
  <c r="P2331" i="16"/>
  <c r="P2330" i="16"/>
  <c r="P2329" i="16"/>
  <c r="P2328" i="16"/>
  <c r="P2327" i="16"/>
  <c r="P2326" i="16"/>
  <c r="P2325" i="16"/>
  <c r="P2324" i="16"/>
  <c r="P2323" i="16"/>
  <c r="P2322" i="16"/>
  <c r="P2321" i="16"/>
  <c r="P2320" i="16"/>
  <c r="P2319" i="16"/>
  <c r="P2318" i="16"/>
  <c r="P2317" i="16"/>
  <c r="P2316" i="16"/>
  <c r="P2315" i="16"/>
  <c r="P2314" i="16"/>
  <c r="P2313" i="16"/>
  <c r="P2312" i="16"/>
  <c r="P2311" i="16"/>
  <c r="P2310" i="16"/>
  <c r="P2309" i="16"/>
  <c r="P2308" i="16"/>
  <c r="P2307" i="16"/>
  <c r="P2306" i="16"/>
  <c r="P2305" i="16"/>
  <c r="P2304" i="16"/>
  <c r="P2303" i="16"/>
  <c r="P2302" i="16"/>
  <c r="P2301" i="16"/>
  <c r="P2300" i="16"/>
  <c r="P2299" i="16"/>
  <c r="P2298" i="16"/>
  <c r="P2297" i="16"/>
  <c r="P2296" i="16"/>
  <c r="P2295" i="16"/>
  <c r="P2294" i="16"/>
  <c r="P2293" i="16"/>
  <c r="P2292" i="16"/>
  <c r="P2291" i="16"/>
  <c r="P2290" i="16"/>
  <c r="P2289" i="16"/>
  <c r="P2288" i="16"/>
  <c r="P2287" i="16"/>
  <c r="P2286" i="16"/>
  <c r="P2285" i="16"/>
  <c r="P2284" i="16"/>
  <c r="P2283" i="16"/>
  <c r="P2282" i="16"/>
  <c r="P2281" i="16"/>
  <c r="P2280" i="16"/>
  <c r="P2279" i="16"/>
  <c r="P2278" i="16"/>
  <c r="P2277" i="16"/>
  <c r="P2276" i="16"/>
  <c r="P2275" i="16"/>
  <c r="P2274" i="16"/>
  <c r="P2273" i="16"/>
  <c r="P2272" i="16"/>
  <c r="P2271" i="16"/>
  <c r="P2270" i="16"/>
  <c r="P2269" i="16"/>
  <c r="P2268" i="16"/>
  <c r="P2267" i="16"/>
  <c r="P2266" i="16"/>
  <c r="P2265" i="16"/>
  <c r="P2264" i="16"/>
  <c r="P2263" i="16"/>
  <c r="P2262" i="16"/>
  <c r="P2261" i="16"/>
  <c r="P2260" i="16"/>
  <c r="P2259" i="16"/>
  <c r="P2258" i="16"/>
  <c r="P2257" i="16"/>
  <c r="P2256" i="16"/>
  <c r="P2255" i="16"/>
  <c r="P2254" i="16"/>
  <c r="P2253" i="16"/>
  <c r="P2252" i="16"/>
  <c r="P2251" i="16"/>
  <c r="P2250" i="16"/>
  <c r="P2249" i="16"/>
  <c r="P2248" i="16"/>
  <c r="P2247" i="16"/>
  <c r="P2246" i="16"/>
  <c r="P2245" i="16"/>
  <c r="P2244" i="16"/>
  <c r="P2243" i="16"/>
  <c r="P2242" i="16"/>
  <c r="P2241" i="16"/>
  <c r="P2240" i="16"/>
  <c r="P2239" i="16"/>
  <c r="P2238" i="16"/>
  <c r="P2237" i="16"/>
  <c r="P2236" i="16"/>
  <c r="P2235" i="16"/>
  <c r="P2234" i="16"/>
  <c r="P2233" i="16"/>
  <c r="P2232" i="16"/>
  <c r="P2231" i="16"/>
  <c r="P2230" i="16"/>
  <c r="P2229" i="16"/>
  <c r="P2228" i="16"/>
  <c r="P2227" i="16"/>
  <c r="P2226" i="16"/>
  <c r="P2225" i="16"/>
  <c r="P2224" i="16"/>
  <c r="P2223" i="16"/>
  <c r="P2222" i="16"/>
  <c r="P2221" i="16"/>
  <c r="P2220" i="16"/>
  <c r="P2219" i="16"/>
  <c r="P2218" i="16"/>
  <c r="P2217" i="16"/>
  <c r="P2216" i="16"/>
  <c r="P2215" i="16"/>
  <c r="P2214" i="16"/>
  <c r="P2213" i="16"/>
  <c r="P2212" i="16"/>
  <c r="P2211" i="16"/>
  <c r="P2210" i="16"/>
  <c r="P2209" i="16"/>
  <c r="P2208" i="16"/>
  <c r="P2207" i="16"/>
  <c r="P2206" i="16"/>
  <c r="P2205" i="16"/>
  <c r="P2204" i="16"/>
  <c r="P2203" i="16"/>
  <c r="P2202" i="16"/>
  <c r="P2201" i="16"/>
  <c r="P2200" i="16"/>
  <c r="P2199" i="16"/>
  <c r="P2198" i="16"/>
  <c r="P2197" i="16"/>
  <c r="P2196" i="16"/>
  <c r="P2195" i="16"/>
  <c r="P2194" i="16"/>
  <c r="P2193" i="16"/>
  <c r="P2192" i="16"/>
  <c r="P2191" i="16"/>
  <c r="P2190" i="16"/>
  <c r="P2189" i="16"/>
  <c r="P2188" i="16"/>
  <c r="P2187" i="16"/>
  <c r="P2186" i="16"/>
  <c r="P2185" i="16"/>
  <c r="P2184" i="16"/>
  <c r="P2183" i="16"/>
  <c r="P2182" i="16"/>
  <c r="P2181" i="16"/>
  <c r="P2180" i="16"/>
  <c r="P2179" i="16"/>
  <c r="P2178" i="16"/>
  <c r="P2177" i="16"/>
  <c r="P2176" i="16"/>
  <c r="P2175" i="16"/>
  <c r="P2174" i="16"/>
  <c r="P2173" i="16"/>
  <c r="P2172" i="16"/>
  <c r="P2171" i="16"/>
  <c r="P2170" i="16"/>
  <c r="P2169" i="16"/>
  <c r="P2168" i="16"/>
  <c r="P2167" i="16"/>
  <c r="P2166" i="16"/>
  <c r="P2165" i="16"/>
  <c r="P2164" i="16"/>
  <c r="P2163" i="16"/>
  <c r="P2162" i="16"/>
  <c r="P2161" i="16"/>
  <c r="P2160" i="16"/>
  <c r="P2159" i="16"/>
  <c r="P2158" i="16"/>
  <c r="P2157" i="16"/>
  <c r="P2156" i="16"/>
  <c r="P2155" i="16"/>
  <c r="P2154" i="16"/>
  <c r="P2153" i="16"/>
  <c r="P2152" i="16"/>
  <c r="P2151" i="16"/>
  <c r="P2150" i="16"/>
  <c r="P2149" i="16"/>
  <c r="P2148" i="16"/>
  <c r="P2147" i="16"/>
  <c r="P2146" i="16"/>
  <c r="P2145" i="16"/>
  <c r="P2144" i="16"/>
  <c r="P2143" i="16"/>
  <c r="P2142" i="16"/>
  <c r="P2141" i="16"/>
  <c r="P2140" i="16"/>
  <c r="P2139" i="16"/>
  <c r="P2138" i="16"/>
  <c r="P2137" i="16"/>
  <c r="P2136" i="16"/>
  <c r="P2135" i="16"/>
  <c r="P2134" i="16"/>
  <c r="P2133" i="16"/>
  <c r="P2132" i="16"/>
  <c r="P2131" i="16"/>
  <c r="P2130" i="16"/>
  <c r="P2129" i="16"/>
  <c r="P2128" i="16"/>
  <c r="P2127" i="16"/>
  <c r="P2126" i="16"/>
  <c r="P2125" i="16"/>
  <c r="P2124" i="16"/>
  <c r="P2123" i="16"/>
  <c r="P2122" i="16"/>
  <c r="P2121" i="16"/>
  <c r="P2120" i="16"/>
  <c r="P2119" i="16"/>
  <c r="P2118" i="16"/>
  <c r="P2117" i="16"/>
  <c r="P2116" i="16"/>
  <c r="P2115" i="16"/>
  <c r="P2114" i="16"/>
  <c r="P2113" i="16"/>
  <c r="P2112" i="16"/>
  <c r="P2111" i="16"/>
  <c r="P2110" i="16"/>
  <c r="P2109" i="16"/>
  <c r="P2108" i="16"/>
  <c r="P2107" i="16"/>
  <c r="P2106" i="16"/>
  <c r="P2105" i="16"/>
  <c r="P2104" i="16"/>
  <c r="P2103" i="16"/>
  <c r="P2102" i="16"/>
  <c r="P2101" i="16"/>
  <c r="P2100" i="16"/>
  <c r="P2099" i="16"/>
  <c r="P2098" i="16"/>
  <c r="P2097" i="16"/>
  <c r="P2096" i="16"/>
  <c r="P2095" i="16"/>
  <c r="P2094" i="16"/>
  <c r="P2093" i="16"/>
  <c r="P2092" i="16"/>
  <c r="P2091" i="16"/>
  <c r="P2090" i="16"/>
  <c r="P2089" i="16"/>
  <c r="P2088" i="16"/>
  <c r="P2087" i="16"/>
  <c r="P2086" i="16"/>
  <c r="P2085" i="16"/>
  <c r="P2084" i="16"/>
  <c r="P2083" i="16"/>
  <c r="P2082" i="16"/>
  <c r="P2081" i="16"/>
  <c r="P2080" i="16"/>
  <c r="P2079" i="16"/>
  <c r="P2078" i="16"/>
  <c r="P2077" i="16"/>
  <c r="P2076" i="16"/>
  <c r="P2075" i="16"/>
  <c r="P2074" i="16"/>
  <c r="P2073" i="16"/>
  <c r="P2072" i="16"/>
  <c r="P2071" i="16"/>
  <c r="P2070" i="16"/>
  <c r="P2069" i="16"/>
  <c r="P2068" i="16"/>
  <c r="P2067" i="16"/>
  <c r="P2066" i="16"/>
  <c r="P2065" i="16"/>
  <c r="P2064" i="16"/>
  <c r="P2063" i="16"/>
  <c r="P2062" i="16"/>
  <c r="P2061" i="16"/>
  <c r="P2060" i="16"/>
  <c r="P2059" i="16"/>
  <c r="P2058" i="16"/>
  <c r="P2057" i="16"/>
  <c r="P2056" i="16"/>
  <c r="P2055" i="16"/>
  <c r="P2054" i="16"/>
  <c r="P2053" i="16"/>
  <c r="P2052" i="16"/>
  <c r="P2051" i="16"/>
  <c r="P2050" i="16"/>
  <c r="P2049" i="16"/>
  <c r="P2048" i="16"/>
  <c r="P2047" i="16"/>
  <c r="P2046" i="16"/>
  <c r="P2045" i="16"/>
  <c r="P2044" i="16"/>
  <c r="P2043" i="16"/>
  <c r="P2042" i="16"/>
  <c r="P2041" i="16"/>
  <c r="P2040" i="16"/>
  <c r="P2039" i="16"/>
  <c r="P2038" i="16"/>
  <c r="P2037" i="16"/>
  <c r="P2036" i="16"/>
  <c r="P2035" i="16"/>
  <c r="P2034" i="16"/>
  <c r="P2033" i="16"/>
  <c r="P2032" i="16"/>
  <c r="P2031" i="16"/>
  <c r="P2030" i="16"/>
  <c r="P2029" i="16"/>
  <c r="P2028" i="16"/>
  <c r="P2027" i="16"/>
  <c r="P2026" i="16"/>
  <c r="P2025" i="16"/>
  <c r="P2024" i="16"/>
  <c r="P2023" i="16"/>
  <c r="P2022" i="16"/>
  <c r="P2021" i="16"/>
  <c r="P2020" i="16"/>
  <c r="P2019" i="16"/>
  <c r="P2018" i="16"/>
  <c r="P2017" i="16"/>
  <c r="P2016" i="16"/>
  <c r="P2015" i="16"/>
  <c r="P2014" i="16"/>
  <c r="P2013" i="16"/>
  <c r="P2012" i="16"/>
  <c r="P2011" i="16"/>
  <c r="P2010" i="16"/>
  <c r="P2009" i="16"/>
  <c r="P2008" i="16"/>
  <c r="P2007" i="16"/>
  <c r="P2006" i="16"/>
  <c r="P2005" i="16"/>
  <c r="P2004" i="16"/>
  <c r="P2003" i="16"/>
  <c r="P2002" i="16"/>
  <c r="P2001" i="16"/>
  <c r="P2000" i="16"/>
  <c r="P1999" i="16"/>
  <c r="P1998" i="16"/>
  <c r="P1997" i="16"/>
  <c r="P1996" i="16"/>
  <c r="P1995" i="16"/>
  <c r="P1994" i="16"/>
  <c r="P1993" i="16"/>
  <c r="P1992" i="16"/>
  <c r="P1991" i="16"/>
  <c r="P1990" i="16"/>
  <c r="P1989" i="16"/>
  <c r="P1988" i="16"/>
  <c r="P1987" i="16"/>
  <c r="P1986" i="16"/>
  <c r="P1985" i="16"/>
  <c r="P1984" i="16"/>
  <c r="P1983" i="16"/>
  <c r="P1982" i="16"/>
  <c r="P1981" i="16"/>
  <c r="P1980" i="16"/>
  <c r="P1979" i="16"/>
  <c r="P1978" i="16"/>
  <c r="P1977" i="16"/>
  <c r="P1976" i="16"/>
  <c r="P1975" i="16"/>
  <c r="P1974" i="16"/>
  <c r="P1973" i="16"/>
  <c r="P1972" i="16"/>
  <c r="P1971" i="16"/>
  <c r="P1970" i="16"/>
  <c r="P1969" i="16"/>
  <c r="P1968" i="16"/>
  <c r="P1967" i="16"/>
  <c r="P1966" i="16"/>
  <c r="P1965" i="16"/>
  <c r="P1964" i="16"/>
  <c r="P1963" i="16"/>
  <c r="P1962" i="16"/>
  <c r="P1961" i="16"/>
  <c r="P1960" i="16"/>
  <c r="P1959" i="16"/>
  <c r="P1958" i="16"/>
  <c r="P1957" i="16"/>
  <c r="P1956" i="16"/>
  <c r="P1955" i="16"/>
  <c r="P1954" i="16"/>
  <c r="P1953" i="16"/>
  <c r="P1952" i="16"/>
  <c r="P1951" i="16"/>
  <c r="P1950" i="16"/>
  <c r="P1949" i="16"/>
  <c r="P1948" i="16"/>
  <c r="P1947" i="16"/>
  <c r="P1946" i="16"/>
  <c r="P1945" i="16"/>
  <c r="P1944" i="16"/>
  <c r="P1943" i="16"/>
  <c r="P1942" i="16"/>
  <c r="P1941" i="16"/>
  <c r="P1940" i="16"/>
  <c r="P1939" i="16"/>
  <c r="P1938" i="16"/>
  <c r="P1937" i="16"/>
  <c r="P1936" i="16"/>
  <c r="P1935" i="16"/>
  <c r="P1934" i="16"/>
  <c r="P1933" i="16"/>
  <c r="P1932" i="16"/>
  <c r="P1931" i="16"/>
  <c r="P1930" i="16"/>
  <c r="P1929" i="16"/>
  <c r="P1928" i="16"/>
  <c r="P1927" i="16"/>
  <c r="P1926" i="16"/>
  <c r="P1925" i="16"/>
  <c r="P1924" i="16"/>
  <c r="P1923" i="16"/>
  <c r="P1922" i="16"/>
  <c r="P1921" i="16"/>
  <c r="P1920" i="16"/>
  <c r="P1919" i="16"/>
  <c r="P1918" i="16"/>
  <c r="P1917" i="16"/>
  <c r="P1916" i="16"/>
  <c r="P1915" i="16"/>
  <c r="P1914" i="16"/>
  <c r="P1913" i="16"/>
  <c r="P1912" i="16"/>
  <c r="P1911" i="16"/>
  <c r="P1910" i="16"/>
  <c r="P1909" i="16"/>
  <c r="P1908" i="16"/>
  <c r="P1907" i="16"/>
  <c r="P1906" i="16"/>
  <c r="P1905" i="16"/>
  <c r="P1904" i="16"/>
  <c r="P1903" i="16"/>
  <c r="P1902" i="16"/>
  <c r="P1901" i="16"/>
  <c r="P1900" i="16"/>
  <c r="P1899" i="16"/>
  <c r="P1898" i="16"/>
  <c r="P1897" i="16"/>
  <c r="P1896" i="16"/>
  <c r="P1895" i="16"/>
  <c r="P1894" i="16"/>
  <c r="P1893" i="16"/>
  <c r="P1892" i="16"/>
  <c r="P1891" i="16"/>
  <c r="P1890" i="16"/>
  <c r="P1889" i="16"/>
  <c r="P1888" i="16"/>
  <c r="P1887" i="16"/>
  <c r="P1886" i="16"/>
  <c r="P1885" i="16"/>
  <c r="P1884" i="16"/>
  <c r="P1883" i="16"/>
  <c r="P1882" i="16"/>
  <c r="P1881" i="16"/>
  <c r="P1880" i="16"/>
  <c r="P1879" i="16"/>
  <c r="P1878" i="16"/>
  <c r="P1877" i="16"/>
  <c r="P1876" i="16"/>
  <c r="P1875" i="16"/>
  <c r="P1874" i="16"/>
  <c r="P1873" i="16"/>
  <c r="P1872" i="16"/>
  <c r="P1871" i="16"/>
  <c r="P1870" i="16"/>
  <c r="P1869" i="16"/>
  <c r="P1868" i="16"/>
  <c r="P1867" i="16"/>
  <c r="P1866" i="16"/>
  <c r="P1865" i="16"/>
  <c r="P1864" i="16"/>
  <c r="P1863" i="16"/>
  <c r="P1862" i="16"/>
  <c r="P1861" i="16"/>
  <c r="P1860" i="16"/>
  <c r="P1859" i="16"/>
  <c r="P1858" i="16"/>
  <c r="P1857" i="16"/>
  <c r="P1856" i="16"/>
  <c r="P1855" i="16"/>
  <c r="P1854" i="16"/>
  <c r="P1853" i="16"/>
  <c r="P1852" i="16"/>
  <c r="P1851" i="16"/>
  <c r="P1850" i="16"/>
  <c r="P1849" i="16"/>
  <c r="P1848" i="16"/>
  <c r="P1847" i="16"/>
  <c r="P1846" i="16"/>
  <c r="P1845" i="16"/>
  <c r="P1844" i="16"/>
  <c r="P1843" i="16"/>
  <c r="P1842" i="16"/>
  <c r="P1841" i="16"/>
  <c r="P1840" i="16"/>
  <c r="P1839" i="16"/>
  <c r="P1838" i="16"/>
  <c r="P1837" i="16"/>
  <c r="P1836" i="16"/>
  <c r="P1835" i="16"/>
  <c r="P1834" i="16"/>
  <c r="P1833" i="16"/>
  <c r="P1832" i="16"/>
  <c r="P1831" i="16"/>
  <c r="P1830" i="16"/>
  <c r="P1829" i="16"/>
  <c r="P1828" i="16"/>
  <c r="P1827" i="16"/>
  <c r="P1826" i="16"/>
  <c r="P1825" i="16"/>
  <c r="P1824" i="16"/>
  <c r="P1823" i="16"/>
  <c r="P1822" i="16"/>
  <c r="P1821" i="16"/>
  <c r="P1820" i="16"/>
  <c r="P1819" i="16"/>
  <c r="P1818" i="16"/>
  <c r="P1817" i="16"/>
  <c r="P1816" i="16"/>
  <c r="P1815" i="16"/>
  <c r="P1814" i="16"/>
  <c r="P1813" i="16"/>
  <c r="P1812" i="16"/>
  <c r="P1811" i="16"/>
  <c r="P1810" i="16"/>
  <c r="P1809" i="16"/>
  <c r="P1808" i="16"/>
  <c r="P1807" i="16"/>
  <c r="P1806" i="16"/>
  <c r="P1805" i="16"/>
  <c r="P1804" i="16"/>
  <c r="P1803" i="16"/>
  <c r="P1802" i="16"/>
  <c r="P1801" i="16"/>
  <c r="P1800" i="16"/>
  <c r="P1799" i="16"/>
  <c r="P1798" i="16"/>
  <c r="P1797" i="16"/>
  <c r="P1796" i="16"/>
  <c r="P1795" i="16"/>
  <c r="P1794" i="16"/>
  <c r="P1793" i="16"/>
  <c r="P1792" i="16"/>
  <c r="P1791" i="16"/>
  <c r="P1790" i="16"/>
  <c r="P1789" i="16"/>
  <c r="P1788" i="16"/>
  <c r="P1787" i="16"/>
  <c r="P1786" i="16"/>
  <c r="P1785" i="16"/>
  <c r="P1784" i="16"/>
  <c r="P1783" i="16"/>
  <c r="P1782" i="16"/>
  <c r="P1781" i="16"/>
  <c r="P1780" i="16"/>
  <c r="P1779" i="16"/>
  <c r="P1778" i="16"/>
  <c r="P1777" i="16"/>
  <c r="P1776" i="16"/>
  <c r="P1775" i="16"/>
  <c r="P1774" i="16"/>
  <c r="P1773" i="16"/>
  <c r="P1772" i="16"/>
  <c r="P1771" i="16"/>
  <c r="P1770" i="16"/>
  <c r="P1769" i="16"/>
  <c r="P1768" i="16"/>
  <c r="P1767" i="16"/>
  <c r="P1766" i="16"/>
  <c r="P1765" i="16"/>
  <c r="P1764" i="16"/>
  <c r="P1763" i="16"/>
  <c r="P1762" i="16"/>
  <c r="P1761" i="16"/>
  <c r="P1760" i="16"/>
  <c r="P1759" i="16"/>
  <c r="P1758" i="16"/>
  <c r="P1757" i="16"/>
  <c r="P1756" i="16"/>
  <c r="P1755" i="16"/>
  <c r="P1754" i="16"/>
  <c r="P1753" i="16"/>
  <c r="P1752" i="16"/>
  <c r="P1751" i="16"/>
  <c r="P1750" i="16"/>
  <c r="P1749" i="16"/>
  <c r="P1748" i="16"/>
  <c r="P1747" i="16"/>
  <c r="P1746" i="16"/>
  <c r="P1745" i="16"/>
  <c r="P1744" i="16"/>
  <c r="P1743" i="16"/>
  <c r="P1742" i="16"/>
  <c r="P1741" i="16"/>
  <c r="P1740" i="16"/>
  <c r="P1739" i="16"/>
  <c r="P1738" i="16"/>
  <c r="P1737" i="16"/>
  <c r="P1736" i="16"/>
  <c r="P1735" i="16"/>
  <c r="P1734" i="16"/>
  <c r="P1733" i="16"/>
  <c r="P1732" i="16"/>
  <c r="P1731" i="16"/>
  <c r="P1730" i="16"/>
  <c r="P1729" i="16"/>
  <c r="P1728" i="16"/>
  <c r="P1727" i="16"/>
  <c r="P1726" i="16"/>
  <c r="P1725" i="16"/>
  <c r="P1724" i="16"/>
  <c r="P1723" i="16"/>
  <c r="P1722" i="16"/>
  <c r="P1721" i="16"/>
  <c r="P1720" i="16"/>
  <c r="P1719" i="16"/>
  <c r="P1718" i="16"/>
  <c r="P1717" i="16"/>
  <c r="P1716" i="16"/>
  <c r="P1715" i="16"/>
  <c r="P1714" i="16"/>
  <c r="P1713" i="16"/>
  <c r="P1712" i="16"/>
  <c r="P1711" i="16"/>
  <c r="P1710" i="16"/>
  <c r="P1709" i="16"/>
  <c r="P1708" i="16"/>
  <c r="P1707" i="16"/>
  <c r="P1706" i="16"/>
  <c r="P1705" i="16"/>
  <c r="P1704" i="16"/>
  <c r="P1703" i="16"/>
  <c r="P1702" i="16"/>
  <c r="P1701" i="16"/>
  <c r="P1700" i="16"/>
  <c r="P1699" i="16"/>
  <c r="P1698" i="16"/>
  <c r="P1697" i="16"/>
  <c r="P1696" i="16"/>
  <c r="P1695" i="16"/>
  <c r="P1694" i="16"/>
  <c r="P1693" i="16"/>
  <c r="P1692" i="16"/>
  <c r="P1691" i="16"/>
  <c r="P1690" i="16"/>
  <c r="P1689" i="16"/>
  <c r="P1688" i="16"/>
  <c r="P1687" i="16"/>
  <c r="P1686" i="16"/>
  <c r="P1685" i="16"/>
  <c r="P1684" i="16"/>
  <c r="P1683" i="16"/>
  <c r="P1682" i="16"/>
  <c r="P1681" i="16"/>
  <c r="P1680" i="16"/>
  <c r="P1679" i="16"/>
  <c r="P1678" i="16"/>
  <c r="P1677" i="16"/>
  <c r="P1676" i="16"/>
  <c r="P1675" i="16"/>
  <c r="P1674" i="16"/>
  <c r="P1673" i="16"/>
  <c r="P1672" i="16"/>
  <c r="P1671" i="16"/>
  <c r="P1670" i="16"/>
  <c r="P1669" i="16"/>
  <c r="P1668" i="16"/>
  <c r="P1667" i="16"/>
  <c r="P1666" i="16"/>
  <c r="P1665" i="16"/>
  <c r="P1664" i="16"/>
  <c r="P1663" i="16"/>
  <c r="P1662" i="16"/>
  <c r="P1661" i="16"/>
  <c r="P1660" i="16"/>
  <c r="P1659" i="16"/>
  <c r="P1658" i="16"/>
  <c r="P1657" i="16"/>
  <c r="P1656" i="16"/>
  <c r="P1655" i="16"/>
  <c r="P1654" i="16"/>
  <c r="P1653" i="16"/>
  <c r="P1652" i="16"/>
  <c r="P1651" i="16"/>
  <c r="P1650" i="16"/>
  <c r="P1649" i="16"/>
  <c r="P1648" i="16"/>
  <c r="P1647" i="16"/>
  <c r="P1646" i="16"/>
  <c r="P1645" i="16"/>
  <c r="P1644" i="16"/>
  <c r="P1643" i="16"/>
  <c r="P1642" i="16"/>
  <c r="P1641" i="16"/>
  <c r="P1640" i="16"/>
  <c r="P1639" i="16"/>
  <c r="P1638" i="16"/>
  <c r="P1637" i="16"/>
  <c r="P1636" i="16"/>
  <c r="P1635" i="16"/>
  <c r="P1634" i="16"/>
  <c r="P1633" i="16"/>
  <c r="P1632" i="16"/>
  <c r="P1631" i="16"/>
  <c r="P1630" i="16"/>
  <c r="P1629" i="16"/>
  <c r="P1628" i="16"/>
  <c r="P1627" i="16"/>
  <c r="P1626" i="16"/>
  <c r="P1625" i="16"/>
  <c r="P1624" i="16"/>
  <c r="P1623" i="16"/>
  <c r="P1622" i="16"/>
  <c r="P1621" i="16"/>
  <c r="P1620" i="16"/>
  <c r="P1619" i="16"/>
  <c r="P1618" i="16"/>
  <c r="P1617" i="16"/>
  <c r="P1616" i="16"/>
  <c r="P1615" i="16"/>
  <c r="P1614" i="16"/>
  <c r="P1613" i="16"/>
  <c r="P1612" i="16"/>
  <c r="P1611" i="16"/>
  <c r="P1610" i="16"/>
  <c r="P1609" i="16"/>
  <c r="P1608" i="16"/>
  <c r="P1607" i="16"/>
  <c r="P1606" i="16"/>
  <c r="P1605" i="16"/>
  <c r="P1604" i="16"/>
  <c r="P1603" i="16"/>
  <c r="P1602" i="16"/>
  <c r="P1601" i="16"/>
  <c r="P1600" i="16"/>
  <c r="P1599" i="16"/>
  <c r="P1598" i="16"/>
  <c r="P1597" i="16"/>
  <c r="P1596" i="16"/>
  <c r="P1595" i="16"/>
  <c r="P1594" i="16"/>
  <c r="P1593" i="16"/>
  <c r="P1592" i="16"/>
  <c r="P1591" i="16"/>
  <c r="P1590" i="16"/>
  <c r="P1589" i="16"/>
  <c r="P1588" i="16"/>
  <c r="P1587" i="16"/>
  <c r="P1586" i="16"/>
  <c r="P1585" i="16"/>
  <c r="P1584" i="16"/>
  <c r="P1583" i="16"/>
  <c r="P1582" i="16"/>
  <c r="P1581" i="16"/>
  <c r="P1580" i="16"/>
  <c r="P1579" i="16"/>
  <c r="P1578" i="16"/>
  <c r="P1577" i="16"/>
  <c r="P1576" i="16"/>
  <c r="P1575" i="16"/>
  <c r="P1574" i="16"/>
  <c r="P1573" i="16"/>
  <c r="P1572" i="16"/>
  <c r="P1571" i="16"/>
  <c r="P1570" i="16"/>
  <c r="P1569" i="16"/>
  <c r="P1568" i="16"/>
  <c r="P1567" i="16"/>
  <c r="P1566" i="16"/>
  <c r="P1565" i="16"/>
  <c r="P1564" i="16"/>
  <c r="P1563" i="16"/>
  <c r="P1562" i="16"/>
  <c r="P1561" i="16"/>
  <c r="P1560" i="16"/>
  <c r="P1559" i="16"/>
  <c r="P1558" i="16"/>
  <c r="P1557" i="16"/>
  <c r="P1556" i="16"/>
  <c r="P1555" i="16"/>
  <c r="P1554" i="16"/>
  <c r="P1553" i="16"/>
  <c r="P1552" i="16"/>
  <c r="P1551" i="16"/>
  <c r="P1550" i="16"/>
  <c r="P1549" i="16"/>
  <c r="P1548" i="16"/>
  <c r="P1547" i="16"/>
  <c r="P1546" i="16"/>
  <c r="P1545" i="16"/>
  <c r="P1544" i="16"/>
  <c r="P1543" i="16"/>
  <c r="P1542" i="16"/>
  <c r="P1541" i="16"/>
  <c r="P1540" i="16"/>
  <c r="P1539" i="16"/>
  <c r="P1538" i="16"/>
  <c r="P1537" i="16"/>
  <c r="P1536" i="16"/>
  <c r="P1535" i="16"/>
  <c r="P1534" i="16"/>
  <c r="P1533" i="16"/>
  <c r="P1532" i="16"/>
  <c r="P1531" i="16"/>
  <c r="P1530" i="16"/>
  <c r="P1529" i="16"/>
  <c r="P1528" i="16"/>
  <c r="P1527" i="16"/>
  <c r="P1526" i="16"/>
  <c r="P1525" i="16"/>
  <c r="P1524" i="16"/>
  <c r="P1523" i="16"/>
  <c r="P1522" i="16"/>
  <c r="P1521" i="16"/>
  <c r="P1520" i="16"/>
  <c r="P1519" i="16"/>
  <c r="P1518" i="16"/>
  <c r="P1517" i="16"/>
  <c r="P1516" i="16"/>
  <c r="P1515" i="16"/>
  <c r="P1514" i="16"/>
  <c r="P1513" i="16"/>
  <c r="P1512" i="16"/>
  <c r="P1511" i="16"/>
  <c r="P1510" i="16"/>
  <c r="P1509" i="16"/>
  <c r="P1508" i="16"/>
  <c r="P1507" i="16"/>
  <c r="P1506" i="16"/>
  <c r="P1505" i="16"/>
  <c r="P1504" i="16"/>
  <c r="P1503" i="16"/>
  <c r="P1502" i="16"/>
  <c r="P1501" i="16"/>
  <c r="P1500" i="16"/>
  <c r="P1499" i="16"/>
  <c r="P1498" i="16"/>
  <c r="P1497" i="16"/>
  <c r="P1496" i="16"/>
  <c r="P1495" i="16"/>
  <c r="P1494" i="16"/>
  <c r="P1493" i="16"/>
  <c r="P1492" i="16"/>
  <c r="P1491" i="16"/>
  <c r="P1490" i="16"/>
  <c r="P1489" i="16"/>
  <c r="P1488" i="16"/>
  <c r="P1487" i="16"/>
  <c r="P1486" i="16"/>
  <c r="P1485" i="16"/>
  <c r="P1484" i="16"/>
  <c r="P1483" i="16"/>
  <c r="P1482" i="16"/>
  <c r="P1481" i="16"/>
  <c r="P1480" i="16"/>
  <c r="P1479" i="16"/>
  <c r="P1478" i="16"/>
  <c r="P1477" i="16"/>
  <c r="P1476" i="16"/>
  <c r="P1475" i="16"/>
  <c r="P1474" i="16"/>
  <c r="P1473" i="16"/>
  <c r="P1472" i="16"/>
  <c r="P1471" i="16"/>
  <c r="P1470" i="16"/>
  <c r="P1469" i="16"/>
  <c r="P1468" i="16"/>
  <c r="P1467" i="16"/>
  <c r="P1466" i="16"/>
  <c r="P1465" i="16"/>
  <c r="P1464" i="16"/>
  <c r="P1463" i="16"/>
  <c r="P1462" i="16"/>
  <c r="P1461" i="16"/>
  <c r="P1460" i="16"/>
  <c r="P1459" i="16"/>
  <c r="P1458" i="16"/>
  <c r="P1457" i="16"/>
  <c r="P1456" i="16"/>
  <c r="P1455" i="16"/>
  <c r="P1454" i="16"/>
  <c r="P1453" i="16"/>
  <c r="P1452" i="16"/>
  <c r="P1451" i="16"/>
  <c r="P1450" i="16"/>
  <c r="P1449" i="16"/>
  <c r="P1448" i="16"/>
  <c r="P1447" i="16"/>
  <c r="P1446" i="16"/>
  <c r="P1445" i="16"/>
  <c r="P1444" i="16"/>
  <c r="P1443" i="16"/>
  <c r="P1442" i="16"/>
  <c r="P1441" i="16"/>
  <c r="P1440" i="16"/>
  <c r="P1439" i="16"/>
  <c r="P1438" i="16"/>
  <c r="P1437" i="16"/>
  <c r="P1436" i="16"/>
  <c r="P1435" i="16"/>
  <c r="P1434" i="16"/>
  <c r="P1433" i="16"/>
  <c r="P1432" i="16"/>
  <c r="P1431" i="16"/>
  <c r="P1430" i="16"/>
  <c r="P1429" i="16"/>
  <c r="P1428" i="16"/>
  <c r="P1427" i="16"/>
  <c r="P1426" i="16"/>
  <c r="P1425" i="16"/>
  <c r="P1424" i="16"/>
  <c r="P1423" i="16"/>
  <c r="P1422" i="16"/>
  <c r="P1421" i="16"/>
  <c r="P1420" i="16"/>
  <c r="P1419" i="16"/>
  <c r="P1418" i="16"/>
  <c r="P1417" i="16"/>
  <c r="P1416" i="16"/>
  <c r="P1415" i="16"/>
  <c r="P1414" i="16"/>
  <c r="P1413" i="16"/>
  <c r="P1412" i="16"/>
  <c r="P1411" i="16"/>
  <c r="P1410" i="16"/>
  <c r="P1409" i="16"/>
  <c r="P1408" i="16"/>
  <c r="P1407" i="16"/>
  <c r="P1406" i="16"/>
  <c r="P1405" i="16"/>
  <c r="P1404" i="16"/>
  <c r="P1403" i="16"/>
  <c r="P1402" i="16"/>
  <c r="P1401" i="16"/>
  <c r="P1400" i="16"/>
  <c r="P1399" i="16"/>
  <c r="P1398" i="16"/>
  <c r="P1397" i="16"/>
  <c r="P1396" i="16"/>
  <c r="P1395" i="16"/>
  <c r="P1394" i="16"/>
  <c r="P1393" i="16"/>
  <c r="P1392" i="16"/>
  <c r="P1391" i="16"/>
  <c r="P1390" i="16"/>
  <c r="P1389" i="16"/>
  <c r="P1388" i="16"/>
  <c r="P1387" i="16"/>
  <c r="P1386" i="16"/>
  <c r="P1385" i="16"/>
  <c r="P1384" i="16"/>
  <c r="P1383" i="16"/>
  <c r="P1382" i="16"/>
  <c r="P1381" i="16"/>
  <c r="P1380" i="16"/>
  <c r="P1379" i="16"/>
  <c r="P1378" i="16"/>
  <c r="P1377" i="16"/>
  <c r="P1376" i="16"/>
  <c r="P1375" i="16"/>
  <c r="P1374" i="16"/>
  <c r="P1373" i="16"/>
  <c r="P1372" i="16"/>
  <c r="P1371" i="16"/>
  <c r="P1370" i="16"/>
  <c r="P1369" i="16"/>
  <c r="P1368" i="16"/>
  <c r="P1367" i="16"/>
  <c r="P1366" i="16"/>
  <c r="P1365" i="16"/>
  <c r="P1364" i="16"/>
  <c r="P1363" i="16"/>
  <c r="P1362" i="16"/>
  <c r="P1361" i="16"/>
  <c r="P1360" i="16"/>
  <c r="P1359" i="16"/>
  <c r="P1358" i="16"/>
  <c r="P1357" i="16"/>
  <c r="P1356" i="16"/>
  <c r="P1355" i="16"/>
  <c r="P1354" i="16"/>
  <c r="P1353" i="16"/>
  <c r="P1352" i="16"/>
  <c r="P1351" i="16"/>
  <c r="P1350" i="16"/>
  <c r="P1349" i="16"/>
  <c r="P1348" i="16"/>
  <c r="P1347" i="16"/>
  <c r="P1346" i="16"/>
  <c r="P1345" i="16"/>
  <c r="P1344" i="16"/>
  <c r="P1343" i="16"/>
  <c r="P1342" i="16"/>
  <c r="P1341" i="16"/>
  <c r="P1340" i="16"/>
  <c r="P1339" i="16"/>
  <c r="P1338" i="16"/>
  <c r="P1337" i="16"/>
  <c r="P1336" i="16"/>
  <c r="P1335" i="16"/>
  <c r="P1334" i="16"/>
  <c r="P1333" i="16"/>
  <c r="P1332" i="16"/>
  <c r="P1331" i="16"/>
  <c r="P1330" i="16"/>
  <c r="P1329" i="16"/>
  <c r="P1328" i="16"/>
  <c r="P1327" i="16"/>
  <c r="P1326" i="16"/>
  <c r="P1325" i="16"/>
  <c r="P1324" i="16"/>
  <c r="P1323" i="16"/>
  <c r="P1322" i="16"/>
  <c r="P1321" i="16"/>
  <c r="P1320" i="16"/>
  <c r="P1319" i="16"/>
  <c r="P1318" i="16"/>
  <c r="P1317" i="16"/>
  <c r="P1316" i="16"/>
  <c r="P1315" i="16"/>
  <c r="P1314" i="16"/>
  <c r="P1313" i="16"/>
  <c r="P1312" i="16"/>
  <c r="P1311" i="16"/>
  <c r="P1310" i="16"/>
  <c r="P1309" i="16"/>
  <c r="P1308" i="16"/>
  <c r="P1307" i="16"/>
  <c r="P1306" i="16"/>
  <c r="P1305" i="16"/>
  <c r="P1304" i="16"/>
  <c r="P1303" i="16"/>
  <c r="P1302" i="16"/>
  <c r="P1301" i="16"/>
  <c r="P1300" i="16"/>
  <c r="P1299" i="16"/>
  <c r="P1298" i="16"/>
  <c r="P1297" i="16"/>
  <c r="P1296" i="16"/>
  <c r="P1295" i="16"/>
  <c r="P1294" i="16"/>
  <c r="P1293" i="16"/>
  <c r="P1292" i="16"/>
  <c r="P1291" i="16"/>
  <c r="P1290" i="16"/>
  <c r="P1289" i="16"/>
  <c r="P1288" i="16"/>
  <c r="P1287" i="16"/>
  <c r="P1286" i="16"/>
  <c r="P1285" i="16"/>
  <c r="P1284" i="16"/>
  <c r="P1283" i="16"/>
  <c r="P1282" i="16"/>
  <c r="P1281" i="16"/>
  <c r="P1280" i="16"/>
  <c r="P1279" i="16"/>
  <c r="P1278" i="16"/>
  <c r="P1277" i="16"/>
  <c r="P1276" i="16"/>
  <c r="P1275" i="16"/>
  <c r="P1274" i="16"/>
  <c r="P1273" i="16"/>
  <c r="P1272" i="16"/>
  <c r="P1271" i="16"/>
  <c r="P1270" i="16"/>
  <c r="P1269" i="16"/>
  <c r="P1268" i="16"/>
  <c r="P1267" i="16"/>
  <c r="P1266" i="16"/>
  <c r="P1265" i="16"/>
  <c r="P1264" i="16"/>
  <c r="P1263" i="16"/>
  <c r="P1262" i="16"/>
  <c r="P1261" i="16"/>
  <c r="P1260" i="16"/>
  <c r="P1259" i="16"/>
  <c r="P1258" i="16"/>
  <c r="P1257" i="16"/>
  <c r="P1256" i="16"/>
  <c r="P1255" i="16"/>
  <c r="P1254" i="16"/>
  <c r="P1253" i="16"/>
  <c r="P1252" i="16"/>
  <c r="P1251" i="16"/>
  <c r="P1250" i="16"/>
  <c r="P1249" i="16"/>
  <c r="P1248" i="16"/>
  <c r="P1247" i="16"/>
  <c r="P1246" i="16"/>
  <c r="P1245" i="16"/>
  <c r="P1244" i="16"/>
  <c r="P1243" i="16"/>
  <c r="P1242" i="16"/>
  <c r="P1241" i="16"/>
  <c r="P1240" i="16"/>
  <c r="P1239" i="16"/>
  <c r="P1238" i="16"/>
  <c r="P1237" i="16"/>
  <c r="P1236" i="16"/>
  <c r="P1235" i="16"/>
  <c r="P1234" i="16"/>
  <c r="P1233" i="16"/>
  <c r="P1232" i="16"/>
  <c r="P1231" i="16"/>
  <c r="P1230" i="16"/>
  <c r="P1229" i="16"/>
  <c r="P1228" i="16"/>
  <c r="P1227" i="16"/>
  <c r="P1226" i="16"/>
  <c r="P1225" i="16"/>
  <c r="P1224" i="16"/>
  <c r="P1223" i="16"/>
  <c r="P1222" i="16"/>
  <c r="P1221" i="16"/>
  <c r="P1220" i="16"/>
  <c r="P1219" i="16"/>
  <c r="P1218" i="16"/>
  <c r="P1217" i="16"/>
  <c r="P1216" i="16"/>
  <c r="P1215" i="16"/>
  <c r="P1214" i="16"/>
  <c r="P1213" i="16"/>
  <c r="P1212" i="16"/>
  <c r="P1211" i="16"/>
  <c r="P1210" i="16"/>
  <c r="P1209" i="16"/>
  <c r="P1208" i="16"/>
  <c r="P1207" i="16"/>
  <c r="P1206" i="16"/>
  <c r="P1205" i="16"/>
  <c r="P1204" i="16"/>
  <c r="P1203" i="16"/>
  <c r="P1202" i="16"/>
  <c r="P1201" i="16"/>
  <c r="P1200" i="16"/>
  <c r="P1199" i="16"/>
  <c r="P1198" i="16"/>
  <c r="P1197" i="16"/>
  <c r="P1196" i="16"/>
  <c r="P1195" i="16"/>
  <c r="P1194" i="16"/>
  <c r="P1193" i="16"/>
  <c r="P1192" i="16"/>
  <c r="P1191" i="16"/>
  <c r="P1190" i="16"/>
  <c r="P1189" i="16"/>
  <c r="P1188" i="16"/>
  <c r="P1187" i="16"/>
  <c r="P1186" i="16"/>
  <c r="P1185" i="16"/>
  <c r="P1184" i="16"/>
  <c r="P1183" i="16"/>
  <c r="P1182" i="16"/>
  <c r="P1181" i="16"/>
  <c r="P1180" i="16"/>
  <c r="P1179" i="16"/>
  <c r="P1178" i="16"/>
  <c r="P1177" i="16"/>
  <c r="P1176" i="16"/>
  <c r="P1175" i="16"/>
  <c r="P1174" i="16"/>
  <c r="P1173" i="16"/>
  <c r="P1172" i="16"/>
  <c r="P1171" i="16"/>
  <c r="P1170" i="16"/>
  <c r="P1169" i="16"/>
  <c r="P1168" i="16"/>
  <c r="P1167" i="16"/>
  <c r="P1166" i="16"/>
  <c r="P1165" i="16"/>
  <c r="P1164" i="16"/>
  <c r="P1163" i="16"/>
  <c r="P1162" i="16"/>
  <c r="P1161" i="16"/>
  <c r="P1160" i="16"/>
  <c r="P1159" i="16"/>
  <c r="P1158" i="16"/>
  <c r="P1157" i="16"/>
  <c r="P1156" i="16"/>
  <c r="P1155" i="16"/>
  <c r="P1154" i="16"/>
  <c r="P1153" i="16"/>
  <c r="P1152" i="16"/>
  <c r="P1151" i="16"/>
  <c r="P1150" i="16"/>
  <c r="P1149" i="16"/>
  <c r="P1148" i="16"/>
  <c r="P1147" i="16"/>
  <c r="P1146" i="16"/>
  <c r="P1145" i="16"/>
  <c r="P1144" i="16"/>
  <c r="P1143" i="16"/>
  <c r="P1142" i="16"/>
  <c r="P1141" i="16"/>
  <c r="P1140" i="16"/>
  <c r="P1139" i="16"/>
  <c r="P1138" i="16"/>
  <c r="P1137" i="16"/>
  <c r="P1136" i="16"/>
  <c r="P1135" i="16"/>
  <c r="P1134" i="16"/>
  <c r="P1133" i="16"/>
  <c r="P1132" i="16"/>
  <c r="P1131" i="16"/>
  <c r="P1130" i="16"/>
  <c r="P1129" i="16"/>
  <c r="P1128" i="16"/>
  <c r="P1127" i="16"/>
  <c r="P1126" i="16"/>
  <c r="P1125" i="16"/>
  <c r="P1124" i="16"/>
  <c r="P1123" i="16"/>
  <c r="P1122" i="16"/>
  <c r="P1121" i="16"/>
  <c r="P1120" i="16"/>
  <c r="P1119" i="16"/>
  <c r="P1118" i="16"/>
  <c r="P1117" i="16"/>
  <c r="P1116" i="16"/>
  <c r="P1115" i="16"/>
  <c r="P1114" i="16"/>
  <c r="P1113" i="16"/>
  <c r="P1112" i="16"/>
  <c r="P1111" i="16"/>
  <c r="P1110" i="16"/>
  <c r="P1109" i="16"/>
  <c r="P1108" i="16"/>
  <c r="P1107" i="16"/>
  <c r="P1106" i="16"/>
  <c r="P1105" i="16"/>
  <c r="P1104" i="16"/>
  <c r="P1103" i="16"/>
  <c r="P1102" i="16"/>
  <c r="P1101" i="16"/>
  <c r="P1100" i="16"/>
  <c r="P1099" i="16"/>
  <c r="P1098" i="16"/>
  <c r="P1097" i="16"/>
  <c r="P1096" i="16"/>
  <c r="P1095" i="16"/>
  <c r="P1094" i="16"/>
  <c r="P1093" i="16"/>
  <c r="P1092" i="16"/>
  <c r="P1091" i="16"/>
  <c r="P1090" i="16"/>
  <c r="P1089" i="16"/>
  <c r="P1088" i="16"/>
  <c r="P1087" i="16"/>
  <c r="P1086" i="16"/>
  <c r="P1085" i="16"/>
  <c r="P1084" i="16"/>
  <c r="P1083" i="16"/>
  <c r="P1082" i="16"/>
  <c r="P1081" i="16"/>
  <c r="P1080" i="16"/>
  <c r="P1079" i="16"/>
  <c r="P1078" i="16"/>
  <c r="P1077" i="16"/>
  <c r="P1076" i="16"/>
  <c r="P1075" i="16"/>
  <c r="P1074" i="16"/>
  <c r="P1073" i="16"/>
  <c r="P1072" i="16"/>
  <c r="P1071" i="16"/>
  <c r="P1070" i="16"/>
  <c r="P1069" i="16"/>
  <c r="P1068" i="16"/>
  <c r="P1067" i="16"/>
  <c r="P1066" i="16"/>
  <c r="P1065" i="16"/>
  <c r="P1064" i="16"/>
  <c r="P1063" i="16"/>
  <c r="P1062" i="16"/>
  <c r="P1061" i="16"/>
  <c r="P1060" i="16"/>
  <c r="P1059" i="16"/>
  <c r="P1058" i="16"/>
  <c r="P1057" i="16"/>
  <c r="P1056" i="16"/>
  <c r="P1055" i="16"/>
  <c r="P1054" i="16"/>
  <c r="P1053" i="16"/>
  <c r="P1052" i="16"/>
  <c r="P1051" i="16"/>
  <c r="P1050" i="16"/>
  <c r="P1049" i="16"/>
  <c r="P1048" i="16"/>
  <c r="P1047" i="16"/>
  <c r="P1046" i="16"/>
  <c r="P1045" i="16"/>
  <c r="P1044" i="16"/>
  <c r="P1043" i="16"/>
  <c r="P1042" i="16"/>
  <c r="P1041" i="16"/>
  <c r="P1040" i="16"/>
  <c r="P1039" i="16"/>
  <c r="P1038" i="16"/>
  <c r="P1037" i="16"/>
  <c r="P1036" i="16"/>
  <c r="P1035" i="16"/>
  <c r="P1034" i="16"/>
  <c r="P1033" i="16"/>
  <c r="P1032" i="16"/>
  <c r="P1031" i="16"/>
  <c r="P1030" i="16"/>
  <c r="P1029" i="16"/>
  <c r="P1028" i="16"/>
  <c r="P1027" i="16"/>
  <c r="P1026" i="16"/>
  <c r="P1025" i="16"/>
  <c r="P1024" i="16"/>
  <c r="P1023" i="16"/>
  <c r="P1022" i="16"/>
  <c r="P1021" i="16"/>
  <c r="P1020" i="16"/>
  <c r="P1019" i="16"/>
  <c r="P1018" i="16"/>
  <c r="P1017" i="16"/>
  <c r="P1016" i="16"/>
  <c r="P1015" i="16"/>
  <c r="P1014" i="16"/>
  <c r="P1013" i="16"/>
  <c r="P1012" i="16"/>
  <c r="P1011" i="16"/>
  <c r="P1010" i="16"/>
  <c r="P1009" i="16"/>
  <c r="P1008" i="16"/>
  <c r="P1007" i="16"/>
  <c r="P1006" i="16"/>
  <c r="P1005" i="16"/>
  <c r="P1004" i="16"/>
  <c r="P1003" i="16"/>
  <c r="P1002" i="16"/>
  <c r="P1001" i="16"/>
  <c r="P1000" i="16"/>
  <c r="P999" i="16"/>
  <c r="P998" i="16"/>
  <c r="P997" i="16"/>
  <c r="P996" i="16"/>
  <c r="P995" i="16"/>
  <c r="P994" i="16"/>
  <c r="P993" i="16"/>
  <c r="P992" i="16"/>
  <c r="P991" i="16"/>
  <c r="P990" i="16"/>
  <c r="P989" i="16"/>
  <c r="P988" i="16"/>
  <c r="P987" i="16"/>
  <c r="P986" i="16"/>
  <c r="P985" i="16"/>
  <c r="P984" i="16"/>
  <c r="P983" i="16"/>
  <c r="P982" i="16"/>
  <c r="P981" i="16"/>
  <c r="P980" i="16"/>
  <c r="P979" i="16"/>
  <c r="P978" i="16"/>
  <c r="P977" i="16"/>
  <c r="P976" i="16"/>
  <c r="P975" i="16"/>
  <c r="P974" i="16"/>
  <c r="P973" i="16"/>
  <c r="P972" i="16"/>
  <c r="P971" i="16"/>
  <c r="P970" i="16"/>
  <c r="P969" i="16"/>
  <c r="P968" i="16"/>
  <c r="P967" i="16"/>
  <c r="P966" i="16"/>
  <c r="P965" i="16"/>
  <c r="P964" i="16"/>
  <c r="P963" i="16"/>
  <c r="P962" i="16"/>
  <c r="P961" i="16"/>
  <c r="P960" i="16"/>
  <c r="P959" i="16"/>
  <c r="P958" i="16"/>
  <c r="P957" i="16"/>
  <c r="P956" i="16"/>
  <c r="P955" i="16"/>
  <c r="P954" i="16"/>
  <c r="P953" i="16"/>
  <c r="P952" i="16"/>
  <c r="P951" i="16"/>
  <c r="P950" i="16"/>
  <c r="P949" i="16"/>
  <c r="P948" i="16"/>
  <c r="P947" i="16"/>
  <c r="P946" i="16"/>
  <c r="P945" i="16"/>
  <c r="P944" i="16"/>
  <c r="P943" i="16"/>
  <c r="P942" i="16"/>
  <c r="P941" i="16"/>
  <c r="P940" i="16"/>
  <c r="P939" i="16"/>
  <c r="P938" i="16"/>
  <c r="P937" i="16"/>
  <c r="P936" i="16"/>
  <c r="P935" i="16"/>
  <c r="P934" i="16"/>
  <c r="P933" i="16"/>
  <c r="P932" i="16"/>
  <c r="P931" i="16"/>
  <c r="P930" i="16"/>
  <c r="P929" i="16"/>
  <c r="P928" i="16"/>
  <c r="P927" i="16"/>
  <c r="P926" i="16"/>
  <c r="P925" i="16"/>
  <c r="P924" i="16"/>
  <c r="P923" i="16"/>
  <c r="P922" i="16"/>
  <c r="P921" i="16"/>
  <c r="P920" i="16"/>
  <c r="P919" i="16"/>
  <c r="P918" i="16"/>
  <c r="P917" i="16"/>
  <c r="P916" i="16"/>
  <c r="P915" i="16"/>
  <c r="P914" i="16"/>
  <c r="P913" i="16"/>
  <c r="P912" i="16"/>
  <c r="P911" i="16"/>
  <c r="P910" i="16"/>
  <c r="P909" i="16"/>
  <c r="P908" i="16"/>
  <c r="P907" i="16"/>
  <c r="P906" i="16"/>
  <c r="P905" i="16"/>
  <c r="Y904" i="16"/>
  <c r="P904" i="16"/>
  <c r="Y903" i="16"/>
  <c r="P903" i="16"/>
  <c r="Y902" i="16"/>
  <c r="P902" i="16"/>
  <c r="Y901" i="16"/>
  <c r="P901" i="16"/>
  <c r="Y900" i="16"/>
  <c r="P900" i="16"/>
  <c r="Y899" i="16"/>
  <c r="P899" i="16"/>
  <c r="Y898" i="16"/>
  <c r="P898" i="16"/>
  <c r="Y897" i="16"/>
  <c r="P897" i="16"/>
  <c r="Y896" i="16"/>
  <c r="P896" i="16"/>
  <c r="Y895" i="16"/>
  <c r="P895" i="16"/>
  <c r="Y894" i="16"/>
  <c r="P894" i="16"/>
  <c r="Y893" i="16"/>
  <c r="P893" i="16"/>
  <c r="Y892" i="16"/>
  <c r="P892" i="16"/>
  <c r="Y891" i="16"/>
  <c r="P891" i="16"/>
  <c r="Y890" i="16"/>
  <c r="P890" i="16"/>
  <c r="Y889" i="16"/>
  <c r="P889" i="16"/>
  <c r="Y888" i="16"/>
  <c r="P888" i="16"/>
  <c r="Y887" i="16"/>
  <c r="P887" i="16"/>
  <c r="Y886" i="16"/>
  <c r="P886" i="16"/>
  <c r="Y885" i="16"/>
  <c r="P885" i="16"/>
  <c r="Y884" i="16"/>
  <c r="P884" i="16"/>
  <c r="Y883" i="16"/>
  <c r="P883" i="16"/>
  <c r="Y882" i="16"/>
  <c r="P882" i="16"/>
  <c r="Y881" i="16"/>
  <c r="P881" i="16"/>
  <c r="Y880" i="16"/>
  <c r="P880" i="16"/>
  <c r="Y879" i="16"/>
  <c r="P879" i="16"/>
  <c r="Y878" i="16"/>
  <c r="P878" i="16"/>
  <c r="Y877" i="16"/>
  <c r="P877" i="16"/>
  <c r="Y876" i="16"/>
  <c r="P876" i="16"/>
  <c r="Y875" i="16"/>
  <c r="P875" i="16"/>
  <c r="Y874" i="16"/>
  <c r="P874" i="16"/>
  <c r="Y873" i="16"/>
  <c r="P873" i="16"/>
  <c r="Y872" i="16"/>
  <c r="P872" i="16"/>
  <c r="Y871" i="16"/>
  <c r="P871" i="16"/>
  <c r="Y870" i="16"/>
  <c r="P870" i="16"/>
  <c r="Y869" i="16"/>
  <c r="P869" i="16"/>
  <c r="Y868" i="16"/>
  <c r="P868" i="16"/>
  <c r="Y867" i="16"/>
  <c r="P867" i="16"/>
  <c r="Y866" i="16"/>
  <c r="P866" i="16"/>
  <c r="Y865" i="16"/>
  <c r="P865" i="16"/>
  <c r="Y864" i="16"/>
  <c r="P864" i="16"/>
  <c r="Y863" i="16"/>
  <c r="P863" i="16"/>
  <c r="Y862" i="16"/>
  <c r="P862" i="16"/>
  <c r="Y861" i="16"/>
  <c r="P861" i="16"/>
  <c r="Y860" i="16"/>
  <c r="P860" i="16"/>
  <c r="Y859" i="16"/>
  <c r="P859" i="16"/>
  <c r="Y858" i="16"/>
  <c r="P858" i="16"/>
  <c r="Y857" i="16"/>
  <c r="P857" i="16"/>
  <c r="Y856" i="16"/>
  <c r="P856" i="16"/>
  <c r="Y855" i="16"/>
  <c r="P855" i="16"/>
  <c r="Y854" i="16"/>
  <c r="P854" i="16"/>
  <c r="Y853" i="16"/>
  <c r="P853" i="16"/>
  <c r="Y852" i="16"/>
  <c r="P852" i="16"/>
  <c r="Y851" i="16"/>
  <c r="P851" i="16"/>
  <c r="Y850" i="16"/>
  <c r="P850" i="16"/>
  <c r="Y849" i="16"/>
  <c r="P849" i="16"/>
  <c r="Y848" i="16"/>
  <c r="P848" i="16"/>
  <c r="Y847" i="16"/>
  <c r="P847" i="16"/>
  <c r="Y846" i="16"/>
  <c r="P846" i="16"/>
  <c r="Y845" i="16"/>
  <c r="P845" i="16"/>
  <c r="Y844" i="16"/>
  <c r="P844" i="16"/>
  <c r="Y843" i="16"/>
  <c r="P843" i="16"/>
  <c r="Y842" i="16"/>
  <c r="P842" i="16"/>
  <c r="Y841" i="16"/>
  <c r="P841" i="16"/>
  <c r="Y840" i="16"/>
  <c r="P840" i="16"/>
  <c r="Y839" i="16"/>
  <c r="P839" i="16"/>
  <c r="Y838" i="16"/>
  <c r="P838" i="16"/>
  <c r="Y837" i="16"/>
  <c r="P837" i="16"/>
  <c r="Y836" i="16"/>
  <c r="P836" i="16"/>
  <c r="Y835" i="16"/>
  <c r="P835" i="16"/>
  <c r="Y834" i="16"/>
  <c r="P834" i="16"/>
  <c r="Y833" i="16"/>
  <c r="P833" i="16"/>
  <c r="Y832" i="16"/>
  <c r="P832" i="16"/>
  <c r="Y831" i="16"/>
  <c r="P831" i="16"/>
  <c r="Y830" i="16"/>
  <c r="P830" i="16"/>
  <c r="Y829" i="16"/>
  <c r="P829" i="16"/>
  <c r="Y828" i="16"/>
  <c r="P828" i="16"/>
  <c r="Y827" i="16"/>
  <c r="P827" i="16"/>
  <c r="Y826" i="16"/>
  <c r="P826" i="16"/>
  <c r="Y825" i="16"/>
  <c r="P825" i="16"/>
  <c r="Y824" i="16"/>
  <c r="P824" i="16"/>
  <c r="Y823" i="16"/>
  <c r="P823" i="16"/>
  <c r="Y822" i="16"/>
  <c r="P822" i="16"/>
  <c r="Y821" i="16"/>
  <c r="P821" i="16"/>
  <c r="Y820" i="16"/>
  <c r="P820" i="16"/>
  <c r="Y819" i="16"/>
  <c r="P819" i="16"/>
  <c r="Y818" i="16"/>
  <c r="P818" i="16"/>
  <c r="Y817" i="16"/>
  <c r="P817" i="16"/>
  <c r="Y816" i="16"/>
  <c r="P816" i="16"/>
  <c r="Y815" i="16"/>
  <c r="P815" i="16"/>
  <c r="Y814" i="16"/>
  <c r="P814" i="16"/>
  <c r="Y813" i="16"/>
  <c r="P813" i="16"/>
  <c r="Y812" i="16"/>
  <c r="P812" i="16"/>
  <c r="Y811" i="16"/>
  <c r="P811" i="16"/>
  <c r="Y810" i="16"/>
  <c r="P810" i="16"/>
  <c r="Y809" i="16"/>
  <c r="P809" i="16"/>
  <c r="Y808" i="16"/>
  <c r="P808" i="16"/>
  <c r="Y807" i="16"/>
  <c r="P807" i="16"/>
  <c r="Y806" i="16"/>
  <c r="P806" i="16"/>
  <c r="Y805" i="16"/>
  <c r="P805" i="16"/>
  <c r="Y804" i="16"/>
  <c r="P804" i="16"/>
  <c r="Y803" i="16"/>
  <c r="P803" i="16"/>
  <c r="Y802" i="16"/>
  <c r="P802" i="16"/>
  <c r="Y801" i="16"/>
  <c r="P801" i="16"/>
  <c r="Y800" i="16"/>
  <c r="P800" i="16"/>
  <c r="Y799" i="16"/>
  <c r="P799" i="16"/>
  <c r="Y798" i="16"/>
  <c r="P798" i="16"/>
  <c r="Y797" i="16"/>
  <c r="P797" i="16"/>
  <c r="Y796" i="16"/>
  <c r="P796" i="16"/>
  <c r="Y795" i="16"/>
  <c r="P795" i="16"/>
  <c r="Y794" i="16"/>
  <c r="P794" i="16"/>
  <c r="Y793" i="16"/>
  <c r="P793" i="16"/>
  <c r="Y792" i="16"/>
  <c r="P792" i="16"/>
  <c r="Y791" i="16"/>
  <c r="P791" i="16"/>
  <c r="Y790" i="16"/>
  <c r="P790" i="16"/>
  <c r="Y789" i="16"/>
  <c r="P789" i="16"/>
  <c r="Y788" i="16"/>
  <c r="P788" i="16"/>
  <c r="Y787" i="16"/>
  <c r="P787" i="16"/>
  <c r="Y786" i="16"/>
  <c r="P786" i="16"/>
  <c r="Y785" i="16"/>
  <c r="P785" i="16"/>
  <c r="Y784" i="16"/>
  <c r="P784" i="16"/>
  <c r="Y783" i="16"/>
  <c r="P783" i="16"/>
  <c r="Y782" i="16"/>
  <c r="P782" i="16"/>
  <c r="Y781" i="16"/>
  <c r="P781" i="16"/>
  <c r="Y780" i="16"/>
  <c r="P780" i="16"/>
  <c r="Y779" i="16"/>
  <c r="P779" i="16"/>
  <c r="Y778" i="16"/>
  <c r="P778" i="16"/>
  <c r="Y777" i="16"/>
  <c r="P777" i="16"/>
  <c r="Y776" i="16"/>
  <c r="P776" i="16"/>
  <c r="Y775" i="16"/>
  <c r="P775" i="16"/>
  <c r="Y774" i="16"/>
  <c r="P774" i="16"/>
  <c r="Y773" i="16"/>
  <c r="P773" i="16"/>
  <c r="Y772" i="16"/>
  <c r="P772" i="16"/>
  <c r="Y771" i="16"/>
  <c r="P771" i="16"/>
  <c r="Y770" i="16"/>
  <c r="P770" i="16"/>
  <c r="Y769" i="16"/>
  <c r="P769" i="16"/>
  <c r="Y768" i="16"/>
  <c r="P768" i="16"/>
  <c r="Y767" i="16"/>
  <c r="P767" i="16"/>
  <c r="Y766" i="16"/>
  <c r="P766" i="16"/>
  <c r="Y765" i="16"/>
  <c r="P765" i="16"/>
  <c r="Y764" i="16"/>
  <c r="P764" i="16"/>
  <c r="Y763" i="16"/>
  <c r="P763" i="16"/>
  <c r="Y762" i="16"/>
  <c r="P762" i="16"/>
  <c r="Y761" i="16"/>
  <c r="P761" i="16"/>
  <c r="Y760" i="16"/>
  <c r="P760" i="16"/>
  <c r="Y759" i="16"/>
  <c r="P759" i="16"/>
  <c r="Y758" i="16"/>
  <c r="P758" i="16"/>
  <c r="Y757" i="16"/>
  <c r="P757" i="16"/>
  <c r="Y756" i="16"/>
  <c r="P756" i="16"/>
  <c r="Y755" i="16"/>
  <c r="P755" i="16"/>
  <c r="Y754" i="16"/>
  <c r="P754" i="16"/>
  <c r="Y753" i="16"/>
  <c r="P753" i="16"/>
  <c r="Y752" i="16"/>
  <c r="P752" i="16"/>
  <c r="Y751" i="16"/>
  <c r="P751" i="16"/>
  <c r="Y750" i="16"/>
  <c r="P750" i="16"/>
  <c r="Y749" i="16"/>
  <c r="P749" i="16"/>
  <c r="Y748" i="16"/>
  <c r="P748" i="16"/>
  <c r="Y747" i="16"/>
  <c r="P747" i="16"/>
  <c r="Y746" i="16"/>
  <c r="P746" i="16"/>
  <c r="Y745" i="16"/>
  <c r="P745" i="16"/>
  <c r="Y744" i="16"/>
  <c r="P744" i="16"/>
  <c r="Y743" i="16"/>
  <c r="P743" i="16"/>
  <c r="Y742" i="16"/>
  <c r="P742" i="16"/>
  <c r="Y741" i="16"/>
  <c r="P741" i="16"/>
  <c r="Y740" i="16"/>
  <c r="P740" i="16"/>
  <c r="Y739" i="16"/>
  <c r="P739" i="16"/>
  <c r="Y738" i="16"/>
  <c r="P738" i="16"/>
  <c r="Y737" i="16"/>
  <c r="P737" i="16"/>
  <c r="Y736" i="16"/>
  <c r="P736" i="16"/>
  <c r="Y735" i="16"/>
  <c r="P735" i="16"/>
  <c r="Y734" i="16"/>
  <c r="P734" i="16"/>
  <c r="Y733" i="16"/>
  <c r="P733" i="16"/>
  <c r="Y732" i="16"/>
  <c r="P732" i="16"/>
  <c r="Y731" i="16"/>
  <c r="P731" i="16"/>
  <c r="Y730" i="16"/>
  <c r="P730" i="16"/>
  <c r="Y729" i="16"/>
  <c r="P729" i="16"/>
  <c r="Y728" i="16"/>
  <c r="P728" i="16"/>
  <c r="Y727" i="16"/>
  <c r="P727" i="16"/>
  <c r="Y726" i="16"/>
  <c r="P726" i="16"/>
  <c r="Y725" i="16"/>
  <c r="P725" i="16"/>
  <c r="Y724" i="16"/>
  <c r="P724" i="16"/>
  <c r="Y723" i="16"/>
  <c r="P723" i="16"/>
  <c r="Y722" i="16"/>
  <c r="P722" i="16"/>
  <c r="Y721" i="16"/>
  <c r="P721" i="16"/>
  <c r="Y720" i="16"/>
  <c r="P720" i="16"/>
  <c r="Y719" i="16"/>
  <c r="P719" i="16"/>
  <c r="Y718" i="16"/>
  <c r="P718" i="16"/>
  <c r="Y717" i="16"/>
  <c r="P717" i="16"/>
  <c r="Y716" i="16"/>
  <c r="P716" i="16"/>
  <c r="Y715" i="16"/>
  <c r="P715" i="16"/>
  <c r="Y714" i="16"/>
  <c r="P714" i="16"/>
  <c r="Y713" i="16"/>
  <c r="P713" i="16"/>
  <c r="Y712" i="16"/>
  <c r="P712" i="16"/>
  <c r="Y711" i="16"/>
  <c r="P711" i="16"/>
  <c r="Y710" i="16"/>
  <c r="P710" i="16"/>
  <c r="Y709" i="16"/>
  <c r="P709" i="16"/>
  <c r="Y708" i="16"/>
  <c r="P708" i="16"/>
  <c r="Y707" i="16"/>
  <c r="P707" i="16"/>
  <c r="Y706" i="16"/>
  <c r="P706" i="16"/>
  <c r="Y705" i="16"/>
  <c r="P705" i="16"/>
  <c r="Y704" i="16"/>
  <c r="P704" i="16"/>
  <c r="E704" i="16"/>
  <c r="Y703" i="16"/>
  <c r="P703" i="16"/>
  <c r="E703" i="16"/>
  <c r="Y702" i="16"/>
  <c r="P702" i="16"/>
  <c r="E702" i="16"/>
  <c r="Y701" i="16"/>
  <c r="P701" i="16"/>
  <c r="E701" i="16"/>
  <c r="Y700" i="16"/>
  <c r="P700" i="16"/>
  <c r="E700" i="16"/>
  <c r="Y699" i="16"/>
  <c r="P699" i="16"/>
  <c r="E699" i="16"/>
  <c r="Y698" i="16"/>
  <c r="P698" i="16"/>
  <c r="E698" i="16"/>
  <c r="Y697" i="16"/>
  <c r="P697" i="16"/>
  <c r="E697" i="16"/>
  <c r="Y696" i="16"/>
  <c r="P696" i="16"/>
  <c r="E696" i="16"/>
  <c r="Y695" i="16"/>
  <c r="P695" i="16"/>
  <c r="E695" i="16"/>
  <c r="Y694" i="16"/>
  <c r="P694" i="16"/>
  <c r="E694" i="16"/>
  <c r="Y693" i="16"/>
  <c r="P693" i="16"/>
  <c r="E693" i="16"/>
  <c r="Y692" i="16"/>
  <c r="P692" i="16"/>
  <c r="E692" i="16"/>
  <c r="Y691" i="16"/>
  <c r="P691" i="16"/>
  <c r="E691" i="16"/>
  <c r="Y690" i="16"/>
  <c r="P690" i="16"/>
  <c r="E690" i="16"/>
  <c r="Y689" i="16"/>
  <c r="P689" i="16"/>
  <c r="E689" i="16"/>
  <c r="Y688" i="16"/>
  <c r="P688" i="16"/>
  <c r="E688" i="16"/>
  <c r="Y687" i="16"/>
  <c r="P687" i="16"/>
  <c r="E687" i="16"/>
  <c r="Y686" i="16"/>
  <c r="P686" i="16"/>
  <c r="E686" i="16"/>
  <c r="Y685" i="16"/>
  <c r="P685" i="16"/>
  <c r="E685" i="16"/>
  <c r="Y684" i="16"/>
  <c r="P684" i="16"/>
  <c r="E684" i="16"/>
  <c r="Y683" i="16"/>
  <c r="P683" i="16"/>
  <c r="E683" i="16"/>
  <c r="Y682" i="16"/>
  <c r="P682" i="16"/>
  <c r="E682" i="16"/>
  <c r="Y681" i="16"/>
  <c r="P681" i="16"/>
  <c r="E681" i="16"/>
  <c r="Y680" i="16"/>
  <c r="P680" i="16"/>
  <c r="E680" i="16"/>
  <c r="Y679" i="16"/>
  <c r="P679" i="16"/>
  <c r="E679" i="16"/>
  <c r="Y678" i="16"/>
  <c r="P678" i="16"/>
  <c r="E678" i="16"/>
  <c r="Y677" i="16"/>
  <c r="P677" i="16"/>
  <c r="E677" i="16"/>
  <c r="Y676" i="16"/>
  <c r="P676" i="16"/>
  <c r="E676" i="16"/>
  <c r="Y675" i="16"/>
  <c r="P675" i="16"/>
  <c r="E675" i="16"/>
  <c r="Y674" i="16"/>
  <c r="P674" i="16"/>
  <c r="E674" i="16"/>
  <c r="Y673" i="16"/>
  <c r="P673" i="16"/>
  <c r="E673" i="16"/>
  <c r="Y672" i="16"/>
  <c r="P672" i="16"/>
  <c r="E672" i="16"/>
  <c r="Y671" i="16"/>
  <c r="P671" i="16"/>
  <c r="E671" i="16"/>
  <c r="Y670" i="16"/>
  <c r="P670" i="16"/>
  <c r="E670" i="16"/>
  <c r="Y669" i="16"/>
  <c r="P669" i="16"/>
  <c r="E669" i="16"/>
  <c r="Y668" i="16"/>
  <c r="P668" i="16"/>
  <c r="E668" i="16"/>
  <c r="Y667" i="16"/>
  <c r="P667" i="16"/>
  <c r="E667" i="16"/>
  <c r="Y666" i="16"/>
  <c r="P666" i="16"/>
  <c r="E666" i="16"/>
  <c r="Y665" i="16"/>
  <c r="P665" i="16"/>
  <c r="E665" i="16"/>
  <c r="Y664" i="16"/>
  <c r="P664" i="16"/>
  <c r="E664" i="16"/>
  <c r="Y663" i="16"/>
  <c r="P663" i="16"/>
  <c r="E663" i="16"/>
  <c r="Y662" i="16"/>
  <c r="P662" i="16"/>
  <c r="E662" i="16"/>
  <c r="Y661" i="16"/>
  <c r="P661" i="16"/>
  <c r="E661" i="16"/>
  <c r="Y660" i="16"/>
  <c r="P660" i="16"/>
  <c r="E660" i="16"/>
  <c r="Y659" i="16"/>
  <c r="P659" i="16"/>
  <c r="E659" i="16"/>
  <c r="Y658" i="16"/>
  <c r="P658" i="16"/>
  <c r="E658" i="16"/>
  <c r="Y657" i="16"/>
  <c r="P657" i="16"/>
  <c r="E657" i="16"/>
  <c r="Y656" i="16"/>
  <c r="P656" i="16"/>
  <c r="E656" i="16"/>
  <c r="Y655" i="16"/>
  <c r="P655" i="16"/>
  <c r="E655" i="16"/>
  <c r="Y654" i="16"/>
  <c r="P654" i="16"/>
  <c r="E654" i="16"/>
  <c r="Y653" i="16"/>
  <c r="P653" i="16"/>
  <c r="E653" i="16"/>
  <c r="Y652" i="16"/>
  <c r="P652" i="16"/>
  <c r="E652" i="16"/>
  <c r="Y651" i="16"/>
  <c r="P651" i="16"/>
  <c r="E651" i="16"/>
  <c r="Y650" i="16"/>
  <c r="P650" i="16"/>
  <c r="E650" i="16"/>
  <c r="Y649" i="16"/>
  <c r="P649" i="16"/>
  <c r="E649" i="16"/>
  <c r="Y648" i="16"/>
  <c r="P648" i="16"/>
  <c r="E648" i="16"/>
  <c r="Y647" i="16"/>
  <c r="P647" i="16"/>
  <c r="E647" i="16"/>
  <c r="Y646" i="16"/>
  <c r="P646" i="16"/>
  <c r="E646" i="16"/>
  <c r="Y645" i="16"/>
  <c r="P645" i="16"/>
  <c r="E645" i="16"/>
  <c r="Y644" i="16"/>
  <c r="P644" i="16"/>
  <c r="E644" i="16"/>
  <c r="Y643" i="16"/>
  <c r="P643" i="16"/>
  <c r="E643" i="16"/>
  <c r="Y642" i="16"/>
  <c r="P642" i="16"/>
  <c r="E642" i="16"/>
  <c r="Y641" i="16"/>
  <c r="P641" i="16"/>
  <c r="E641" i="16"/>
  <c r="Y640" i="16"/>
  <c r="P640" i="16"/>
  <c r="E640" i="16"/>
  <c r="Y639" i="16"/>
  <c r="P639" i="16"/>
  <c r="E639" i="16"/>
  <c r="Y638" i="16"/>
  <c r="P638" i="16"/>
  <c r="E638" i="16"/>
  <c r="Y637" i="16"/>
  <c r="P637" i="16"/>
  <c r="E637" i="16"/>
  <c r="Y636" i="16"/>
  <c r="P636" i="16"/>
  <c r="E636" i="16"/>
  <c r="Y635" i="16"/>
  <c r="P635" i="16"/>
  <c r="E635" i="16"/>
  <c r="Y634" i="16"/>
  <c r="P634" i="16"/>
  <c r="E634" i="16"/>
  <c r="Y633" i="16"/>
  <c r="P633" i="16"/>
  <c r="E633" i="16"/>
  <c r="Y632" i="16"/>
  <c r="P632" i="16"/>
  <c r="E632" i="16"/>
  <c r="Y631" i="16"/>
  <c r="P631" i="16"/>
  <c r="E631" i="16"/>
  <c r="Y630" i="16"/>
  <c r="P630" i="16"/>
  <c r="E630" i="16"/>
  <c r="Y629" i="16"/>
  <c r="P629" i="16"/>
  <c r="E629" i="16"/>
  <c r="Y628" i="16"/>
  <c r="P628" i="16"/>
  <c r="E628" i="16"/>
  <c r="Y627" i="16"/>
  <c r="P627" i="16"/>
  <c r="E627" i="16"/>
  <c r="Y626" i="16"/>
  <c r="P626" i="16"/>
  <c r="E626" i="16"/>
  <c r="Y625" i="16"/>
  <c r="P625" i="16"/>
  <c r="E625" i="16"/>
  <c r="Y624" i="16"/>
  <c r="P624" i="16"/>
  <c r="E624" i="16"/>
  <c r="Y623" i="16"/>
  <c r="P623" i="16"/>
  <c r="E623" i="16"/>
  <c r="Y622" i="16"/>
  <c r="P622" i="16"/>
  <c r="E622" i="16"/>
  <c r="Y621" i="16"/>
  <c r="P621" i="16"/>
  <c r="E621" i="16"/>
  <c r="Y620" i="16"/>
  <c r="P620" i="16"/>
  <c r="E620" i="16"/>
  <c r="Y619" i="16"/>
  <c r="P619" i="16"/>
  <c r="E619" i="16"/>
  <c r="Y618" i="16"/>
  <c r="P618" i="16"/>
  <c r="E618" i="16"/>
  <c r="Y617" i="16"/>
  <c r="P617" i="16"/>
  <c r="E617" i="16"/>
  <c r="Y616" i="16"/>
  <c r="P616" i="16"/>
  <c r="E616" i="16"/>
  <c r="Y615" i="16"/>
  <c r="P615" i="16"/>
  <c r="E615" i="16"/>
  <c r="Y614" i="16"/>
  <c r="P614" i="16"/>
  <c r="E614" i="16"/>
  <c r="Y613" i="16"/>
  <c r="P613" i="16"/>
  <c r="E613" i="16"/>
  <c r="Y612" i="16"/>
  <c r="P612" i="16"/>
  <c r="E612" i="16"/>
  <c r="Y611" i="16"/>
  <c r="P611" i="16"/>
  <c r="E611" i="16"/>
  <c r="Y610" i="16"/>
  <c r="P610" i="16"/>
  <c r="E610" i="16"/>
  <c r="Y609" i="16"/>
  <c r="P609" i="16"/>
  <c r="E609" i="16"/>
  <c r="Y608" i="16"/>
  <c r="P608" i="16"/>
  <c r="E608" i="16"/>
  <c r="Y607" i="16"/>
  <c r="P607" i="16"/>
  <c r="E607" i="16"/>
  <c r="Y606" i="16"/>
  <c r="P606" i="16"/>
  <c r="E606" i="16"/>
  <c r="Y605" i="16"/>
  <c r="P605" i="16"/>
  <c r="E605" i="16"/>
  <c r="Y604" i="16"/>
  <c r="P604" i="16"/>
  <c r="E604" i="16"/>
  <c r="Y603" i="16"/>
  <c r="P603" i="16"/>
  <c r="E603" i="16"/>
  <c r="Y602" i="16"/>
  <c r="P602" i="16"/>
  <c r="E602" i="16"/>
  <c r="Y601" i="16"/>
  <c r="P601" i="16"/>
  <c r="E601" i="16"/>
  <c r="Y600" i="16"/>
  <c r="P600" i="16"/>
  <c r="E600" i="16"/>
  <c r="Y599" i="16"/>
  <c r="P599" i="16"/>
  <c r="E599" i="16"/>
  <c r="Y598" i="16"/>
  <c r="P598" i="16"/>
  <c r="E598" i="16"/>
  <c r="Y597" i="16"/>
  <c r="P597" i="16"/>
  <c r="E597" i="16"/>
  <c r="Y596" i="16"/>
  <c r="P596" i="16"/>
  <c r="E596" i="16"/>
  <c r="Y595" i="16"/>
  <c r="P595" i="16"/>
  <c r="E595" i="16"/>
  <c r="Y594" i="16"/>
  <c r="P594" i="16"/>
  <c r="E594" i="16"/>
  <c r="Y593" i="16"/>
  <c r="P593" i="16"/>
  <c r="E593" i="16"/>
  <c r="Y592" i="16"/>
  <c r="P592" i="16"/>
  <c r="E592" i="16"/>
  <c r="Y591" i="16"/>
  <c r="P591" i="16"/>
  <c r="E591" i="16"/>
  <c r="Y590" i="16"/>
  <c r="P590" i="16"/>
  <c r="E590" i="16"/>
  <c r="Y589" i="16"/>
  <c r="P589" i="16"/>
  <c r="E589" i="16"/>
  <c r="Y588" i="16"/>
  <c r="P588" i="16"/>
  <c r="E588" i="16"/>
  <c r="Y587" i="16"/>
  <c r="P587" i="16"/>
  <c r="E587" i="16"/>
  <c r="Y586" i="16"/>
  <c r="P586" i="16"/>
  <c r="E586" i="16"/>
  <c r="Y585" i="16"/>
  <c r="P585" i="16"/>
  <c r="E585" i="16"/>
  <c r="Y584" i="16"/>
  <c r="P584" i="16"/>
  <c r="E584" i="16"/>
  <c r="Y583" i="16"/>
  <c r="P583" i="16"/>
  <c r="E583" i="16"/>
  <c r="Y582" i="16"/>
  <c r="P582" i="16"/>
  <c r="E582" i="16"/>
  <c r="Y581" i="16"/>
  <c r="P581" i="16"/>
  <c r="E581" i="16"/>
  <c r="Y580" i="16"/>
  <c r="P580" i="16"/>
  <c r="E580" i="16"/>
  <c r="Y579" i="16"/>
  <c r="P579" i="16"/>
  <c r="E579" i="16"/>
  <c r="Y578" i="16"/>
  <c r="P578" i="16"/>
  <c r="E578" i="16"/>
  <c r="Y577" i="16"/>
  <c r="P577" i="16"/>
  <c r="E577" i="16"/>
  <c r="Y576" i="16"/>
  <c r="P576" i="16"/>
  <c r="E576" i="16"/>
  <c r="Y575" i="16"/>
  <c r="P575" i="16"/>
  <c r="E575" i="16"/>
  <c r="Y574" i="16"/>
  <c r="P574" i="16"/>
  <c r="E574" i="16"/>
  <c r="Y573" i="16"/>
  <c r="P573" i="16"/>
  <c r="E573" i="16"/>
  <c r="Y572" i="16"/>
  <c r="P572" i="16"/>
  <c r="E572" i="16"/>
  <c r="Y571" i="16"/>
  <c r="P571" i="16"/>
  <c r="E571" i="16"/>
  <c r="Y570" i="16"/>
  <c r="P570" i="16"/>
  <c r="E570" i="16"/>
  <c r="Y569" i="16"/>
  <c r="P569" i="16"/>
  <c r="E569" i="16"/>
  <c r="Y568" i="16"/>
  <c r="P568" i="16"/>
  <c r="E568" i="16"/>
  <c r="Y567" i="16"/>
  <c r="P567" i="16"/>
  <c r="E567" i="16"/>
  <c r="Y566" i="16"/>
  <c r="P566" i="16"/>
  <c r="E566" i="16"/>
  <c r="Y565" i="16"/>
  <c r="P565" i="16"/>
  <c r="E565" i="16"/>
  <c r="Y564" i="16"/>
  <c r="P564" i="16"/>
  <c r="E564" i="16"/>
  <c r="Y563" i="16"/>
  <c r="P563" i="16"/>
  <c r="E563" i="16"/>
  <c r="Y562" i="16"/>
  <c r="P562" i="16"/>
  <c r="E562" i="16"/>
  <c r="Y561" i="16"/>
  <c r="P561" i="16"/>
  <c r="E561" i="16"/>
  <c r="Y560" i="16"/>
  <c r="P560" i="16"/>
  <c r="E560" i="16"/>
  <c r="Y559" i="16"/>
  <c r="P559" i="16"/>
  <c r="E559" i="16"/>
  <c r="Y558" i="16"/>
  <c r="P558" i="16"/>
  <c r="E558" i="16"/>
  <c r="Y557" i="16"/>
  <c r="P557" i="16"/>
  <c r="E557" i="16"/>
  <c r="Y556" i="16"/>
  <c r="P556" i="16"/>
  <c r="E556" i="16"/>
  <c r="Y555" i="16"/>
  <c r="P555" i="16"/>
  <c r="E555" i="16"/>
  <c r="Y554" i="16"/>
  <c r="P554" i="16"/>
  <c r="E554" i="16"/>
  <c r="Y553" i="16"/>
  <c r="P553" i="16"/>
  <c r="E553" i="16"/>
  <c r="Y552" i="16"/>
  <c r="P552" i="16"/>
  <c r="E552" i="16"/>
  <c r="Y551" i="16"/>
  <c r="P551" i="16"/>
  <c r="E551" i="16"/>
  <c r="Y550" i="16"/>
  <c r="P550" i="16"/>
  <c r="E550" i="16"/>
  <c r="Y549" i="16"/>
  <c r="P549" i="16"/>
  <c r="E549" i="16"/>
  <c r="Y548" i="16"/>
  <c r="P548" i="16"/>
  <c r="E548" i="16"/>
  <c r="Y547" i="16"/>
  <c r="P547" i="16"/>
  <c r="E547" i="16"/>
  <c r="Y546" i="16"/>
  <c r="P546" i="16"/>
  <c r="E546" i="16"/>
  <c r="Y545" i="16"/>
  <c r="P545" i="16"/>
  <c r="E545" i="16"/>
  <c r="Y544" i="16"/>
  <c r="P544" i="16"/>
  <c r="E544" i="16"/>
  <c r="Y543" i="16"/>
  <c r="P543" i="16"/>
  <c r="E543" i="16"/>
  <c r="Y542" i="16"/>
  <c r="P542" i="16"/>
  <c r="E542" i="16"/>
  <c r="Y541" i="16"/>
  <c r="P541" i="16"/>
  <c r="E541" i="16"/>
  <c r="Y540" i="16"/>
  <c r="P540" i="16"/>
  <c r="E540" i="16"/>
  <c r="Y539" i="16"/>
  <c r="P539" i="16"/>
  <c r="E539" i="16"/>
  <c r="Y538" i="16"/>
  <c r="P538" i="16"/>
  <c r="E538" i="16"/>
  <c r="Y537" i="16"/>
  <c r="P537" i="16"/>
  <c r="E537" i="16"/>
  <c r="Y536" i="16"/>
  <c r="P536" i="16"/>
  <c r="E536" i="16"/>
  <c r="Y535" i="16"/>
  <c r="P535" i="16"/>
  <c r="E535" i="16"/>
  <c r="Y534" i="16"/>
  <c r="P534" i="16"/>
  <c r="E534" i="16"/>
  <c r="Y533" i="16"/>
  <c r="P533" i="16"/>
  <c r="E533" i="16"/>
  <c r="Y532" i="16"/>
  <c r="P532" i="16"/>
  <c r="E532" i="16"/>
  <c r="Y531" i="16"/>
  <c r="P531" i="16"/>
  <c r="E531" i="16"/>
  <c r="Y530" i="16"/>
  <c r="P530" i="16"/>
  <c r="E530" i="16"/>
  <c r="Y529" i="16"/>
  <c r="P529" i="16"/>
  <c r="E529" i="16"/>
  <c r="Y528" i="16"/>
  <c r="P528" i="16"/>
  <c r="E528" i="16"/>
  <c r="Y527" i="16"/>
  <c r="P527" i="16"/>
  <c r="E527" i="16"/>
  <c r="Y526" i="16"/>
  <c r="P526" i="16"/>
  <c r="E526" i="16"/>
  <c r="Y525" i="16"/>
  <c r="P525" i="16"/>
  <c r="E525" i="16"/>
  <c r="Y524" i="16"/>
  <c r="P524" i="16"/>
  <c r="E524" i="16"/>
  <c r="Y523" i="16"/>
  <c r="P523" i="16"/>
  <c r="E523" i="16"/>
  <c r="Y522" i="16"/>
  <c r="P522" i="16"/>
  <c r="E522" i="16"/>
  <c r="Y521" i="16"/>
  <c r="P521" i="16"/>
  <c r="E521" i="16"/>
  <c r="Y520" i="16"/>
  <c r="P520" i="16"/>
  <c r="E520" i="16"/>
  <c r="Y519" i="16"/>
  <c r="P519" i="16"/>
  <c r="E519" i="16"/>
  <c r="Y518" i="16"/>
  <c r="P518" i="16"/>
  <c r="E518" i="16"/>
  <c r="Y517" i="16"/>
  <c r="P517" i="16"/>
  <c r="E517" i="16"/>
  <c r="Y516" i="16"/>
  <c r="P516" i="16"/>
  <c r="E516" i="16"/>
  <c r="Y515" i="16"/>
  <c r="P515" i="16"/>
  <c r="E515" i="16"/>
  <c r="Y514" i="16"/>
  <c r="P514" i="16"/>
  <c r="E514" i="16"/>
  <c r="Y513" i="16"/>
  <c r="P513" i="16"/>
  <c r="E513" i="16"/>
  <c r="Y512" i="16"/>
  <c r="P512" i="16"/>
  <c r="E512" i="16"/>
  <c r="Y511" i="16"/>
  <c r="P511" i="16"/>
  <c r="E511" i="16"/>
  <c r="Y510" i="16"/>
  <c r="P510" i="16"/>
  <c r="E510" i="16"/>
  <c r="Y509" i="16"/>
  <c r="P509" i="16"/>
  <c r="E509" i="16"/>
  <c r="Y508" i="16"/>
  <c r="P508" i="16"/>
  <c r="E508" i="16"/>
  <c r="Y507" i="16"/>
  <c r="P507" i="16"/>
  <c r="E507" i="16"/>
  <c r="Y506" i="16"/>
  <c r="P506" i="16"/>
  <c r="E506" i="16"/>
  <c r="Y505" i="16"/>
  <c r="P505" i="16"/>
  <c r="E505" i="16"/>
  <c r="Y504" i="16"/>
  <c r="P504" i="16"/>
  <c r="E504" i="16"/>
  <c r="Y503" i="16"/>
  <c r="P503" i="16"/>
  <c r="E503" i="16"/>
  <c r="Y502" i="16"/>
  <c r="P502" i="16"/>
  <c r="E502" i="16"/>
  <c r="Y501" i="16"/>
  <c r="P501" i="16"/>
  <c r="E501" i="16"/>
  <c r="Y500" i="16"/>
  <c r="P500" i="16"/>
  <c r="E500" i="16"/>
  <c r="Y499" i="16"/>
  <c r="P499" i="16"/>
  <c r="E499" i="16"/>
  <c r="Y498" i="16"/>
  <c r="P498" i="16"/>
  <c r="E498" i="16"/>
  <c r="Y497" i="16"/>
  <c r="P497" i="16"/>
  <c r="E497" i="16"/>
  <c r="Y496" i="16"/>
  <c r="P496" i="16"/>
  <c r="E496" i="16"/>
  <c r="Y495" i="16"/>
  <c r="P495" i="16"/>
  <c r="E495" i="16"/>
  <c r="Y494" i="16"/>
  <c r="P494" i="16"/>
  <c r="E494" i="16"/>
  <c r="Y493" i="16"/>
  <c r="P493" i="16"/>
  <c r="E493" i="16"/>
  <c r="Y492" i="16"/>
  <c r="P492" i="16"/>
  <c r="E492" i="16"/>
  <c r="Y491" i="16"/>
  <c r="P491" i="16"/>
  <c r="E491" i="16"/>
  <c r="Y490" i="16"/>
  <c r="P490" i="16"/>
  <c r="E490" i="16"/>
  <c r="Y489" i="16"/>
  <c r="P489" i="16"/>
  <c r="E489" i="16"/>
  <c r="Y488" i="16"/>
  <c r="P488" i="16"/>
  <c r="E488" i="16"/>
  <c r="Y487" i="16"/>
  <c r="P487" i="16"/>
  <c r="E487" i="16"/>
  <c r="Y486" i="16"/>
  <c r="P486" i="16"/>
  <c r="E486" i="16"/>
  <c r="Y485" i="16"/>
  <c r="P485" i="16"/>
  <c r="E485" i="16"/>
  <c r="Y484" i="16"/>
  <c r="P484" i="16"/>
  <c r="E484" i="16"/>
  <c r="Y483" i="16"/>
  <c r="P483" i="16"/>
  <c r="E483" i="16"/>
  <c r="Y482" i="16"/>
  <c r="P482" i="16"/>
  <c r="E482" i="16"/>
  <c r="Y481" i="16"/>
  <c r="P481" i="16"/>
  <c r="E481" i="16"/>
  <c r="Y480" i="16"/>
  <c r="P480" i="16"/>
  <c r="E480" i="16"/>
  <c r="Y479" i="16"/>
  <c r="P479" i="16"/>
  <c r="E479" i="16"/>
  <c r="Y478" i="16"/>
  <c r="P478" i="16"/>
  <c r="E478" i="16"/>
  <c r="Y477" i="16"/>
  <c r="P477" i="16"/>
  <c r="E477" i="16"/>
  <c r="Y476" i="16"/>
  <c r="P476" i="16"/>
  <c r="E476" i="16"/>
  <c r="Y475" i="16"/>
  <c r="P475" i="16"/>
  <c r="E475" i="16"/>
  <c r="Y474" i="16"/>
  <c r="P474" i="16"/>
  <c r="E474" i="16"/>
  <c r="Y473" i="16"/>
  <c r="P473" i="16"/>
  <c r="E473" i="16"/>
  <c r="Y472" i="16"/>
  <c r="P472" i="16"/>
  <c r="E472" i="16"/>
  <c r="Y471" i="16"/>
  <c r="P471" i="16"/>
  <c r="E471" i="16"/>
  <c r="Y470" i="16"/>
  <c r="P470" i="16"/>
  <c r="E470" i="16"/>
  <c r="Y469" i="16"/>
  <c r="P469" i="16"/>
  <c r="E469" i="16"/>
  <c r="Y468" i="16"/>
  <c r="P468" i="16"/>
  <c r="E468" i="16"/>
  <c r="Y467" i="16"/>
  <c r="P467" i="16"/>
  <c r="E467" i="16"/>
  <c r="Y466" i="16"/>
  <c r="P466" i="16"/>
  <c r="E466" i="16"/>
  <c r="Y465" i="16"/>
  <c r="P465" i="16"/>
  <c r="E465" i="16"/>
  <c r="Y464" i="16"/>
  <c r="P464" i="16"/>
  <c r="E464" i="16"/>
  <c r="Y463" i="16"/>
  <c r="P463" i="16"/>
  <c r="E463" i="16"/>
  <c r="Y462" i="16"/>
  <c r="P462" i="16"/>
  <c r="E462" i="16"/>
  <c r="Y461" i="16"/>
  <c r="P461" i="16"/>
  <c r="E461" i="16"/>
  <c r="Y460" i="16"/>
  <c r="P460" i="16"/>
  <c r="E460" i="16"/>
  <c r="Y459" i="16"/>
  <c r="P459" i="16"/>
  <c r="E459" i="16"/>
  <c r="Y458" i="16"/>
  <c r="P458" i="16"/>
  <c r="E458" i="16"/>
  <c r="Y457" i="16"/>
  <c r="P457" i="16"/>
  <c r="E457" i="16"/>
  <c r="Y456" i="16"/>
  <c r="P456" i="16"/>
  <c r="E456" i="16"/>
  <c r="Y455" i="16"/>
  <c r="P455" i="16"/>
  <c r="E455" i="16"/>
  <c r="Y454" i="16"/>
  <c r="P454" i="16"/>
  <c r="E454" i="16"/>
  <c r="Y453" i="16"/>
  <c r="P453" i="16"/>
  <c r="E453" i="16"/>
  <c r="Y452" i="16"/>
  <c r="P452" i="16"/>
  <c r="E452" i="16"/>
  <c r="Y451" i="16"/>
  <c r="P451" i="16"/>
  <c r="E451" i="16"/>
  <c r="Y450" i="16"/>
  <c r="P450" i="16"/>
  <c r="E450" i="16"/>
  <c r="Y449" i="16"/>
  <c r="P449" i="16"/>
  <c r="E449" i="16"/>
  <c r="Y448" i="16"/>
  <c r="P448" i="16"/>
  <c r="E448" i="16"/>
  <c r="Y447" i="16"/>
  <c r="P447" i="16"/>
  <c r="E447" i="16"/>
  <c r="Y446" i="16"/>
  <c r="P446" i="16"/>
  <c r="E446" i="16"/>
  <c r="Y445" i="16"/>
  <c r="P445" i="16"/>
  <c r="E445" i="16"/>
  <c r="Y444" i="16"/>
  <c r="P444" i="16"/>
  <c r="E444" i="16"/>
  <c r="Y443" i="16"/>
  <c r="P443" i="16"/>
  <c r="E443" i="16"/>
  <c r="Y442" i="16"/>
  <c r="P442" i="16"/>
  <c r="E442" i="16"/>
  <c r="Y441" i="16"/>
  <c r="P441" i="16"/>
  <c r="E441" i="16"/>
  <c r="Y440" i="16"/>
  <c r="P440" i="16"/>
  <c r="E440" i="16"/>
  <c r="Y439" i="16"/>
  <c r="P439" i="16"/>
  <c r="E439" i="16"/>
  <c r="Y438" i="16"/>
  <c r="P438" i="16"/>
  <c r="E438" i="16"/>
  <c r="Y437" i="16"/>
  <c r="P437" i="16"/>
  <c r="E437" i="16"/>
  <c r="Y436" i="16"/>
  <c r="P436" i="16"/>
  <c r="E436" i="16"/>
  <c r="Y435" i="16"/>
  <c r="P435" i="16"/>
  <c r="E435" i="16"/>
  <c r="Y434" i="16"/>
  <c r="P434" i="16"/>
  <c r="E434" i="16"/>
  <c r="Y433" i="16"/>
  <c r="P433" i="16"/>
  <c r="E433" i="16"/>
  <c r="Y432" i="16"/>
  <c r="P432" i="16"/>
  <c r="E432" i="16"/>
  <c r="Y431" i="16"/>
  <c r="P431" i="16"/>
  <c r="E431" i="16"/>
  <c r="Y430" i="16"/>
  <c r="P430" i="16"/>
  <c r="E430" i="16"/>
  <c r="Y429" i="16"/>
  <c r="P429" i="16"/>
  <c r="E429" i="16"/>
  <c r="Y428" i="16"/>
  <c r="P428" i="16"/>
  <c r="E428" i="16"/>
  <c r="Y427" i="16"/>
  <c r="P427" i="16"/>
  <c r="E427" i="16"/>
  <c r="Y426" i="16"/>
  <c r="P426" i="16"/>
  <c r="E426" i="16"/>
  <c r="Y425" i="16"/>
  <c r="P425" i="16"/>
  <c r="E425" i="16"/>
  <c r="Y424" i="16"/>
  <c r="P424" i="16"/>
  <c r="E424" i="16"/>
  <c r="Y423" i="16"/>
  <c r="P423" i="16"/>
  <c r="E423" i="16"/>
  <c r="Y422" i="16"/>
  <c r="P422" i="16"/>
  <c r="E422" i="16"/>
  <c r="Y421" i="16"/>
  <c r="P421" i="16"/>
  <c r="E421" i="16"/>
  <c r="Y420" i="16"/>
  <c r="P420" i="16"/>
  <c r="E420" i="16"/>
  <c r="Y419" i="16"/>
  <c r="P419" i="16"/>
  <c r="E419" i="16"/>
  <c r="Y418" i="16"/>
  <c r="P418" i="16"/>
  <c r="E418" i="16"/>
  <c r="Y417" i="16"/>
  <c r="P417" i="16"/>
  <c r="E417" i="16"/>
  <c r="Y416" i="16"/>
  <c r="P416" i="16"/>
  <c r="E416" i="16"/>
  <c r="Y415" i="16"/>
  <c r="P415" i="16"/>
  <c r="E415" i="16"/>
  <c r="Y414" i="16"/>
  <c r="P414" i="16"/>
  <c r="E414" i="16"/>
  <c r="Y413" i="16"/>
  <c r="P413" i="16"/>
  <c r="E413" i="16"/>
  <c r="Y412" i="16"/>
  <c r="P412" i="16"/>
  <c r="E412" i="16"/>
  <c r="Y411" i="16"/>
  <c r="P411" i="16"/>
  <c r="E411" i="16"/>
  <c r="Y410" i="16"/>
  <c r="P410" i="16"/>
  <c r="E410" i="16"/>
  <c r="Y409" i="16"/>
  <c r="P409" i="16"/>
  <c r="E409" i="16"/>
  <c r="Y408" i="16"/>
  <c r="P408" i="16"/>
  <c r="E408" i="16"/>
  <c r="Y407" i="16"/>
  <c r="P407" i="16"/>
  <c r="E407" i="16"/>
  <c r="Y406" i="16"/>
  <c r="P406" i="16"/>
  <c r="E406" i="16"/>
  <c r="Y405" i="16"/>
  <c r="P405" i="16"/>
  <c r="E405" i="16"/>
  <c r="Y404" i="16"/>
  <c r="P404" i="16"/>
  <c r="E404" i="16"/>
  <c r="Y403" i="16"/>
  <c r="P403" i="16"/>
  <c r="E403" i="16"/>
  <c r="Y402" i="16"/>
  <c r="P402" i="16"/>
  <c r="E402" i="16"/>
  <c r="Y401" i="16"/>
  <c r="P401" i="16"/>
  <c r="E401" i="16"/>
  <c r="Y400" i="16"/>
  <c r="P400" i="16"/>
  <c r="E400" i="16"/>
  <c r="Y399" i="16"/>
  <c r="P399" i="16"/>
  <c r="E399" i="16"/>
  <c r="Y398" i="16"/>
  <c r="P398" i="16"/>
  <c r="E398" i="16"/>
  <c r="Y397" i="16"/>
  <c r="P397" i="16"/>
  <c r="E397" i="16"/>
  <c r="Y396" i="16"/>
  <c r="P396" i="16"/>
  <c r="E396" i="16"/>
  <c r="Y395" i="16"/>
  <c r="P395" i="16"/>
  <c r="E395" i="16"/>
  <c r="Y394" i="16"/>
  <c r="P394" i="16"/>
  <c r="E394" i="16"/>
  <c r="Y393" i="16"/>
  <c r="P393" i="16"/>
  <c r="E393" i="16"/>
  <c r="Y392" i="16"/>
  <c r="P392" i="16"/>
  <c r="E392" i="16"/>
  <c r="Y391" i="16"/>
  <c r="P391" i="16"/>
  <c r="E391" i="16"/>
  <c r="Y390" i="16"/>
  <c r="P390" i="16"/>
  <c r="E390" i="16"/>
  <c r="Y389" i="16"/>
  <c r="P389" i="16"/>
  <c r="E389" i="16"/>
  <c r="Y388" i="16"/>
  <c r="P388" i="16"/>
  <c r="E388" i="16"/>
  <c r="Y387" i="16"/>
  <c r="P387" i="16"/>
  <c r="E387" i="16"/>
  <c r="Y386" i="16"/>
  <c r="P386" i="16"/>
  <c r="E386" i="16"/>
  <c r="Y385" i="16"/>
  <c r="P385" i="16"/>
  <c r="E385" i="16"/>
  <c r="Y384" i="16"/>
  <c r="P384" i="16"/>
  <c r="E384" i="16"/>
  <c r="Y383" i="16"/>
  <c r="P383" i="16"/>
  <c r="E383" i="16"/>
  <c r="Y382" i="16"/>
  <c r="P382" i="16"/>
  <c r="E382" i="16"/>
  <c r="Y381" i="16"/>
  <c r="P381" i="16"/>
  <c r="E381" i="16"/>
  <c r="Y380" i="16"/>
  <c r="P380" i="16"/>
  <c r="E380" i="16"/>
  <c r="Y379" i="16"/>
  <c r="P379" i="16"/>
  <c r="E379" i="16"/>
  <c r="Y378" i="16"/>
  <c r="P378" i="16"/>
  <c r="E378" i="16"/>
  <c r="Y377" i="16"/>
  <c r="P377" i="16"/>
  <c r="E377" i="16"/>
  <c r="Y376" i="16"/>
  <c r="P376" i="16"/>
  <c r="E376" i="16"/>
  <c r="Y375" i="16"/>
  <c r="P375" i="16"/>
  <c r="E375" i="16"/>
  <c r="Y374" i="16"/>
  <c r="P374" i="16"/>
  <c r="E374" i="16"/>
  <c r="Y373" i="16"/>
  <c r="P373" i="16"/>
  <c r="E373" i="16"/>
  <c r="Y372" i="16"/>
  <c r="P372" i="16"/>
  <c r="E372" i="16"/>
  <c r="Y371" i="16"/>
  <c r="P371" i="16"/>
  <c r="E371" i="16"/>
  <c r="Y370" i="16"/>
  <c r="P370" i="16"/>
  <c r="E370" i="16"/>
  <c r="Y369" i="16"/>
  <c r="P369" i="16"/>
  <c r="E369" i="16"/>
  <c r="Y368" i="16"/>
  <c r="P368" i="16"/>
  <c r="E368" i="16"/>
  <c r="Y367" i="16"/>
  <c r="P367" i="16"/>
  <c r="E367" i="16"/>
  <c r="Y366" i="16"/>
  <c r="P366" i="16"/>
  <c r="E366" i="16"/>
  <c r="Y365" i="16"/>
  <c r="P365" i="16"/>
  <c r="E365" i="16"/>
  <c r="Y364" i="16"/>
  <c r="P364" i="16"/>
  <c r="E364" i="16"/>
  <c r="Y363" i="16"/>
  <c r="P363" i="16"/>
  <c r="E363" i="16"/>
  <c r="Y362" i="16"/>
  <c r="P362" i="16"/>
  <c r="E362" i="16"/>
  <c r="Y361" i="16"/>
  <c r="P361" i="16"/>
  <c r="E361" i="16"/>
  <c r="Y360" i="16"/>
  <c r="P360" i="16"/>
  <c r="E360" i="16"/>
  <c r="Y359" i="16"/>
  <c r="P359" i="16"/>
  <c r="E359" i="16"/>
  <c r="Y358" i="16"/>
  <c r="P358" i="16"/>
  <c r="E358" i="16"/>
  <c r="Y357" i="16"/>
  <c r="P357" i="16"/>
  <c r="E357" i="16"/>
  <c r="Y356" i="16"/>
  <c r="P356" i="16"/>
  <c r="E356" i="16"/>
  <c r="Y355" i="16"/>
  <c r="P355" i="16"/>
  <c r="E355" i="16"/>
  <c r="Y354" i="16"/>
  <c r="P354" i="16"/>
  <c r="E354" i="16"/>
  <c r="Y353" i="16"/>
  <c r="P353" i="16"/>
  <c r="E353" i="16"/>
  <c r="Y352" i="16"/>
  <c r="P352" i="16"/>
  <c r="E352" i="16"/>
  <c r="Y351" i="16"/>
  <c r="P351" i="16"/>
  <c r="E351" i="16"/>
  <c r="Y350" i="16"/>
  <c r="P350" i="16"/>
  <c r="E350" i="16"/>
  <c r="Y349" i="16"/>
  <c r="P349" i="16"/>
  <c r="E349" i="16"/>
  <c r="Y348" i="16"/>
  <c r="P348" i="16"/>
  <c r="E348" i="16"/>
  <c r="Y347" i="16"/>
  <c r="P347" i="16"/>
  <c r="E347" i="16"/>
  <c r="Y346" i="16"/>
  <c r="P346" i="16"/>
  <c r="E346" i="16"/>
  <c r="Y345" i="16"/>
  <c r="P345" i="16"/>
  <c r="E345" i="16"/>
  <c r="Y344" i="16"/>
  <c r="P344" i="16"/>
  <c r="E344" i="16"/>
  <c r="Y343" i="16"/>
  <c r="P343" i="16"/>
  <c r="E343" i="16"/>
  <c r="Y342" i="16"/>
  <c r="P342" i="16"/>
  <c r="E342" i="16"/>
  <c r="Y341" i="16"/>
  <c r="P341" i="16"/>
  <c r="E341" i="16"/>
  <c r="Y340" i="16"/>
  <c r="P340" i="16"/>
  <c r="E340" i="16"/>
  <c r="Y339" i="16"/>
  <c r="P339" i="16"/>
  <c r="E339" i="16"/>
  <c r="Y338" i="16"/>
  <c r="P338" i="16"/>
  <c r="E338" i="16"/>
  <c r="Y337" i="16"/>
  <c r="P337" i="16"/>
  <c r="E337" i="16"/>
  <c r="Y336" i="16"/>
  <c r="P336" i="16"/>
  <c r="E336" i="16"/>
  <c r="Y335" i="16"/>
  <c r="P335" i="16"/>
  <c r="E335" i="16"/>
  <c r="Y334" i="16"/>
  <c r="P334" i="16"/>
  <c r="E334" i="16"/>
  <c r="Y333" i="16"/>
  <c r="P333" i="16"/>
  <c r="E333" i="16"/>
  <c r="Y332" i="16"/>
  <c r="P332" i="16"/>
  <c r="E332" i="16"/>
  <c r="Y331" i="16"/>
  <c r="P331" i="16"/>
  <c r="E331" i="16"/>
  <c r="AD330" i="16"/>
  <c r="Y330" i="16"/>
  <c r="P330" i="16"/>
  <c r="E330" i="16"/>
  <c r="AD329" i="16"/>
  <c r="Y329" i="16"/>
  <c r="P329" i="16"/>
  <c r="E329" i="16"/>
  <c r="AD328" i="16"/>
  <c r="Y328" i="16"/>
  <c r="P328" i="16"/>
  <c r="E328" i="16"/>
  <c r="AD327" i="16"/>
  <c r="Y327" i="16"/>
  <c r="P327" i="16"/>
  <c r="J327" i="16"/>
  <c r="E327" i="16"/>
  <c r="AD326" i="16"/>
  <c r="Y326" i="16"/>
  <c r="P326" i="16"/>
  <c r="J326" i="16"/>
  <c r="E326" i="16"/>
  <c r="AD325" i="16"/>
  <c r="Y325" i="16"/>
  <c r="P325" i="16"/>
  <c r="J325" i="16"/>
  <c r="E325" i="16"/>
  <c r="AD324" i="16"/>
  <c r="Y324" i="16"/>
  <c r="P324" i="16"/>
  <c r="J324" i="16"/>
  <c r="E324" i="16"/>
  <c r="AD323" i="16"/>
  <c r="Y323" i="16"/>
  <c r="P323" i="16"/>
  <c r="J323" i="16"/>
  <c r="E323" i="16"/>
  <c r="AD322" i="16"/>
  <c r="Y322" i="16"/>
  <c r="P322" i="16"/>
  <c r="J322" i="16"/>
  <c r="E322" i="16"/>
  <c r="AD321" i="16"/>
  <c r="Y321" i="16"/>
  <c r="P321" i="16"/>
  <c r="J321" i="16"/>
  <c r="E321" i="16"/>
  <c r="AD320" i="16"/>
  <c r="Y320" i="16"/>
  <c r="P320" i="16"/>
  <c r="J320" i="16"/>
  <c r="E320" i="16"/>
  <c r="AD319" i="16"/>
  <c r="Y319" i="16"/>
  <c r="P319" i="16"/>
  <c r="J319" i="16"/>
  <c r="E319" i="16"/>
  <c r="AD318" i="16"/>
  <c r="Y318" i="16"/>
  <c r="P318" i="16"/>
  <c r="J318" i="16"/>
  <c r="E318" i="16"/>
  <c r="AD317" i="16"/>
  <c r="Y317" i="16"/>
  <c r="P317" i="16"/>
  <c r="J317" i="16"/>
  <c r="E317" i="16"/>
  <c r="AD316" i="16"/>
  <c r="Y316" i="16"/>
  <c r="P316" i="16"/>
  <c r="J316" i="16"/>
  <c r="E316" i="16"/>
  <c r="AD315" i="16"/>
  <c r="Y315" i="16"/>
  <c r="P315" i="16"/>
  <c r="J315" i="16"/>
  <c r="E315" i="16"/>
  <c r="AD314" i="16"/>
  <c r="Y314" i="16"/>
  <c r="P314" i="16"/>
  <c r="J314" i="16"/>
  <c r="E314" i="16"/>
  <c r="AD313" i="16"/>
  <c r="Y313" i="16"/>
  <c r="P313" i="16"/>
  <c r="J313" i="16"/>
  <c r="E313" i="16"/>
  <c r="AD312" i="16"/>
  <c r="Y312" i="16"/>
  <c r="P312" i="16"/>
  <c r="J312" i="16"/>
  <c r="E312" i="16"/>
  <c r="AD311" i="16"/>
  <c r="Y311" i="16"/>
  <c r="P311" i="16"/>
  <c r="J311" i="16"/>
  <c r="E311" i="16"/>
  <c r="AD310" i="16"/>
  <c r="Y310" i="16"/>
  <c r="P310" i="16"/>
  <c r="J310" i="16"/>
  <c r="E310" i="16"/>
  <c r="AD309" i="16"/>
  <c r="Y309" i="16"/>
  <c r="P309" i="16"/>
  <c r="J309" i="16"/>
  <c r="E309" i="16"/>
  <c r="AD308" i="16"/>
  <c r="Y308" i="16"/>
  <c r="P308" i="16"/>
  <c r="J308" i="16"/>
  <c r="E308" i="16"/>
  <c r="AD307" i="16"/>
  <c r="Y307" i="16"/>
  <c r="P307" i="16"/>
  <c r="J307" i="16"/>
  <c r="E307" i="16"/>
  <c r="AD306" i="16"/>
  <c r="Y306" i="16"/>
  <c r="P306" i="16"/>
  <c r="J306" i="16"/>
  <c r="E306" i="16"/>
  <c r="AD305" i="16"/>
  <c r="Y305" i="16"/>
  <c r="P305" i="16"/>
  <c r="J305" i="16"/>
  <c r="E305" i="16"/>
  <c r="AD304" i="16"/>
  <c r="Y304" i="16"/>
  <c r="P304" i="16"/>
  <c r="J304" i="16"/>
  <c r="E304" i="16"/>
  <c r="AD303" i="16"/>
  <c r="Y303" i="16"/>
  <c r="P303" i="16"/>
  <c r="J303" i="16"/>
  <c r="E303" i="16"/>
  <c r="AD302" i="16"/>
  <c r="Y302" i="16"/>
  <c r="P302" i="16"/>
  <c r="J302" i="16"/>
  <c r="E302" i="16"/>
  <c r="AD301" i="16"/>
  <c r="Y301" i="16"/>
  <c r="P301" i="16"/>
  <c r="J301" i="16"/>
  <c r="E301" i="16"/>
  <c r="AD300" i="16"/>
  <c r="Y300" i="16"/>
  <c r="P300" i="16"/>
  <c r="J300" i="16"/>
  <c r="E300" i="16"/>
  <c r="AD299" i="16"/>
  <c r="Y299" i="16"/>
  <c r="P299" i="16"/>
  <c r="J299" i="16"/>
  <c r="E299" i="16"/>
  <c r="AD298" i="16"/>
  <c r="Y298" i="16"/>
  <c r="P298" i="16"/>
  <c r="J298" i="16"/>
  <c r="E298" i="16"/>
  <c r="AD297" i="16"/>
  <c r="Y297" i="16"/>
  <c r="P297" i="16"/>
  <c r="J297" i="16"/>
  <c r="E297" i="16"/>
  <c r="AD296" i="16"/>
  <c r="Y296" i="16"/>
  <c r="P296" i="16"/>
  <c r="J296" i="16"/>
  <c r="E296" i="16"/>
  <c r="AD295" i="16"/>
  <c r="Y295" i="16"/>
  <c r="P295" i="16"/>
  <c r="J295" i="16"/>
  <c r="E295" i="16"/>
  <c r="AD294" i="16"/>
  <c r="Y294" i="16"/>
  <c r="P294" i="16"/>
  <c r="J294" i="16"/>
  <c r="E294" i="16"/>
  <c r="AD293" i="16"/>
  <c r="Y293" i="16"/>
  <c r="P293" i="16"/>
  <c r="J293" i="16"/>
  <c r="E293" i="16"/>
  <c r="AD292" i="16"/>
  <c r="Y292" i="16"/>
  <c r="P292" i="16"/>
  <c r="J292" i="16"/>
  <c r="E292" i="16"/>
  <c r="AD291" i="16"/>
  <c r="Y291" i="16"/>
  <c r="P291" i="16"/>
  <c r="J291" i="16"/>
  <c r="E291" i="16"/>
  <c r="AD290" i="16"/>
  <c r="Y290" i="16"/>
  <c r="P290" i="16"/>
  <c r="J290" i="16"/>
  <c r="E290" i="16"/>
  <c r="AD289" i="16"/>
  <c r="Y289" i="16"/>
  <c r="P289" i="16"/>
  <c r="J289" i="16"/>
  <c r="E289" i="16"/>
  <c r="AD288" i="16"/>
  <c r="Y288" i="16"/>
  <c r="P288" i="16"/>
  <c r="J288" i="16"/>
  <c r="E288" i="16"/>
  <c r="AD287" i="16"/>
  <c r="Y287" i="16"/>
  <c r="P287" i="16"/>
  <c r="J287" i="16"/>
  <c r="E287" i="16"/>
  <c r="AD286" i="16"/>
  <c r="Y286" i="16"/>
  <c r="P286" i="16"/>
  <c r="J286" i="16"/>
  <c r="E286" i="16"/>
  <c r="AD285" i="16"/>
  <c r="Y285" i="16"/>
  <c r="P285" i="16"/>
  <c r="J285" i="16"/>
  <c r="E285" i="16"/>
  <c r="AD284" i="16"/>
  <c r="Y284" i="16"/>
  <c r="P284" i="16"/>
  <c r="J284" i="16"/>
  <c r="E284" i="16"/>
  <c r="AD283" i="16"/>
  <c r="Y283" i="16"/>
  <c r="P283" i="16"/>
  <c r="J283" i="16"/>
  <c r="E283" i="16"/>
  <c r="AD282" i="16"/>
  <c r="Y282" i="16"/>
  <c r="P282" i="16"/>
  <c r="J282" i="16"/>
  <c r="E282" i="16"/>
  <c r="AD281" i="16"/>
  <c r="Y281" i="16"/>
  <c r="P281" i="16"/>
  <c r="J281" i="16"/>
  <c r="E281" i="16"/>
  <c r="AD280" i="16"/>
  <c r="Y280" i="16"/>
  <c r="P280" i="16"/>
  <c r="J280" i="16"/>
  <c r="E280" i="16"/>
  <c r="AD279" i="16"/>
  <c r="Y279" i="16"/>
  <c r="P279" i="16"/>
  <c r="J279" i="16"/>
  <c r="E279" i="16"/>
  <c r="AD278" i="16"/>
  <c r="Y278" i="16"/>
  <c r="P278" i="16"/>
  <c r="J278" i="16"/>
  <c r="E278" i="16"/>
  <c r="AD277" i="16"/>
  <c r="Y277" i="16"/>
  <c r="P277" i="16"/>
  <c r="J277" i="16"/>
  <c r="E277" i="16"/>
  <c r="AD276" i="16"/>
  <c r="Y276" i="16"/>
  <c r="P276" i="16"/>
  <c r="J276" i="16"/>
  <c r="E276" i="16"/>
  <c r="AD275" i="16"/>
  <c r="Y275" i="16"/>
  <c r="P275" i="16"/>
  <c r="J275" i="16"/>
  <c r="E275" i="16"/>
  <c r="AD274" i="16"/>
  <c r="Y274" i="16"/>
  <c r="P274" i="16"/>
  <c r="J274" i="16"/>
  <c r="E274" i="16"/>
  <c r="AD273" i="16"/>
  <c r="Y273" i="16"/>
  <c r="P273" i="16"/>
  <c r="J273" i="16"/>
  <c r="E273" i="16"/>
  <c r="AD272" i="16"/>
  <c r="Y272" i="16"/>
  <c r="P272" i="16"/>
  <c r="J272" i="16"/>
  <c r="E272" i="16"/>
  <c r="AD271" i="16"/>
  <c r="Y271" i="16"/>
  <c r="P271" i="16"/>
  <c r="J271" i="16"/>
  <c r="E271" i="16"/>
  <c r="AD270" i="16"/>
  <c r="Y270" i="16"/>
  <c r="P270" i="16"/>
  <c r="J270" i="16"/>
  <c r="E270" i="16"/>
  <c r="AD269" i="16"/>
  <c r="Y269" i="16"/>
  <c r="P269" i="16"/>
  <c r="J269" i="16"/>
  <c r="E269" i="16"/>
  <c r="AD268" i="16"/>
  <c r="Y268" i="16"/>
  <c r="P268" i="16"/>
  <c r="J268" i="16"/>
  <c r="E268" i="16"/>
  <c r="AD267" i="16"/>
  <c r="Y267" i="16"/>
  <c r="P267" i="16"/>
  <c r="J267" i="16"/>
  <c r="E267" i="16"/>
  <c r="AD266" i="16"/>
  <c r="Y266" i="16"/>
  <c r="P266" i="16"/>
  <c r="J266" i="16"/>
  <c r="E266" i="16"/>
  <c r="AD265" i="16"/>
  <c r="Y265" i="16"/>
  <c r="P265" i="16"/>
  <c r="J265" i="16"/>
  <c r="E265" i="16"/>
  <c r="AD264" i="16"/>
  <c r="Y264" i="16"/>
  <c r="P264" i="16"/>
  <c r="J264" i="16"/>
  <c r="E264" i="16"/>
  <c r="AD263" i="16"/>
  <c r="Y263" i="16"/>
  <c r="P263" i="16"/>
  <c r="J263" i="16"/>
  <c r="E263" i="16"/>
  <c r="AD262" i="16"/>
  <c r="Y262" i="16"/>
  <c r="P262" i="16"/>
  <c r="J262" i="16"/>
  <c r="E262" i="16"/>
  <c r="AD261" i="16"/>
  <c r="Y261" i="16"/>
  <c r="P261" i="16"/>
  <c r="J261" i="16"/>
  <c r="E261" i="16"/>
  <c r="AD260" i="16"/>
  <c r="Y260" i="16"/>
  <c r="P260" i="16"/>
  <c r="J260" i="16"/>
  <c r="E260" i="16"/>
  <c r="AD259" i="16"/>
  <c r="Y259" i="16"/>
  <c r="P259" i="16"/>
  <c r="J259" i="16"/>
  <c r="E259" i="16"/>
  <c r="AD258" i="16"/>
  <c r="Y258" i="16"/>
  <c r="P258" i="16"/>
  <c r="J258" i="16"/>
  <c r="E258" i="16"/>
  <c r="AD257" i="16"/>
  <c r="Y257" i="16"/>
  <c r="P257" i="16"/>
  <c r="J257" i="16"/>
  <c r="E257" i="16"/>
  <c r="AD256" i="16"/>
  <c r="Y256" i="16"/>
  <c r="P256" i="16"/>
  <c r="J256" i="16"/>
  <c r="E256" i="16"/>
  <c r="AD255" i="16"/>
  <c r="Y255" i="16"/>
  <c r="P255" i="16"/>
  <c r="J255" i="16"/>
  <c r="E255" i="16"/>
  <c r="AD254" i="16"/>
  <c r="Y254" i="16"/>
  <c r="P254" i="16"/>
  <c r="J254" i="16"/>
  <c r="E254" i="16"/>
  <c r="AD253" i="16"/>
  <c r="Y253" i="16"/>
  <c r="P253" i="16"/>
  <c r="J253" i="16"/>
  <c r="E253" i="16"/>
  <c r="AD252" i="16"/>
  <c r="Y252" i="16"/>
  <c r="P252" i="16"/>
  <c r="J252" i="16"/>
  <c r="E252" i="16"/>
  <c r="AD251" i="16"/>
  <c r="Y251" i="16"/>
  <c r="P251" i="16"/>
  <c r="J251" i="16"/>
  <c r="E251" i="16"/>
  <c r="AD250" i="16"/>
  <c r="Y250" i="16"/>
  <c r="P250" i="16"/>
  <c r="J250" i="16"/>
  <c r="E250" i="16"/>
  <c r="AD249" i="16"/>
  <c r="Y249" i="16"/>
  <c r="P249" i="16"/>
  <c r="J249" i="16"/>
  <c r="E249" i="16"/>
  <c r="AD248" i="16"/>
  <c r="Y248" i="16"/>
  <c r="P248" i="16"/>
  <c r="J248" i="16"/>
  <c r="E248" i="16"/>
  <c r="AD247" i="16"/>
  <c r="Y247" i="16"/>
  <c r="P247" i="16"/>
  <c r="J247" i="16"/>
  <c r="E247" i="16"/>
  <c r="AD246" i="16"/>
  <c r="Y246" i="16"/>
  <c r="P246" i="16"/>
  <c r="J246" i="16"/>
  <c r="E246" i="16"/>
  <c r="AD245" i="16"/>
  <c r="Y245" i="16"/>
  <c r="P245" i="16"/>
  <c r="J245" i="16"/>
  <c r="E245" i="16"/>
  <c r="AD244" i="16"/>
  <c r="Y244" i="16"/>
  <c r="P244" i="16"/>
  <c r="J244" i="16"/>
  <c r="E244" i="16"/>
  <c r="AD243" i="16"/>
  <c r="Y243" i="16"/>
  <c r="P243" i="16"/>
  <c r="J243" i="16"/>
  <c r="E243" i="16"/>
  <c r="AD242" i="16"/>
  <c r="Y242" i="16"/>
  <c r="P242" i="16"/>
  <c r="J242" i="16"/>
  <c r="E242" i="16"/>
  <c r="AD241" i="16"/>
  <c r="Y241" i="16"/>
  <c r="P241" i="16"/>
  <c r="J241" i="16"/>
  <c r="E241" i="16"/>
  <c r="AD240" i="16"/>
  <c r="Y240" i="16"/>
  <c r="P240" i="16"/>
  <c r="J240" i="16"/>
  <c r="E240" i="16"/>
  <c r="AD239" i="16"/>
  <c r="Y239" i="16"/>
  <c r="P239" i="16"/>
  <c r="J239" i="16"/>
  <c r="E239" i="16"/>
  <c r="AD238" i="16"/>
  <c r="Y238" i="16"/>
  <c r="P238" i="16"/>
  <c r="J238" i="16"/>
  <c r="E238" i="16"/>
  <c r="AD237" i="16"/>
  <c r="Y237" i="16"/>
  <c r="P237" i="16"/>
  <c r="J237" i="16"/>
  <c r="E237" i="16"/>
  <c r="AD236" i="16"/>
  <c r="Y236" i="16"/>
  <c r="P236" i="16"/>
  <c r="J236" i="16"/>
  <c r="E236" i="16"/>
  <c r="AD235" i="16"/>
  <c r="Y235" i="16"/>
  <c r="P235" i="16"/>
  <c r="J235" i="16"/>
  <c r="E235" i="16"/>
  <c r="AD234" i="16"/>
  <c r="Y234" i="16"/>
  <c r="P234" i="16"/>
  <c r="J234" i="16"/>
  <c r="E234" i="16"/>
  <c r="AD233" i="16"/>
  <c r="Y233" i="16"/>
  <c r="P233" i="16"/>
  <c r="J233" i="16"/>
  <c r="E233" i="16"/>
  <c r="AD232" i="16"/>
  <c r="Y232" i="16"/>
  <c r="P232" i="16"/>
  <c r="J232" i="16"/>
  <c r="E232" i="16"/>
  <c r="AD231" i="16"/>
  <c r="Y231" i="16"/>
  <c r="P231" i="16"/>
  <c r="J231" i="16"/>
  <c r="E231" i="16"/>
  <c r="AD230" i="16"/>
  <c r="Y230" i="16"/>
  <c r="P230" i="16"/>
  <c r="J230" i="16"/>
  <c r="E230" i="16"/>
  <c r="AD229" i="16"/>
  <c r="Y229" i="16"/>
  <c r="P229" i="16"/>
  <c r="J229" i="16"/>
  <c r="E229" i="16"/>
  <c r="AD228" i="16"/>
  <c r="Y228" i="16"/>
  <c r="P228" i="16"/>
  <c r="J228" i="16"/>
  <c r="E228" i="16"/>
  <c r="AD227" i="16"/>
  <c r="Y227" i="16"/>
  <c r="P227" i="16"/>
  <c r="J227" i="16"/>
  <c r="E227" i="16"/>
  <c r="AD226" i="16"/>
  <c r="Y226" i="16"/>
  <c r="P226" i="16"/>
  <c r="J226" i="16"/>
  <c r="E226" i="16"/>
  <c r="AD225" i="16"/>
  <c r="Y225" i="16"/>
  <c r="P225" i="16"/>
  <c r="J225" i="16"/>
  <c r="E225" i="16"/>
  <c r="AD224" i="16"/>
  <c r="Y224" i="16"/>
  <c r="P224" i="16"/>
  <c r="J224" i="16"/>
  <c r="E224" i="16"/>
  <c r="AD223" i="16"/>
  <c r="Y223" i="16"/>
  <c r="P223" i="16"/>
  <c r="J223" i="16"/>
  <c r="E223" i="16"/>
  <c r="AD222" i="16"/>
  <c r="Y222" i="16"/>
  <c r="P222" i="16"/>
  <c r="J222" i="16"/>
  <c r="E222" i="16"/>
  <c r="AD221" i="16"/>
  <c r="Y221" i="16"/>
  <c r="P221" i="16"/>
  <c r="J221" i="16"/>
  <c r="E221" i="16"/>
  <c r="AD220" i="16"/>
  <c r="Y220" i="16"/>
  <c r="P220" i="16"/>
  <c r="J220" i="16"/>
  <c r="E220" i="16"/>
  <c r="AD219" i="16"/>
  <c r="Y219" i="16"/>
  <c r="P219" i="16"/>
  <c r="J219" i="16"/>
  <c r="E219" i="16"/>
  <c r="AD218" i="16"/>
  <c r="Y218" i="16"/>
  <c r="P218" i="16"/>
  <c r="J218" i="16"/>
  <c r="E218" i="16"/>
  <c r="AD217" i="16"/>
  <c r="Y217" i="16"/>
  <c r="P217" i="16"/>
  <c r="J217" i="16"/>
  <c r="E217" i="16"/>
  <c r="AD216" i="16"/>
  <c r="Y216" i="16"/>
  <c r="P216" i="16"/>
  <c r="J216" i="16"/>
  <c r="E216" i="16"/>
  <c r="AD215" i="16"/>
  <c r="Y215" i="16"/>
  <c r="P215" i="16"/>
  <c r="J215" i="16"/>
  <c r="E215" i="16"/>
  <c r="AD214" i="16"/>
  <c r="Y214" i="16"/>
  <c r="P214" i="16"/>
  <c r="J214" i="16"/>
  <c r="E214" i="16"/>
  <c r="AD213" i="16"/>
  <c r="Y213" i="16"/>
  <c r="P213" i="16"/>
  <c r="J213" i="16"/>
  <c r="E213" i="16"/>
  <c r="AD212" i="16"/>
  <c r="Y212" i="16"/>
  <c r="P212" i="16"/>
  <c r="J212" i="16"/>
  <c r="E212" i="16"/>
  <c r="AD211" i="16"/>
  <c r="Y211" i="16"/>
  <c r="P211" i="16"/>
  <c r="J211" i="16"/>
  <c r="E211" i="16"/>
  <c r="AD210" i="16"/>
  <c r="Y210" i="16"/>
  <c r="P210" i="16"/>
  <c r="J210" i="16"/>
  <c r="E210" i="16"/>
  <c r="AD209" i="16"/>
  <c r="Y209" i="16"/>
  <c r="P209" i="16"/>
  <c r="J209" i="16"/>
  <c r="E209" i="16"/>
  <c r="AD208" i="16"/>
  <c r="Y208" i="16"/>
  <c r="P208" i="16"/>
  <c r="J208" i="16"/>
  <c r="E208" i="16"/>
  <c r="AD207" i="16"/>
  <c r="Y207" i="16"/>
  <c r="P207" i="16"/>
  <c r="J207" i="16"/>
  <c r="E207" i="16"/>
  <c r="AD206" i="16"/>
  <c r="Y206" i="16"/>
  <c r="P206" i="16"/>
  <c r="J206" i="16"/>
  <c r="E206" i="16"/>
  <c r="AD205" i="16"/>
  <c r="Y205" i="16"/>
  <c r="P205" i="16"/>
  <c r="J205" i="16"/>
  <c r="E205" i="16"/>
  <c r="AD204" i="16"/>
  <c r="Y204" i="16"/>
  <c r="P204" i="16"/>
  <c r="J204" i="16"/>
  <c r="E204" i="16"/>
  <c r="AD203" i="16"/>
  <c r="Y203" i="16"/>
  <c r="P203" i="16"/>
  <c r="J203" i="16"/>
  <c r="E203" i="16"/>
  <c r="AD202" i="16"/>
  <c r="Y202" i="16"/>
  <c r="P202" i="16"/>
  <c r="J202" i="16"/>
  <c r="E202" i="16"/>
  <c r="AD201" i="16"/>
  <c r="Y201" i="16"/>
  <c r="P201" i="16"/>
  <c r="J201" i="16"/>
  <c r="E201" i="16"/>
  <c r="AD200" i="16"/>
  <c r="Y200" i="16"/>
  <c r="P200" i="16"/>
  <c r="J200" i="16"/>
  <c r="E200" i="16"/>
  <c r="AD199" i="16"/>
  <c r="Y199" i="16"/>
  <c r="P199" i="16"/>
  <c r="J199" i="16"/>
  <c r="E199" i="16"/>
  <c r="AD198" i="16"/>
  <c r="Y198" i="16"/>
  <c r="P198" i="16"/>
  <c r="J198" i="16"/>
  <c r="E198" i="16"/>
  <c r="AD197" i="16"/>
  <c r="Y197" i="16"/>
  <c r="P197" i="16"/>
  <c r="J197" i="16"/>
  <c r="E197" i="16"/>
  <c r="AD196" i="16"/>
  <c r="Y196" i="16"/>
  <c r="P196" i="16"/>
  <c r="J196" i="16"/>
  <c r="E196" i="16"/>
  <c r="AD195" i="16"/>
  <c r="Y195" i="16"/>
  <c r="P195" i="16"/>
  <c r="J195" i="16"/>
  <c r="E195" i="16"/>
  <c r="AD194" i="16"/>
  <c r="Y194" i="16"/>
  <c r="P194" i="16"/>
  <c r="J194" i="16"/>
  <c r="E194" i="16"/>
  <c r="AD193" i="16"/>
  <c r="Y193" i="16"/>
  <c r="P193" i="16"/>
  <c r="J193" i="16"/>
  <c r="E193" i="16"/>
  <c r="AD192" i="16"/>
  <c r="Y192" i="16"/>
  <c r="P192" i="16"/>
  <c r="J192" i="16"/>
  <c r="E192" i="16"/>
  <c r="AD191" i="16"/>
  <c r="Y191" i="16"/>
  <c r="P191" i="16"/>
  <c r="J191" i="16"/>
  <c r="E191" i="16"/>
  <c r="AD190" i="16"/>
  <c r="Y190" i="16"/>
  <c r="P190" i="16"/>
  <c r="J190" i="16"/>
  <c r="E190" i="16"/>
  <c r="AD189" i="16"/>
  <c r="Y189" i="16"/>
  <c r="P189" i="16"/>
  <c r="J189" i="16"/>
  <c r="E189" i="16"/>
  <c r="AD188" i="16"/>
  <c r="Y188" i="16"/>
  <c r="P188" i="16"/>
  <c r="J188" i="16"/>
  <c r="E188" i="16"/>
  <c r="AD187" i="16"/>
  <c r="Y187" i="16"/>
  <c r="P187" i="16"/>
  <c r="J187" i="16"/>
  <c r="E187" i="16"/>
  <c r="AD186" i="16"/>
  <c r="Y186" i="16"/>
  <c r="P186" i="16"/>
  <c r="J186" i="16"/>
  <c r="E186" i="16"/>
  <c r="AD185" i="16"/>
  <c r="Y185" i="16"/>
  <c r="P185" i="16"/>
  <c r="J185" i="16"/>
  <c r="E185" i="16"/>
  <c r="AD184" i="16"/>
  <c r="Y184" i="16"/>
  <c r="P184" i="16"/>
  <c r="J184" i="16"/>
  <c r="E184" i="16"/>
  <c r="AD183" i="16"/>
  <c r="Y183" i="16"/>
  <c r="P183" i="16"/>
  <c r="J183" i="16"/>
  <c r="E183" i="16"/>
  <c r="AD182" i="16"/>
  <c r="Y182" i="16"/>
  <c r="P182" i="16"/>
  <c r="J182" i="16"/>
  <c r="E182" i="16"/>
  <c r="AD181" i="16"/>
  <c r="Y181" i="16"/>
  <c r="P181" i="16"/>
  <c r="J181" i="16"/>
  <c r="E181" i="16"/>
  <c r="AD180" i="16"/>
  <c r="Y180" i="16"/>
  <c r="P180" i="16"/>
  <c r="J180" i="16"/>
  <c r="E180" i="16"/>
  <c r="AD179" i="16"/>
  <c r="Y179" i="16"/>
  <c r="P179" i="16"/>
  <c r="J179" i="16"/>
  <c r="E179" i="16"/>
  <c r="AD178" i="16"/>
  <c r="Y178" i="16"/>
  <c r="P178" i="16"/>
  <c r="J178" i="16"/>
  <c r="E178" i="16"/>
  <c r="AD177" i="16"/>
  <c r="Y177" i="16"/>
  <c r="P177" i="16"/>
  <c r="J177" i="16"/>
  <c r="E177" i="16"/>
  <c r="AD176" i="16"/>
  <c r="Y176" i="16"/>
  <c r="P176" i="16"/>
  <c r="J176" i="16"/>
  <c r="E176" i="16"/>
  <c r="AD175" i="16"/>
  <c r="Y175" i="16"/>
  <c r="P175" i="16"/>
  <c r="J175" i="16"/>
  <c r="E175" i="16"/>
  <c r="AD174" i="16"/>
  <c r="Y174" i="16"/>
  <c r="P174" i="16"/>
  <c r="J174" i="16"/>
  <c r="E174" i="16"/>
  <c r="AD173" i="16"/>
  <c r="Y173" i="16"/>
  <c r="P173" i="16"/>
  <c r="J173" i="16"/>
  <c r="E173" i="16"/>
  <c r="AD172" i="16"/>
  <c r="Y172" i="16"/>
  <c r="P172" i="16"/>
  <c r="J172" i="16"/>
  <c r="E172" i="16"/>
  <c r="AD171" i="16"/>
  <c r="Y171" i="16"/>
  <c r="P171" i="16"/>
  <c r="J171" i="16"/>
  <c r="E171" i="16"/>
  <c r="AD170" i="16"/>
  <c r="Y170" i="16"/>
  <c r="P170" i="16"/>
  <c r="J170" i="16"/>
  <c r="E170" i="16"/>
  <c r="AD169" i="16"/>
  <c r="Y169" i="16"/>
  <c r="P169" i="16"/>
  <c r="J169" i="16"/>
  <c r="E169" i="16"/>
  <c r="AD168" i="16"/>
  <c r="Y168" i="16"/>
  <c r="P168" i="16"/>
  <c r="J168" i="16"/>
  <c r="E168" i="16"/>
  <c r="AD167" i="16"/>
  <c r="Y167" i="16"/>
  <c r="P167" i="16"/>
  <c r="J167" i="16"/>
  <c r="E167" i="16"/>
  <c r="AD166" i="16"/>
  <c r="Y166" i="16"/>
  <c r="P166" i="16"/>
  <c r="J166" i="16"/>
  <c r="E166" i="16"/>
  <c r="AD165" i="16"/>
  <c r="Y165" i="16"/>
  <c r="P165" i="16"/>
  <c r="J165" i="16"/>
  <c r="E165" i="16"/>
  <c r="AD164" i="16"/>
  <c r="Y164" i="16"/>
  <c r="P164" i="16"/>
  <c r="J164" i="16"/>
  <c r="E164" i="16"/>
  <c r="AD163" i="16"/>
  <c r="Y163" i="16"/>
  <c r="P163" i="16"/>
  <c r="J163" i="16"/>
  <c r="E163" i="16"/>
  <c r="AD162" i="16"/>
  <c r="Y162" i="16"/>
  <c r="P162" i="16"/>
  <c r="J162" i="16"/>
  <c r="E162" i="16"/>
  <c r="AD161" i="16"/>
  <c r="Y161" i="16"/>
  <c r="P161" i="16"/>
  <c r="J161" i="16"/>
  <c r="E161" i="16"/>
  <c r="AD160" i="16"/>
  <c r="Y160" i="16"/>
  <c r="P160" i="16"/>
  <c r="J160" i="16"/>
  <c r="E160" i="16"/>
  <c r="AD159" i="16"/>
  <c r="Y159" i="16"/>
  <c r="P159" i="16"/>
  <c r="J159" i="16"/>
  <c r="E159" i="16"/>
  <c r="AD158" i="16"/>
  <c r="Y158" i="16"/>
  <c r="P158" i="16"/>
  <c r="J158" i="16"/>
  <c r="E158" i="16"/>
  <c r="AD157" i="16"/>
  <c r="Y157" i="16"/>
  <c r="P157" i="16"/>
  <c r="J157" i="16"/>
  <c r="E157" i="16"/>
  <c r="AD156" i="16"/>
  <c r="Y156" i="16"/>
  <c r="P156" i="16"/>
  <c r="J156" i="16"/>
  <c r="E156" i="16"/>
  <c r="AD155" i="16"/>
  <c r="Y155" i="16"/>
  <c r="P155" i="16"/>
  <c r="J155" i="16"/>
  <c r="E155" i="16"/>
  <c r="AD154" i="16"/>
  <c r="Y154" i="16"/>
  <c r="P154" i="16"/>
  <c r="J154" i="16"/>
  <c r="E154" i="16"/>
  <c r="AD153" i="16"/>
  <c r="Y153" i="16"/>
  <c r="P153" i="16"/>
  <c r="J153" i="16"/>
  <c r="E153" i="16"/>
  <c r="AD152" i="16"/>
  <c r="Y152" i="16"/>
  <c r="P152" i="16"/>
  <c r="J152" i="16"/>
  <c r="E152" i="16"/>
  <c r="AD151" i="16"/>
  <c r="Y151" i="16"/>
  <c r="P151" i="16"/>
  <c r="J151" i="16"/>
  <c r="E151" i="16"/>
  <c r="AD150" i="16"/>
  <c r="Y150" i="16"/>
  <c r="P150" i="16"/>
  <c r="J150" i="16"/>
  <c r="E150" i="16"/>
  <c r="AD149" i="16"/>
  <c r="Y149" i="16"/>
  <c r="P149" i="16"/>
  <c r="J149" i="16"/>
  <c r="E149" i="16"/>
  <c r="AD148" i="16"/>
  <c r="Y148" i="16"/>
  <c r="P148" i="16"/>
  <c r="J148" i="16"/>
  <c r="E148" i="16"/>
  <c r="AD147" i="16"/>
  <c r="Y147" i="16"/>
  <c r="P147" i="16"/>
  <c r="J147" i="16"/>
  <c r="E147" i="16"/>
  <c r="AD146" i="16"/>
  <c r="Y146" i="16"/>
  <c r="P146" i="16"/>
  <c r="J146" i="16"/>
  <c r="E146" i="16"/>
  <c r="AD145" i="16"/>
  <c r="Y145" i="16"/>
  <c r="P145" i="16"/>
  <c r="J145" i="16"/>
  <c r="E145" i="16"/>
  <c r="AD144" i="16"/>
  <c r="Y144" i="16"/>
  <c r="P144" i="16"/>
  <c r="J144" i="16"/>
  <c r="E144" i="16"/>
  <c r="AD143" i="16"/>
  <c r="Y143" i="16"/>
  <c r="P143" i="16"/>
  <c r="J143" i="16"/>
  <c r="E143" i="16"/>
  <c r="AD142" i="16"/>
  <c r="Y142" i="16"/>
  <c r="P142" i="16"/>
  <c r="J142" i="16"/>
  <c r="E142" i="16"/>
  <c r="AD141" i="16"/>
  <c r="Y141" i="16"/>
  <c r="P141" i="16"/>
  <c r="J141" i="16"/>
  <c r="E141" i="16"/>
  <c r="AD140" i="16"/>
  <c r="Y140" i="16"/>
  <c r="P140" i="16"/>
  <c r="J140" i="16"/>
  <c r="E140" i="16"/>
  <c r="AD139" i="16"/>
  <c r="Y139" i="16"/>
  <c r="P139" i="16"/>
  <c r="J139" i="16"/>
  <c r="E139" i="16"/>
  <c r="AD138" i="16"/>
  <c r="Y138" i="16"/>
  <c r="P138" i="16"/>
  <c r="J138" i="16"/>
  <c r="E138" i="16"/>
  <c r="AD137" i="16"/>
  <c r="Y137" i="16"/>
  <c r="P137" i="16"/>
  <c r="J137" i="16"/>
  <c r="E137" i="16"/>
  <c r="AD136" i="16"/>
  <c r="Y136" i="16"/>
  <c r="P136" i="16"/>
  <c r="J136" i="16"/>
  <c r="E136" i="16"/>
  <c r="AD135" i="16"/>
  <c r="Y135" i="16"/>
  <c r="P135" i="16"/>
  <c r="J135" i="16"/>
  <c r="E135" i="16"/>
  <c r="AD134" i="16"/>
  <c r="Y134" i="16"/>
  <c r="P134" i="16"/>
  <c r="J134" i="16"/>
  <c r="E134" i="16"/>
  <c r="AD133" i="16"/>
  <c r="Y133" i="16"/>
  <c r="P133" i="16"/>
  <c r="J133" i="16"/>
  <c r="E133" i="16"/>
  <c r="AD132" i="16"/>
  <c r="Y132" i="16"/>
  <c r="P132" i="16"/>
  <c r="J132" i="16"/>
  <c r="E132" i="16"/>
  <c r="AD131" i="16"/>
  <c r="Y131" i="16"/>
  <c r="P131" i="16"/>
  <c r="J131" i="16"/>
  <c r="E131" i="16"/>
  <c r="AD130" i="16"/>
  <c r="Y130" i="16"/>
  <c r="P130" i="16"/>
  <c r="J130" i="16"/>
  <c r="E130" i="16"/>
  <c r="AD129" i="16"/>
  <c r="Y129" i="16"/>
  <c r="P129" i="16"/>
  <c r="J129" i="16"/>
  <c r="E129" i="16"/>
  <c r="AD128" i="16"/>
  <c r="Y128" i="16"/>
  <c r="P128" i="16"/>
  <c r="J128" i="16"/>
  <c r="E128" i="16"/>
  <c r="AD127" i="16"/>
  <c r="Y127" i="16"/>
  <c r="P127" i="16"/>
  <c r="J127" i="16"/>
  <c r="E127" i="16"/>
  <c r="AD126" i="16"/>
  <c r="Y126" i="16"/>
  <c r="P126" i="16"/>
  <c r="J126" i="16"/>
  <c r="E126" i="16"/>
  <c r="AD125" i="16"/>
  <c r="Y125" i="16"/>
  <c r="P125" i="16"/>
  <c r="J125" i="16"/>
  <c r="E125" i="16"/>
  <c r="AD124" i="16"/>
  <c r="Y124" i="16"/>
  <c r="P124" i="16"/>
  <c r="J124" i="16"/>
  <c r="E124" i="16"/>
  <c r="AD123" i="16"/>
  <c r="Y123" i="16"/>
  <c r="P123" i="16"/>
  <c r="J123" i="16"/>
  <c r="E123" i="16"/>
  <c r="AD122" i="16"/>
  <c r="Y122" i="16"/>
  <c r="P122" i="16"/>
  <c r="J122" i="16"/>
  <c r="E122" i="16"/>
  <c r="AD121" i="16"/>
  <c r="Y121" i="16"/>
  <c r="P121" i="16"/>
  <c r="J121" i="16"/>
  <c r="E121" i="16"/>
  <c r="AD120" i="16"/>
  <c r="Y120" i="16"/>
  <c r="P120" i="16"/>
  <c r="J120" i="16"/>
  <c r="E120" i="16"/>
  <c r="AD119" i="16"/>
  <c r="Y119" i="16"/>
  <c r="P119" i="16"/>
  <c r="J119" i="16"/>
  <c r="E119" i="16"/>
  <c r="AD118" i="16"/>
  <c r="Y118" i="16"/>
  <c r="P118" i="16"/>
  <c r="J118" i="16"/>
  <c r="E118" i="16"/>
  <c r="AD117" i="16"/>
  <c r="Y117" i="16"/>
  <c r="P117" i="16"/>
  <c r="J117" i="16"/>
  <c r="E117" i="16"/>
  <c r="AD116" i="16"/>
  <c r="Y116" i="16"/>
  <c r="P116" i="16"/>
  <c r="J116" i="16"/>
  <c r="E116" i="16"/>
  <c r="AD115" i="16"/>
  <c r="Y115" i="16"/>
  <c r="P115" i="16"/>
  <c r="J115" i="16"/>
  <c r="E115" i="16"/>
  <c r="AD114" i="16"/>
  <c r="Y114" i="16"/>
  <c r="P114" i="16"/>
  <c r="J114" i="16"/>
  <c r="E114" i="16"/>
  <c r="AD113" i="16"/>
  <c r="Y113" i="16"/>
  <c r="P113" i="16"/>
  <c r="J113" i="16"/>
  <c r="E113" i="16"/>
  <c r="AD112" i="16"/>
  <c r="Y112" i="16"/>
  <c r="P112" i="16"/>
  <c r="J112" i="16"/>
  <c r="E112" i="16"/>
  <c r="AD111" i="16"/>
  <c r="Y111" i="16"/>
  <c r="P111" i="16"/>
  <c r="J111" i="16"/>
  <c r="E111" i="16"/>
  <c r="AD110" i="16"/>
  <c r="Y110" i="16"/>
  <c r="P110" i="16"/>
  <c r="J110" i="16"/>
  <c r="E110" i="16"/>
  <c r="AD109" i="16"/>
  <c r="Y109" i="16"/>
  <c r="P109" i="16"/>
  <c r="J109" i="16"/>
  <c r="E109" i="16"/>
  <c r="AD108" i="16"/>
  <c r="Y108" i="16"/>
  <c r="P108" i="16"/>
  <c r="J108" i="16"/>
  <c r="E108" i="16"/>
  <c r="AD107" i="16"/>
  <c r="Y107" i="16"/>
  <c r="P107" i="16"/>
  <c r="J107" i="16"/>
  <c r="E107" i="16"/>
  <c r="AD106" i="16"/>
  <c r="Y106" i="16"/>
  <c r="P106" i="16"/>
  <c r="J106" i="16"/>
  <c r="E106" i="16"/>
  <c r="AD105" i="16"/>
  <c r="Y105" i="16"/>
  <c r="P105" i="16"/>
  <c r="J105" i="16"/>
  <c r="E105" i="16"/>
  <c r="AD104" i="16"/>
  <c r="Y104" i="16"/>
  <c r="P104" i="16"/>
  <c r="J104" i="16"/>
  <c r="E104" i="16"/>
  <c r="AD103" i="16"/>
  <c r="Y103" i="16"/>
  <c r="P103" i="16"/>
  <c r="J103" i="16"/>
  <c r="E103" i="16"/>
  <c r="AD102" i="16"/>
  <c r="Y102" i="16"/>
  <c r="P102" i="16"/>
  <c r="J102" i="16"/>
  <c r="E102" i="16"/>
  <c r="AD101" i="16"/>
  <c r="Y101" i="16"/>
  <c r="P101" i="16"/>
  <c r="J101" i="16"/>
  <c r="E101" i="16"/>
  <c r="AD100" i="16"/>
  <c r="Y100" i="16"/>
  <c r="P100" i="16"/>
  <c r="J100" i="16"/>
  <c r="E100" i="16"/>
  <c r="AD99" i="16"/>
  <c r="Y99" i="16"/>
  <c r="P99" i="16"/>
  <c r="J99" i="16"/>
  <c r="E99" i="16"/>
  <c r="AD98" i="16"/>
  <c r="Y98" i="16"/>
  <c r="P98" i="16"/>
  <c r="J98" i="16"/>
  <c r="E98" i="16"/>
  <c r="AD97" i="16"/>
  <c r="Y97" i="16"/>
  <c r="P97" i="16"/>
  <c r="J97" i="16"/>
  <c r="E97" i="16"/>
  <c r="AD96" i="16"/>
  <c r="Y96" i="16"/>
  <c r="P96" i="16"/>
  <c r="J96" i="16"/>
  <c r="E96" i="16"/>
  <c r="AD95" i="16"/>
  <c r="Y95" i="16"/>
  <c r="P95" i="16"/>
  <c r="J95" i="16"/>
  <c r="E95" i="16"/>
  <c r="AD94" i="16"/>
  <c r="Y94" i="16"/>
  <c r="P94" i="16"/>
  <c r="J94" i="16"/>
  <c r="E94" i="16"/>
  <c r="AD93" i="16"/>
  <c r="Y93" i="16"/>
  <c r="P93" i="16"/>
  <c r="J93" i="16"/>
  <c r="E93" i="16"/>
  <c r="AD92" i="16"/>
  <c r="Y92" i="16"/>
  <c r="P92" i="16"/>
  <c r="J92" i="16"/>
  <c r="E92" i="16"/>
  <c r="AD91" i="16"/>
  <c r="Y91" i="16"/>
  <c r="P91" i="16"/>
  <c r="J91" i="16"/>
  <c r="E91" i="16"/>
  <c r="AD90" i="16"/>
  <c r="Y90" i="16"/>
  <c r="P90" i="16"/>
  <c r="J90" i="16"/>
  <c r="E90" i="16"/>
  <c r="AD89" i="16"/>
  <c r="Y89" i="16"/>
  <c r="P89" i="16"/>
  <c r="J89" i="16"/>
  <c r="E89" i="16"/>
  <c r="AD88" i="16"/>
  <c r="Y88" i="16"/>
  <c r="P88" i="16"/>
  <c r="J88" i="16"/>
  <c r="E88" i="16"/>
  <c r="AD87" i="16"/>
  <c r="Y87" i="16"/>
  <c r="P87" i="16"/>
  <c r="J87" i="16"/>
  <c r="E87" i="16"/>
  <c r="AD86" i="16"/>
  <c r="Y86" i="16"/>
  <c r="P86" i="16"/>
  <c r="J86" i="16"/>
  <c r="E86" i="16"/>
  <c r="AD85" i="16"/>
  <c r="Y85" i="16"/>
  <c r="P85" i="16"/>
  <c r="J85" i="16"/>
  <c r="E85" i="16"/>
  <c r="AD84" i="16"/>
  <c r="Y84" i="16"/>
  <c r="P84" i="16"/>
  <c r="J84" i="16"/>
  <c r="E84" i="16"/>
  <c r="AD83" i="16"/>
  <c r="Y83" i="16"/>
  <c r="P83" i="16"/>
  <c r="J83" i="16"/>
  <c r="E83" i="16"/>
  <c r="AD82" i="16"/>
  <c r="Y82" i="16"/>
  <c r="P82" i="16"/>
  <c r="J82" i="16"/>
  <c r="E82" i="16"/>
  <c r="AD81" i="16"/>
  <c r="Y81" i="16"/>
  <c r="P81" i="16"/>
  <c r="J81" i="16"/>
  <c r="E81" i="16"/>
  <c r="AD80" i="16"/>
  <c r="Y80" i="16"/>
  <c r="P80" i="16"/>
  <c r="J80" i="16"/>
  <c r="E80" i="16"/>
  <c r="AD79" i="16"/>
  <c r="Y79" i="16"/>
  <c r="P79" i="16"/>
  <c r="J79" i="16"/>
  <c r="E79" i="16"/>
  <c r="AD78" i="16"/>
  <c r="Y78" i="16"/>
  <c r="P78" i="16"/>
  <c r="J78" i="16"/>
  <c r="E78" i="16"/>
  <c r="AD77" i="16"/>
  <c r="Y77" i="16"/>
  <c r="P77" i="16"/>
  <c r="J77" i="16"/>
  <c r="E77" i="16"/>
  <c r="AD76" i="16"/>
  <c r="Y76" i="16"/>
  <c r="P76" i="16"/>
  <c r="J76" i="16"/>
  <c r="E76" i="16"/>
  <c r="AD75" i="16"/>
  <c r="Y75" i="16"/>
  <c r="P75" i="16"/>
  <c r="J75" i="16"/>
  <c r="E75" i="16"/>
  <c r="AD74" i="16"/>
  <c r="Y74" i="16"/>
  <c r="P74" i="16"/>
  <c r="J74" i="16"/>
  <c r="E74" i="16"/>
  <c r="AD73" i="16"/>
  <c r="Y73" i="16"/>
  <c r="P73" i="16"/>
  <c r="J73" i="16"/>
  <c r="E73" i="16"/>
  <c r="AD72" i="16"/>
  <c r="Y72" i="16"/>
  <c r="P72" i="16"/>
  <c r="J72" i="16"/>
  <c r="E72" i="16"/>
  <c r="AD71" i="16"/>
  <c r="Y71" i="16"/>
  <c r="P71" i="16"/>
  <c r="J71" i="16"/>
  <c r="E71" i="16"/>
  <c r="AD70" i="16"/>
  <c r="Y70" i="16"/>
  <c r="P70" i="16"/>
  <c r="J70" i="16"/>
  <c r="E70" i="16"/>
  <c r="AD69" i="16"/>
  <c r="Y69" i="16"/>
  <c r="P69" i="16"/>
  <c r="J69" i="16"/>
  <c r="E69" i="16"/>
  <c r="AD68" i="16"/>
  <c r="Y68" i="16"/>
  <c r="P68" i="16"/>
  <c r="J68" i="16"/>
  <c r="E68" i="16"/>
  <c r="AD67" i="16"/>
  <c r="Y67" i="16"/>
  <c r="P67" i="16"/>
  <c r="J67" i="16"/>
  <c r="E67" i="16"/>
  <c r="AD66" i="16"/>
  <c r="Y66" i="16"/>
  <c r="P66" i="16"/>
  <c r="J66" i="16"/>
  <c r="E66" i="16"/>
  <c r="AD65" i="16"/>
  <c r="Y65" i="16"/>
  <c r="P65" i="16"/>
  <c r="J65" i="16"/>
  <c r="E65" i="16"/>
  <c r="AD64" i="16"/>
  <c r="Y64" i="16"/>
  <c r="P64" i="16"/>
  <c r="J64" i="16"/>
  <c r="E64" i="16"/>
  <c r="AD63" i="16"/>
  <c r="Y63" i="16"/>
  <c r="P63" i="16"/>
  <c r="J63" i="16"/>
  <c r="E63" i="16"/>
  <c r="AD62" i="16"/>
  <c r="Y62" i="16"/>
  <c r="P62" i="16"/>
  <c r="J62" i="16"/>
  <c r="E62" i="16"/>
  <c r="AD61" i="16"/>
  <c r="Y61" i="16"/>
  <c r="P61" i="16"/>
  <c r="J61" i="16"/>
  <c r="E61" i="16"/>
  <c r="AD60" i="16"/>
  <c r="Y60" i="16"/>
  <c r="P60" i="16"/>
  <c r="J60" i="16"/>
  <c r="E60" i="16"/>
  <c r="AD59" i="16"/>
  <c r="Y59" i="16"/>
  <c r="P59" i="16"/>
  <c r="J59" i="16"/>
  <c r="E59" i="16"/>
  <c r="AD58" i="16"/>
  <c r="Y58" i="16"/>
  <c r="P58" i="16"/>
  <c r="J58" i="16"/>
  <c r="E58" i="16"/>
  <c r="AD57" i="16"/>
  <c r="Y57" i="16"/>
  <c r="P57" i="16"/>
  <c r="J57" i="16"/>
  <c r="E57" i="16"/>
  <c r="AD56" i="16"/>
  <c r="Y56" i="16"/>
  <c r="P56" i="16"/>
  <c r="J56" i="16"/>
  <c r="E56" i="16"/>
  <c r="AD55" i="16"/>
  <c r="Y55" i="16"/>
  <c r="P55" i="16"/>
  <c r="J55" i="16"/>
  <c r="E55" i="16"/>
  <c r="AD54" i="16"/>
  <c r="Y54" i="16"/>
  <c r="P54" i="16"/>
  <c r="J54" i="16"/>
  <c r="E54" i="16"/>
  <c r="AD53" i="16"/>
  <c r="Y53" i="16"/>
  <c r="P53" i="16"/>
  <c r="J53" i="16"/>
  <c r="E53" i="16"/>
  <c r="AD52" i="16"/>
  <c r="Y52" i="16"/>
  <c r="P52" i="16"/>
  <c r="J52" i="16"/>
  <c r="E52" i="16"/>
  <c r="AD51" i="16"/>
  <c r="Y51" i="16"/>
  <c r="P51" i="16"/>
  <c r="J51" i="16"/>
  <c r="E51" i="16"/>
  <c r="AD50" i="16"/>
  <c r="Y50" i="16"/>
  <c r="P50" i="16"/>
  <c r="J50" i="16"/>
  <c r="E50" i="16"/>
  <c r="AD49" i="16"/>
  <c r="Y49" i="16"/>
  <c r="P49" i="16"/>
  <c r="J49" i="16"/>
  <c r="E49" i="16"/>
  <c r="AD48" i="16"/>
  <c r="Y48" i="16"/>
  <c r="P48" i="16"/>
  <c r="J48" i="16"/>
  <c r="E48" i="16"/>
  <c r="AD47" i="16"/>
  <c r="Y47" i="16"/>
  <c r="P47" i="16"/>
  <c r="J47" i="16"/>
  <c r="E47" i="16"/>
  <c r="AD46" i="16"/>
  <c r="Y46" i="16"/>
  <c r="P46" i="16"/>
  <c r="J46" i="16"/>
  <c r="E46" i="16"/>
  <c r="AD45" i="16"/>
  <c r="Y45" i="16"/>
  <c r="P45" i="16"/>
  <c r="J45" i="16"/>
  <c r="E45" i="16"/>
  <c r="AD44" i="16"/>
  <c r="Y44" i="16"/>
  <c r="P44" i="16"/>
  <c r="J44" i="16"/>
  <c r="E44" i="16"/>
  <c r="AD43" i="16"/>
  <c r="Y43" i="16"/>
  <c r="P43" i="16"/>
  <c r="J43" i="16"/>
  <c r="E43" i="16"/>
  <c r="AD42" i="16"/>
  <c r="Y42" i="16"/>
  <c r="P42" i="16"/>
  <c r="J42" i="16"/>
  <c r="E42" i="16"/>
  <c r="AD41" i="16"/>
  <c r="Y41" i="16"/>
  <c r="P41" i="16"/>
  <c r="J41" i="16"/>
  <c r="E41" i="16"/>
  <c r="AD40" i="16"/>
  <c r="Y40" i="16"/>
  <c r="P40" i="16"/>
  <c r="J40" i="16"/>
  <c r="E40" i="16"/>
  <c r="AD39" i="16"/>
  <c r="Y39" i="16"/>
  <c r="P39" i="16"/>
  <c r="J39" i="16"/>
  <c r="E39" i="16"/>
  <c r="AD38" i="16"/>
  <c r="Y38" i="16"/>
  <c r="P38" i="16"/>
  <c r="J38" i="16"/>
  <c r="E38" i="16"/>
  <c r="AD37" i="16"/>
  <c r="Y37" i="16"/>
  <c r="P37" i="16"/>
  <c r="J37" i="16"/>
  <c r="E37" i="16"/>
  <c r="AD36" i="16"/>
  <c r="Y36" i="16"/>
  <c r="P36" i="16"/>
  <c r="J36" i="16"/>
  <c r="E36" i="16"/>
  <c r="AD35" i="16"/>
  <c r="Y35" i="16"/>
  <c r="P35" i="16"/>
  <c r="J35" i="16"/>
  <c r="E35" i="16"/>
  <c r="AD34" i="16"/>
  <c r="Y34" i="16"/>
  <c r="P34" i="16"/>
  <c r="J34" i="16"/>
  <c r="E34" i="16"/>
  <c r="AD33" i="16"/>
  <c r="Y33" i="16"/>
  <c r="P33" i="16"/>
  <c r="J33" i="16"/>
  <c r="E33" i="16"/>
  <c r="AD32" i="16"/>
  <c r="Y32" i="16"/>
  <c r="P32" i="16"/>
  <c r="J32" i="16"/>
  <c r="E32" i="16"/>
  <c r="AD31" i="16"/>
  <c r="Y31" i="16"/>
  <c r="P31" i="16"/>
  <c r="J31" i="16"/>
  <c r="E31" i="16"/>
  <c r="AD30" i="16"/>
  <c r="Y30" i="16"/>
  <c r="P30" i="16"/>
  <c r="J30" i="16"/>
  <c r="E30" i="16"/>
  <c r="AD29" i="16"/>
  <c r="Y29" i="16"/>
  <c r="P29" i="16"/>
  <c r="J29" i="16"/>
  <c r="E29" i="16"/>
  <c r="AD28" i="16"/>
  <c r="Y28" i="16"/>
  <c r="P28" i="16"/>
  <c r="J28" i="16"/>
  <c r="E28" i="16"/>
  <c r="AD27" i="16"/>
  <c r="Y27" i="16"/>
  <c r="P27" i="16"/>
  <c r="J27" i="16"/>
  <c r="E27" i="16"/>
  <c r="AD26" i="16"/>
  <c r="Y26" i="16"/>
  <c r="P26" i="16"/>
  <c r="J26" i="16"/>
  <c r="E26" i="16"/>
  <c r="AD25" i="16"/>
  <c r="Y25" i="16"/>
  <c r="P25" i="16"/>
  <c r="J25" i="16"/>
  <c r="E25" i="16"/>
  <c r="AD24" i="16"/>
  <c r="Y24" i="16"/>
  <c r="P24" i="16"/>
  <c r="J24" i="16"/>
  <c r="E24" i="16"/>
  <c r="AD23" i="16"/>
  <c r="Y23" i="16"/>
  <c r="P23" i="16"/>
  <c r="J23" i="16"/>
  <c r="E23" i="16"/>
  <c r="AD22" i="16"/>
  <c r="Y22" i="16"/>
  <c r="P22" i="16"/>
  <c r="J22" i="16"/>
  <c r="E22" i="16"/>
  <c r="AD21" i="16"/>
  <c r="Y21" i="16"/>
  <c r="P21" i="16"/>
  <c r="J21" i="16"/>
  <c r="E21" i="16"/>
  <c r="AD20" i="16"/>
  <c r="Y20" i="16"/>
  <c r="P20" i="16"/>
  <c r="J20" i="16"/>
  <c r="E20" i="16"/>
  <c r="AD19" i="16"/>
  <c r="Y19" i="16"/>
  <c r="P19" i="16"/>
  <c r="J19" i="16"/>
  <c r="E19" i="16"/>
  <c r="AD18" i="16"/>
  <c r="Y18" i="16"/>
  <c r="P18" i="16"/>
  <c r="J18" i="16"/>
  <c r="E18" i="16"/>
  <c r="AD17" i="16"/>
  <c r="Y17" i="16"/>
  <c r="P17" i="16"/>
  <c r="J17" i="16"/>
  <c r="E17" i="16"/>
  <c r="AD16" i="16"/>
  <c r="Y16" i="16"/>
  <c r="P16" i="16"/>
  <c r="J16" i="16"/>
  <c r="E16" i="16"/>
  <c r="AD15" i="16"/>
  <c r="Y15" i="16"/>
  <c r="P15" i="16"/>
  <c r="J15" i="16"/>
  <c r="E15" i="16"/>
  <c r="AD14" i="16"/>
  <c r="Y14" i="16"/>
  <c r="P14" i="16"/>
  <c r="J14" i="16"/>
  <c r="E14" i="16"/>
  <c r="AD13" i="16"/>
  <c r="Y13" i="16"/>
  <c r="P13" i="16"/>
  <c r="J13" i="16"/>
  <c r="E13" i="16"/>
  <c r="AD12" i="16"/>
  <c r="Y12" i="16"/>
  <c r="P12" i="16"/>
  <c r="J12" i="16"/>
  <c r="E12" i="16"/>
  <c r="AD11" i="16"/>
  <c r="Y11" i="16"/>
  <c r="P11" i="16"/>
  <c r="J11" i="16"/>
  <c r="E11" i="16"/>
  <c r="AD10" i="16"/>
  <c r="Y10" i="16"/>
  <c r="P10" i="16"/>
  <c r="J10" i="16"/>
  <c r="E10" i="16"/>
  <c r="AD9" i="16"/>
  <c r="Y9" i="16"/>
  <c r="P9" i="16"/>
  <c r="J9" i="16"/>
  <c r="E9" i="16"/>
  <c r="AD8" i="16"/>
  <c r="Y8" i="16"/>
  <c r="P8" i="16"/>
  <c r="J8" i="16"/>
  <c r="E8" i="16"/>
  <c r="AD7" i="16"/>
  <c r="Y7" i="16"/>
  <c r="P7" i="16"/>
  <c r="J7" i="16"/>
  <c r="E7" i="16"/>
  <c r="AD6" i="16"/>
  <c r="Y6" i="16"/>
  <c r="P6" i="16"/>
  <c r="J6" i="16"/>
  <c r="E6" i="16"/>
  <c r="AD5" i="16"/>
  <c r="Y5" i="16"/>
  <c r="P5" i="16"/>
  <c r="J5" i="16"/>
  <c r="E5" i="16"/>
  <c r="AD4" i="16"/>
  <c r="P4" i="16"/>
  <c r="J4" i="16"/>
  <c r="E4" i="16"/>
  <c r="S2" i="16"/>
  <c r="AU15" i="20" l="1"/>
  <c r="AC10" i="21"/>
  <c r="AP15" i="21"/>
  <c r="AP9" i="21"/>
  <c r="AR6" i="21"/>
  <c r="AC20" i="21"/>
  <c r="AC18" i="21"/>
  <c r="AC8" i="21"/>
  <c r="AP7" i="21"/>
  <c r="AR7" i="21" s="1"/>
  <c r="AU17" i="21"/>
  <c r="AU12" i="13"/>
  <c r="AR15" i="13"/>
  <c r="AR12" i="13"/>
  <c r="AU14" i="21"/>
  <c r="AU16" i="21"/>
  <c r="R9" i="20"/>
  <c r="T20" i="20"/>
  <c r="Q6" i="20"/>
  <c r="S9" i="20"/>
  <c r="W14" i="20"/>
  <c r="Z17" i="20"/>
  <c r="AQ15" i="20" s="1"/>
  <c r="U20" i="20"/>
  <c r="AP10" i="20" s="1"/>
  <c r="D49" i="15"/>
  <c r="Q24" i="20"/>
  <c r="S6" i="20"/>
  <c r="X11" i="20"/>
  <c r="Z14" i="20"/>
  <c r="Q16" i="20"/>
  <c r="AC16" i="20" s="1"/>
  <c r="X20" i="20"/>
  <c r="T6" i="20"/>
  <c r="AA14" i="20"/>
  <c r="T21" i="20"/>
  <c r="AA11" i="20"/>
  <c r="T16" i="20"/>
  <c r="U13" i="20"/>
  <c r="J49" i="15"/>
  <c r="X21" i="20"/>
  <c r="K49" i="15"/>
  <c r="AA8" i="20"/>
  <c r="S10" i="20"/>
  <c r="W13" i="20"/>
  <c r="X16" i="20"/>
  <c r="R18" i="20"/>
  <c r="AB8" i="20"/>
  <c r="U10" i="20"/>
  <c r="Y13" i="20"/>
  <c r="AA18" i="20"/>
  <c r="AA21" i="20"/>
  <c r="V10" i="20"/>
  <c r="Q19" i="20"/>
  <c r="W22" i="20"/>
  <c r="P41" i="15"/>
  <c r="P49" i="15" s="1"/>
  <c r="O48" i="15"/>
  <c r="AA7" i="20"/>
  <c r="Y17" i="20"/>
  <c r="Z23" i="20"/>
  <c r="T47" i="15"/>
  <c r="AB23" i="20"/>
  <c r="R6" i="20"/>
  <c r="U9" i="20"/>
  <c r="AQ10" i="20" s="1"/>
  <c r="Y14" i="20"/>
  <c r="AA17" i="20"/>
  <c r="V20" i="20"/>
  <c r="R24" i="20"/>
  <c r="Z11" i="20"/>
  <c r="T24" i="20"/>
  <c r="AB14" i="20"/>
  <c r="W21" i="20"/>
  <c r="V13" i="20"/>
  <c r="T7" i="20"/>
  <c r="W10" i="20"/>
  <c r="Q15" i="20"/>
  <c r="R19" i="20"/>
  <c r="Y22" i="20"/>
  <c r="O49" i="15"/>
  <c r="R13" i="20"/>
  <c r="S16" i="20"/>
  <c r="V6" i="20"/>
  <c r="T13" i="20"/>
  <c r="V21" i="20"/>
  <c r="AB11" i="20"/>
  <c r="U16" i="20"/>
  <c r="Y8" i="20"/>
  <c r="V16" i="20"/>
  <c r="G48" i="15"/>
  <c r="Y21" i="20"/>
  <c r="V7" i="20"/>
  <c r="X10" i="20"/>
  <c r="Q12" i="20"/>
  <c r="S15" i="20"/>
  <c r="S19" i="20"/>
  <c r="Z22" i="20"/>
  <c r="AU11" i="20"/>
  <c r="AU17" i="20"/>
  <c r="AU14" i="20"/>
  <c r="AU16" i="20"/>
  <c r="AU8" i="20"/>
  <c r="AU7" i="13"/>
  <c r="AU8" i="21"/>
  <c r="AR8" i="21"/>
  <c r="AR9" i="13"/>
  <c r="AU17" i="13"/>
  <c r="AR7" i="13"/>
  <c r="AU9" i="13"/>
  <c r="AR17" i="13"/>
  <c r="AU14" i="13"/>
  <c r="AR10" i="21"/>
  <c r="AU10" i="21"/>
  <c r="AU11" i="21"/>
  <c r="AU13" i="21"/>
  <c r="AU7" i="20"/>
  <c r="AU10" i="20"/>
  <c r="R10" i="14"/>
  <c r="R37" i="14"/>
  <c r="R46" i="14"/>
  <c r="P36" i="14"/>
  <c r="O36" i="14"/>
  <c r="R45" i="14"/>
  <c r="P45" i="14"/>
  <c r="N45" i="14"/>
  <c r="N36" i="14"/>
  <c r="P8" i="14"/>
  <c r="O8" i="14"/>
  <c r="R11" i="14"/>
  <c r="R9" i="14"/>
  <c r="N8" i="14"/>
  <c r="Q8" i="14"/>
  <c r="AG15" i="13"/>
  <c r="AG10" i="21"/>
  <c r="AH10" i="21"/>
  <c r="AG13" i="20"/>
  <c r="AI6" i="21"/>
  <c r="AI13" i="13"/>
  <c r="AI13" i="20"/>
  <c r="AG7" i="20"/>
  <c r="AF16" i="20"/>
  <c r="AH7" i="20"/>
  <c r="AH16" i="20"/>
  <c r="AG6" i="21"/>
  <c r="AG6" i="13"/>
  <c r="AI16" i="21"/>
  <c r="AG17" i="13"/>
  <c r="AH6" i="21"/>
  <c r="AI16" i="20"/>
  <c r="AI9" i="21"/>
  <c r="AG10" i="13"/>
  <c r="AH16" i="13"/>
  <c r="AF6" i="13"/>
  <c r="AI6" i="13"/>
  <c r="AH6" i="20"/>
  <c r="AG15" i="20"/>
  <c r="AH15" i="21"/>
  <c r="AH17" i="13"/>
  <c r="AF10" i="20"/>
  <c r="AG14" i="13"/>
  <c r="AI14" i="13"/>
  <c r="AF12" i="21"/>
  <c r="AG10" i="20"/>
  <c r="AG12" i="21"/>
  <c r="AG9" i="20"/>
  <c r="AH10" i="20"/>
  <c r="AF9" i="21"/>
  <c r="AH12" i="21"/>
  <c r="AH9" i="20"/>
  <c r="AG9" i="21"/>
  <c r="AI9" i="20"/>
  <c r="AF6" i="20"/>
  <c r="AF11" i="20"/>
  <c r="AG6" i="20"/>
  <c r="AF15" i="20"/>
  <c r="AH7" i="21"/>
  <c r="AG15" i="21"/>
  <c r="AH15" i="20"/>
  <c r="AI15" i="21"/>
  <c r="AI13" i="21"/>
  <c r="AG11" i="13"/>
  <c r="AI11" i="13"/>
  <c r="AH12" i="20"/>
  <c r="AF12" i="20"/>
  <c r="AG12" i="20"/>
  <c r="AG8" i="13"/>
  <c r="AI16" i="13"/>
  <c r="AH8" i="13"/>
  <c r="AI8" i="13"/>
  <c r="AU12" i="20"/>
  <c r="AU6" i="20"/>
  <c r="AI7" i="13"/>
  <c r="AG7" i="13"/>
  <c r="AC12" i="21"/>
  <c r="AC19" i="21"/>
  <c r="AI10" i="13"/>
  <c r="AU6" i="13"/>
  <c r="AF7" i="13"/>
  <c r="AF10" i="13"/>
  <c r="AC16" i="13"/>
  <c r="AU16" i="13"/>
  <c r="AR16" i="13"/>
  <c r="AU7" i="21"/>
  <c r="AQ15" i="21"/>
  <c r="AR15" i="21" s="1"/>
  <c r="AC22" i="21"/>
  <c r="AP14" i="13"/>
  <c r="AR14" i="13" s="1"/>
  <c r="EF18" i="15"/>
  <c r="D48" i="15"/>
  <c r="P36" i="15"/>
  <c r="AU13" i="13"/>
  <c r="AU10" i="13"/>
  <c r="AR10" i="13"/>
  <c r="AI8" i="21"/>
  <c r="AG8" i="21"/>
  <c r="AU13" i="20"/>
  <c r="AH8" i="21"/>
  <c r="AC11" i="21"/>
  <c r="AI11" i="21"/>
  <c r="AH11" i="21"/>
  <c r="AF11" i="21"/>
  <c r="AC13" i="21"/>
  <c r="AH14" i="21"/>
  <c r="AG11" i="21"/>
  <c r="AF14" i="21"/>
  <c r="AC8" i="13"/>
  <c r="AC11" i="13"/>
  <c r="AP11" i="13"/>
  <c r="AR11" i="13" s="1"/>
  <c r="AI12" i="13"/>
  <c r="AH12" i="13"/>
  <c r="AG12" i="13"/>
  <c r="AF12" i="13"/>
  <c r="AC24" i="13"/>
  <c r="H48" i="15"/>
  <c r="L49" i="15"/>
  <c r="P313" i="15"/>
  <c r="AI8" i="20"/>
  <c r="AH8" i="20"/>
  <c r="AF8" i="20"/>
  <c r="AU9" i="20"/>
  <c r="AP13" i="21"/>
  <c r="AR13" i="21" s="1"/>
  <c r="AG14" i="21"/>
  <c r="AH17" i="21"/>
  <c r="AR8" i="13"/>
  <c r="AU8" i="13"/>
  <c r="I48" i="15"/>
  <c r="M49" i="15"/>
  <c r="P314" i="15"/>
  <c r="AC6" i="13"/>
  <c r="AC21" i="21"/>
  <c r="AI14" i="20"/>
  <c r="AH14" i="20"/>
  <c r="AG14" i="20"/>
  <c r="AF14" i="20"/>
  <c r="S10" i="14"/>
  <c r="AG17" i="21"/>
  <c r="AI9" i="13"/>
  <c r="AH9" i="13"/>
  <c r="AG9" i="13"/>
  <c r="AF9" i="13"/>
  <c r="P312" i="15"/>
  <c r="AU12" i="21"/>
  <c r="AR12" i="21"/>
  <c r="AH13" i="13"/>
  <c r="P44" i="15"/>
  <c r="AP15" i="20"/>
  <c r="AU15" i="21"/>
  <c r="AU11" i="13"/>
  <c r="AC6" i="21"/>
  <c r="AC9" i="21"/>
  <c r="AI14" i="21"/>
  <c r="AU9" i="21"/>
  <c r="AR9" i="21"/>
  <c r="AR17" i="21"/>
  <c r="AI17" i="21"/>
  <c r="P40" i="15"/>
  <c r="AC24" i="21"/>
  <c r="AF13" i="13"/>
  <c r="U7" i="20"/>
  <c r="Z8" i="20"/>
  <c r="T10" i="20"/>
  <c r="Y11" i="20"/>
  <c r="S13" i="20"/>
  <c r="X14" i="20"/>
  <c r="R16" i="20"/>
  <c r="W17" i="20"/>
  <c r="AB18" i="20"/>
  <c r="R20" i="20"/>
  <c r="U21" i="20"/>
  <c r="X22" i="20"/>
  <c r="AA23" i="20"/>
  <c r="AP11" i="21"/>
  <c r="AR11" i="21" s="1"/>
  <c r="AQ16" i="21"/>
  <c r="AR16" i="21" s="1"/>
  <c r="AF16" i="13"/>
  <c r="U6" i="20"/>
  <c r="Z7" i="20"/>
  <c r="T9" i="20"/>
  <c r="AC9" i="20" s="1"/>
  <c r="Y10" i="20"/>
  <c r="S12" i="20"/>
  <c r="X13" i="20"/>
  <c r="R15" i="20"/>
  <c r="W16" i="20"/>
  <c r="AB17" i="20"/>
  <c r="Q18" i="20"/>
  <c r="T19" i="20"/>
  <c r="AQ9" i="20" s="1"/>
  <c r="W20" i="20"/>
  <c r="Z21" i="20"/>
  <c r="S24" i="20"/>
  <c r="AC12" i="13"/>
  <c r="W6" i="20"/>
  <c r="AB7" i="20"/>
  <c r="Q8" i="20"/>
  <c r="V9" i="20"/>
  <c r="AA10" i="20"/>
  <c r="U12" i="20"/>
  <c r="Z13" i="20"/>
  <c r="T15" i="20"/>
  <c r="Y16" i="20"/>
  <c r="S18" i="20"/>
  <c r="V19" i="20"/>
  <c r="Y20" i="20"/>
  <c r="AB21" i="20"/>
  <c r="R23" i="20"/>
  <c r="U24" i="20"/>
  <c r="AC16" i="21"/>
  <c r="X6" i="20"/>
  <c r="R8" i="20"/>
  <c r="W9" i="20"/>
  <c r="AB10" i="20"/>
  <c r="Q11" i="20"/>
  <c r="AH11" i="20"/>
  <c r="V12" i="20"/>
  <c r="AA13" i="20"/>
  <c r="U15" i="20"/>
  <c r="Z16" i="20"/>
  <c r="AF17" i="20"/>
  <c r="T18" i="20"/>
  <c r="AP9" i="20" s="1"/>
  <c r="W19" i="20"/>
  <c r="AQ12" i="20" s="1"/>
  <c r="Z20" i="20"/>
  <c r="S23" i="20"/>
  <c r="AQ8" i="20" s="1"/>
  <c r="V24" i="20"/>
  <c r="AP13" i="13"/>
  <c r="AH15" i="13"/>
  <c r="Y6" i="20"/>
  <c r="S8" i="20"/>
  <c r="X9" i="20"/>
  <c r="R11" i="20"/>
  <c r="AI11" i="20"/>
  <c r="W12" i="20"/>
  <c r="AB13" i="20"/>
  <c r="Q14" i="20"/>
  <c r="V15" i="20"/>
  <c r="AA16" i="20"/>
  <c r="AG17" i="20"/>
  <c r="U18" i="20"/>
  <c r="X19" i="20"/>
  <c r="AA20" i="20"/>
  <c r="Q22" i="20"/>
  <c r="T23" i="20"/>
  <c r="W24" i="20"/>
  <c r="AF7" i="21"/>
  <c r="AF13" i="21"/>
  <c r="AG16" i="21"/>
  <c r="AQ13" i="13"/>
  <c r="AI15" i="13"/>
  <c r="EN18" i="15"/>
  <c r="Z6" i="20"/>
  <c r="AF7" i="20"/>
  <c r="T8" i="20"/>
  <c r="Y9" i="20"/>
  <c r="S11" i="20"/>
  <c r="X12" i="20"/>
  <c r="R14" i="20"/>
  <c r="W15" i="20"/>
  <c r="AB16" i="20"/>
  <c r="Q17" i="20"/>
  <c r="AH17" i="20"/>
  <c r="V18" i="20"/>
  <c r="Y19" i="20"/>
  <c r="AB20" i="20"/>
  <c r="R22" i="20"/>
  <c r="U23" i="20"/>
  <c r="X24" i="20"/>
  <c r="AG7" i="21"/>
  <c r="AF10" i="21"/>
  <c r="AH13" i="21"/>
  <c r="AP14" i="21"/>
  <c r="AR14" i="21" s="1"/>
  <c r="AH16" i="21"/>
  <c r="AC9" i="13"/>
  <c r="AF17" i="13"/>
  <c r="AA6" i="20"/>
  <c r="U8" i="20"/>
  <c r="Z9" i="20"/>
  <c r="T11" i="20"/>
  <c r="Y12" i="20"/>
  <c r="S14" i="20"/>
  <c r="X15" i="20"/>
  <c r="R17" i="20"/>
  <c r="AI17" i="20"/>
  <c r="W18" i="20"/>
  <c r="AP12" i="20" s="1"/>
  <c r="Z19" i="20"/>
  <c r="S22" i="20"/>
  <c r="V23" i="20"/>
  <c r="Y24" i="20"/>
  <c r="AU15" i="13"/>
  <c r="AB6" i="20"/>
  <c r="Q7" i="20"/>
  <c r="V8" i="20"/>
  <c r="AA9" i="20"/>
  <c r="U11" i="20"/>
  <c r="Z12" i="20"/>
  <c r="AF13" i="20"/>
  <c r="T14" i="20"/>
  <c r="Y15" i="20"/>
  <c r="S17" i="20"/>
  <c r="X18" i="20"/>
  <c r="AQ13" i="20" s="1"/>
  <c r="AR13" i="20" s="1"/>
  <c r="AA19" i="20"/>
  <c r="Q21" i="20"/>
  <c r="T22" i="20"/>
  <c r="W23" i="20"/>
  <c r="Z24" i="20"/>
  <c r="AF11" i="13"/>
  <c r="AF14" i="13"/>
  <c r="M48" i="15"/>
  <c r="R7" i="20"/>
  <c r="W8" i="20"/>
  <c r="AB9" i="20"/>
  <c r="Q10" i="20"/>
  <c r="V11" i="20"/>
  <c r="AA12" i="20"/>
  <c r="U14" i="20"/>
  <c r="Z15" i="20"/>
  <c r="T17" i="20"/>
  <c r="Y18" i="20"/>
  <c r="AB19" i="20"/>
  <c r="R21" i="20"/>
  <c r="U22" i="20"/>
  <c r="X23" i="20"/>
  <c r="AA24" i="20"/>
  <c r="S7" i="20"/>
  <c r="X8" i="20"/>
  <c r="R10" i="20"/>
  <c r="W11" i="20"/>
  <c r="AB12" i="20"/>
  <c r="Q13" i="20"/>
  <c r="V14" i="20"/>
  <c r="AA15" i="20"/>
  <c r="U17" i="20"/>
  <c r="Z18" i="20"/>
  <c r="S21" i="20"/>
  <c r="V22" i="20"/>
  <c r="Y23" i="20"/>
  <c r="K30" i="17"/>
  <c r="I29" i="17"/>
  <c r="K29" i="17" s="1"/>
  <c r="I9" i="17"/>
  <c r="K9" i="17" s="1"/>
  <c r="AJ10" i="13" l="1"/>
  <c r="M12" i="12" s="1"/>
  <c r="AJ13" i="21"/>
  <c r="L15" i="12" s="1"/>
  <c r="AR10" i="20"/>
  <c r="AJ14" i="20"/>
  <c r="K16" i="12" s="1"/>
  <c r="AJ13" i="20"/>
  <c r="K15" i="12" s="1"/>
  <c r="AJ12" i="20"/>
  <c r="K14" i="12" s="1"/>
  <c r="AJ15" i="21"/>
  <c r="L17" i="12" s="1"/>
  <c r="AJ7" i="20"/>
  <c r="K9" i="12" s="1"/>
  <c r="AR13" i="13"/>
  <c r="AC6" i="20"/>
  <c r="AC21" i="20"/>
  <c r="AC24" i="20"/>
  <c r="AC14" i="20"/>
  <c r="AP7" i="20"/>
  <c r="AP8" i="20"/>
  <c r="AR8" i="20" s="1"/>
  <c r="AC20" i="20"/>
  <c r="AQ7" i="20"/>
  <c r="AC15" i="20"/>
  <c r="AC12" i="20"/>
  <c r="AR9" i="20"/>
  <c r="T10" i="14"/>
  <c r="AJ6" i="13"/>
  <c r="M8" i="12" s="1"/>
  <c r="AR15" i="20"/>
  <c r="AR12" i="20"/>
  <c r="AJ13" i="13"/>
  <c r="M15" i="12" s="1"/>
  <c r="AJ12" i="13"/>
  <c r="M14" i="12" s="1"/>
  <c r="AJ9" i="13"/>
  <c r="M11" i="12" s="1"/>
  <c r="AJ14" i="21"/>
  <c r="L16" i="12" s="1"/>
  <c r="AJ12" i="21"/>
  <c r="L14" i="12" s="1"/>
  <c r="AJ11" i="21"/>
  <c r="L13" i="12" s="1"/>
  <c r="AJ10" i="21"/>
  <c r="L12" i="12" s="1"/>
  <c r="AJ6" i="21"/>
  <c r="L8" i="12" s="1"/>
  <c r="R8" i="14"/>
  <c r="AJ17" i="20"/>
  <c r="K19" i="12" s="1"/>
  <c r="AJ16" i="13"/>
  <c r="M18" i="12" s="1"/>
  <c r="AJ16" i="21"/>
  <c r="L18" i="12" s="1"/>
  <c r="AJ16" i="20"/>
  <c r="K18" i="12" s="1"/>
  <c r="AJ11" i="20"/>
  <c r="K13" i="12" s="1"/>
  <c r="AJ9" i="21"/>
  <c r="L11" i="12" s="1"/>
  <c r="AJ15" i="20"/>
  <c r="K17" i="12" s="1"/>
  <c r="AJ15" i="13"/>
  <c r="M17" i="12" s="1"/>
  <c r="AJ17" i="13"/>
  <c r="M19" i="12" s="1"/>
  <c r="AJ10" i="20"/>
  <c r="K12" i="12" s="1"/>
  <c r="AJ8" i="20"/>
  <c r="K10" i="12" s="1"/>
  <c r="AJ8" i="13"/>
  <c r="M10" i="12" s="1"/>
  <c r="AJ9" i="20"/>
  <c r="K11" i="12" s="1"/>
  <c r="AJ17" i="21"/>
  <c r="L19" i="12" s="1"/>
  <c r="AJ14" i="13"/>
  <c r="M16" i="12" s="1"/>
  <c r="AJ8" i="21"/>
  <c r="L10" i="12" s="1"/>
  <c r="AJ11" i="13"/>
  <c r="M13" i="12" s="1"/>
  <c r="AJ6" i="20"/>
  <c r="K8" i="12" s="1"/>
  <c r="AJ7" i="13"/>
  <c r="M9" i="12" s="1"/>
  <c r="AC10" i="20"/>
  <c r="AP6" i="20"/>
  <c r="AC17" i="20"/>
  <c r="AC19" i="20"/>
  <c r="AP14" i="20"/>
  <c r="AQ14" i="20"/>
  <c r="AQ6" i="20"/>
  <c r="AC18" i="20"/>
  <c r="AC22" i="20"/>
  <c r="AC8" i="20"/>
  <c r="AQ17" i="20"/>
  <c r="AP17" i="20"/>
  <c r="AQ16" i="20"/>
  <c r="AP16" i="20"/>
  <c r="P48" i="15"/>
  <c r="AC7" i="20"/>
  <c r="AQ11" i="20"/>
  <c r="AP11" i="20"/>
  <c r="AJ7" i="21"/>
  <c r="L9" i="12" s="1"/>
  <c r="AC13" i="20"/>
  <c r="AC11" i="20"/>
  <c r="AC23" i="20"/>
  <c r="AR11" i="20" l="1"/>
  <c r="AR7" i="20"/>
  <c r="AR6" i="20"/>
  <c r="S9" i="14" s="1"/>
  <c r="AR16" i="20"/>
  <c r="AR14" i="20"/>
  <c r="AR17" i="20"/>
  <c r="T9" i="14" l="1"/>
  <c r="S8" i="14"/>
  <c r="T8" i="14" s="1"/>
</calcChain>
</file>

<file path=xl/sharedStrings.xml><?xml version="1.0" encoding="utf-8"?>
<sst xmlns="http://schemas.openxmlformats.org/spreadsheetml/2006/main" count="1264" uniqueCount="259">
  <si>
    <t>Dữ kiện gồm có</t>
  </si>
  <si>
    <t>- Bảng tra lưu lượng ứng với từng nấc tần suất</t>
  </si>
  <si>
    <t>- Bảng tính sản lượng ứng với tần suất</t>
  </si>
  <si>
    <t>- Thống kê sản lượng điện qua các năm</t>
  </si>
  <si>
    <t>- Thủy văn 2024 của đài Tây nguyên và TCT theo dõi thực tế</t>
  </si>
  <si>
    <t>BUÔN KUỐP</t>
  </si>
  <si>
    <t>BUÔN TUA SRAH</t>
  </si>
  <si>
    <t>SRÊPÔK 3</t>
  </si>
  <si>
    <t>THÔNG SỐ HỒ CHỨA</t>
  </si>
  <si>
    <t>DUNG TÍCH 
HỮU ÍCH
(10^6m3)</t>
  </si>
  <si>
    <t>SUẤT TIÊU HAO NƯỚC</t>
  </si>
  <si>
    <t>SUẤT TIÊU 
HAO NƯỚC</t>
  </si>
  <si>
    <t>MNH
(m)</t>
  </si>
  <si>
    <t>DUNG 
TICH
(10^6m3)</t>
  </si>
  <si>
    <t>DiỆN
TÍCH
(Km2)</t>
  </si>
  <si>
    <t>DUNG 
TICH HỮU ÍCH
(10^6m3)</t>
  </si>
  <si>
    <t>Dung tích
 chạy máy
(10^6m3)</t>
  </si>
  <si>
    <t>Sản lượng 
ngày (MWh)</t>
  </si>
  <si>
    <t>Suất hao 
nước
(m3/kwh)</t>
  </si>
  <si>
    <t>Biểu số 2-a.1</t>
  </si>
  <si>
    <t>BẢNG TRA TẦN SUẤT NƯỚC VỀ</t>
  </si>
  <si>
    <t>SẢN LƯỢNG TÍNH THEO TẦN SUẤT</t>
  </si>
  <si>
    <t>A_max</t>
  </si>
  <si>
    <t>tr.kwh</t>
  </si>
  <si>
    <t xml:space="preserve">Nhà máy Thủy điện Buôn Tua Srah </t>
  </si>
  <si>
    <t>SHN</t>
  </si>
  <si>
    <t>m3/kwh</t>
  </si>
  <si>
    <t>Tháng</t>
  </si>
  <si>
    <t>TB</t>
  </si>
  <si>
    <t>TC</t>
  </si>
  <si>
    <t>Tính nội suy lưu lượng ngược ra tần suất</t>
  </si>
  <si>
    <t>Tính nội suy tần suất ra sản lượng, lưu lượng</t>
  </si>
  <si>
    <t>Tần suất</t>
  </si>
  <si>
    <t>m3/s</t>
  </si>
  <si>
    <t>month</t>
  </si>
  <si>
    <t>Q</t>
  </si>
  <si>
    <t>Q1</t>
  </si>
  <si>
    <t>Q2</t>
  </si>
  <si>
    <t>F1</t>
  </si>
  <si>
    <t>F2</t>
  </si>
  <si>
    <t>F</t>
  </si>
  <si>
    <t>F[%]</t>
  </si>
  <si>
    <t>A1</t>
  </si>
  <si>
    <t>A2</t>
  </si>
  <si>
    <t>A[tr.kwh]</t>
  </si>
  <si>
    <t>Q[m3/s]</t>
  </si>
  <si>
    <t>Vào</t>
  </si>
  <si>
    <t>Ra</t>
  </si>
  <si>
    <t>Ghi chú: Số liệu cập nhật từ 1977 đến tháng 09 năm 2024</t>
  </si>
  <si>
    <t>Lưu ý chỉnh lại ngày của tháng 2 với năm nhuận</t>
  </si>
  <si>
    <t>Biểu số 2-a.2</t>
  </si>
  <si>
    <t>Nhà máy Thủy điện Buôn Kuốp</t>
  </si>
  <si>
    <t xml:space="preserve">Nhà máy Thủy điện Buôn Kuốp </t>
  </si>
  <si>
    <t>Tính nội suy tần suất ra sản lượng</t>
  </si>
  <si>
    <t>x</t>
  </si>
  <si>
    <t>Ghi chú: Số liệu cập nhật từ 1977 đến tháng 9 năm 2024</t>
  </si>
  <si>
    <t xml:space="preserve">Nhà máy Thủy điện Srêpốk 3 </t>
  </si>
  <si>
    <t xml:space="preserve">Nhà máy Thủy điện Srê Pốk 3 </t>
  </si>
  <si>
    <t>BẢNG THỐNG KÊ SẢN LƯỢNG: TRUNG BÌNH NHIỀU NĂM,  KẾ HOẠCH, HỢP ĐỒNG, THỰC HIỆN TỪ 2009</t>
  </si>
  <si>
    <t xml:space="preserve">TỔNG HỢP SẢN LƯỢNG CHỐT </t>
  </si>
  <si>
    <t>Năm</t>
  </si>
  <si>
    <t>Nhà máy</t>
  </si>
  <si>
    <t>Nội dung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</si>
  <si>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</si>
  <si>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</si>
  <si>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</si>
  <si>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</si>
  <si>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</si>
  <si>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</si>
  <si>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</si>
  <si>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</si>
  <si>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</si>
  <si>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</si>
  <si>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</si>
  <si>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</si>
  <si>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 xml:space="preserve">Tổng </t>
  </si>
  <si>
    <t>Tháng/Năm</t>
  </si>
  <si>
    <t>SẢN LƯỢNG CÔNG TY (kWh)</t>
  </si>
  <si>
    <t>SẢN LƯỢNG CÁC NHÀ MÁY (kWh)</t>
  </si>
  <si>
    <t>Trung bình 5 năm từ 2017-2021</t>
  </si>
  <si>
    <t>Buôn Tua Srah</t>
  </si>
  <si>
    <t>SL KH</t>
  </si>
  <si>
    <t>TỔNG SẢN LƯỢNG CTY</t>
  </si>
  <si>
    <t>TỔNG LŨY KẾ SẢN LƯỢNG CÁC NHÀ MÁY TỪ KHI VẬN HÀNH</t>
  </si>
  <si>
    <t>SL thực phát</t>
  </si>
  <si>
    <t>Công ty</t>
  </si>
  <si>
    <t>Buôn Kuốp</t>
  </si>
  <si>
    <t>Srêpốk 3</t>
  </si>
  <si>
    <t>SL thương phẩm</t>
  </si>
  <si>
    <t>Đầu cực</t>
  </si>
  <si>
    <t>Giao nhận</t>
  </si>
  <si>
    <t>Qc</t>
  </si>
  <si>
    <t>Tổng</t>
  </si>
  <si>
    <t>Trung bình 10 năm từ 2012-2021</t>
  </si>
  <si>
    <t>Trung bình 13 năm từ 2010-2022</t>
  </si>
  <si>
    <t>MNH lúc 15h00: 466.575m, Qv = 45.96m3/s, Qcm = 20.33m3/s thì 472,3 giờ tương ứng 19,7 ngày nữa sẽ đạt ngưỡng dưới theo Quy trình liên hồ nha anh.</t>
  </si>
  <si>
    <t>T5</t>
  </si>
  <si>
    <t>T6</t>
  </si>
  <si>
    <t>Srê Pốk 3</t>
  </si>
  <si>
    <t>Sản lượng trung bình nhiều năm bị ảnh hưởng bởi quy trình vận hành liên hồ chứa</t>
  </si>
  <si>
    <t>Sản lượng phát</t>
  </si>
  <si>
    <t>Sản lượng giao</t>
  </si>
  <si>
    <t>Sản lượng thiết kế</t>
  </si>
  <si>
    <t>Năm 2009</t>
  </si>
  <si>
    <t>Năm 2010</t>
  </si>
  <si>
    <t>Năm 2011</t>
  </si>
  <si>
    <t>Năm 2012</t>
  </si>
  <si>
    <t>Năm 2013</t>
  </si>
  <si>
    <t>Năm 2014</t>
  </si>
  <si>
    <t>Năm 2015</t>
  </si>
  <si>
    <t>Năm 2016</t>
  </si>
  <si>
    <t>Năm 2017</t>
  </si>
  <si>
    <t>Năm 2018</t>
  </si>
  <si>
    <t>Năm 2019</t>
  </si>
  <si>
    <t>Năm 2020</t>
  </si>
  <si>
    <t>Năm 2021</t>
  </si>
  <si>
    <t>Năm 2022 - Tổng Công ty giao sản lượng kế hoạch không theo Quyết định của Bộ Công Thương</t>
  </si>
  <si>
    <t>SL KH BCT</t>
  </si>
  <si>
    <t>SL KH Tcty</t>
  </si>
  <si>
    <t xml:space="preserve">Năm 2023 </t>
  </si>
  <si>
    <t>Năm 2024</t>
  </si>
  <si>
    <t>Các chỉ dẫn</t>
  </si>
  <si>
    <t>- Cập nhật lại các tháng đã vận hành, giao phương thức tháng kế tiếp</t>
  </si>
  <si>
    <t>- Dự phóng kịch bản nước về theo bản tin khí tượng</t>
  </si>
  <si>
    <t>- Ước tính mực nước hồ Buôn Tua Srah còn tới ngày D+x tương lai</t>
  </si>
  <si>
    <t>- Số liệu giao kế hoạch theo PA4, điều hành theo PA2</t>
  </si>
  <si>
    <t>TỔNG HỢP KẾ HOẠCH SẢN XUẤT NĂM 2026</t>
  </si>
  <si>
    <t xml:space="preserve">Kết quả tính ứng với lưu lượng dự báo </t>
  </si>
  <si>
    <t>Q3</t>
  </si>
  <si>
    <t>Q4</t>
  </si>
  <si>
    <t>Cả năm</t>
  </si>
  <si>
    <t>Tổng SLĐ sản xuất 
03 NM 
(triệu kWh)</t>
  </si>
  <si>
    <t>Buôn K uốp</t>
  </si>
  <si>
    <t>Srêpôk 3</t>
  </si>
  <si>
    <t>Tính lại theo bản tin dự báo KTTV Dak Nông</t>
  </si>
  <si>
    <t>Cao</t>
  </si>
  <si>
    <t>Thấp</t>
  </si>
  <si>
    <t>Tổng SLĐ sản xuất 03 NM
(triệu kWh)</t>
  </si>
  <si>
    <t>x0,92</t>
  </si>
  <si>
    <t xml:space="preserve">Tháng 1,2,3,4,5,6: cập nhật đến hiện tại, T7 theo phương thức, T8~12 tính theo bản tin 06/DBQG </t>
  </si>
  <si>
    <t>u</t>
  </si>
  <si>
    <t>PT</t>
  </si>
  <si>
    <t xml:space="preserve">Tháng 1,2,3,4,5,6: cập nhật đến hiện tại, T7 ước, T8~12 tính theo tần suất trung bình bản tin 07/DBQG </t>
  </si>
  <si>
    <t>ước</t>
  </si>
  <si>
    <t xml:space="preserve">Tháng 1~9: cập nhật đến hiện tại, T10, 11 biên trung bình, T12 biên thấp tính theo bản tin 09/DBQG </t>
  </si>
  <si>
    <t>u =cập nhật</t>
  </si>
  <si>
    <t>Tính toán 2026</t>
  </si>
  <si>
    <t>cập nhật hết tháng 6, 7~12 theo bản tin 06/DBQG-BTTV</t>
  </si>
  <si>
    <t>A0 tính</t>
  </si>
  <si>
    <t>Giảm</t>
  </si>
  <si>
    <t>Tổng SLĐ 03 NM 
(triệu kWh)</t>
  </si>
  <si>
    <t>cập nhật thực tế</t>
  </si>
  <si>
    <t>tính theo biên trung bình bản tin 06/DBQG-BTTV</t>
  </si>
  <si>
    <t>cập nhật hết tháng 6, 7~12 theo bản tin Đài khí tượng thủy văn Nam Bộ ngày 9/6/2026</t>
  </si>
  <si>
    <t>Buôn Kuốp tính</t>
  </si>
  <si>
    <t>tính theo số liệu đài Nam Bộ</t>
  </si>
  <si>
    <t>TB đài Bắc và Nam</t>
  </si>
  <si>
    <t>cập nhật hết tháng 6, 7 ước, 8~12 theo bản tin 07/DBQG-BTTV</t>
  </si>
  <si>
    <t>biên trung bình</t>
  </si>
  <si>
    <t>tính theo biên trung bình bản tin 07/DBQG-BTTV</t>
  </si>
  <si>
    <t>biên thấp</t>
  </si>
  <si>
    <t>tính theo biên thấp bản tin 07/DBQG-BTTV</t>
  </si>
  <si>
    <t>biên cao</t>
  </si>
  <si>
    <t>tính theo biên cao bản tin 07/DBQG-BTTV</t>
  </si>
  <si>
    <t>Biểu số 2-a</t>
  </si>
  <si>
    <t>TÌNH HÌNH THUỶ VĂN DỰ KIẾN</t>
  </si>
  <si>
    <t>Các Nhà máy Thủy điện Buôn Kuốp, Buôn Tua Srah và Srêpốk 3</t>
  </si>
  <si>
    <t xml:space="preserve"> Tháng</t>
  </si>
  <si>
    <t xml:space="preserve">SL tính theo đài KTTV khu vực Tây Nguyên dự báo </t>
  </si>
  <si>
    <t>Thực tế 2026 [m3/s]</t>
  </si>
  <si>
    <t>Tần suất [%]</t>
  </si>
  <si>
    <t>Nhận xét</t>
  </si>
  <si>
    <t/>
  </si>
  <si>
    <t>Tần suất (%)</t>
  </si>
  <si>
    <t>BTS</t>
  </si>
  <si>
    <t>BK</t>
  </si>
  <si>
    <t>SP3</t>
  </si>
  <si>
    <t>dữ liệu của đài TW</t>
  </si>
  <si>
    <t>TÍNH TOÁN MỰC NƯỚC HỒ 03 HỒ CHỨA</t>
  </si>
  <si>
    <t>Begin</t>
  </si>
  <si>
    <t>Trung chuyển</t>
  </si>
  <si>
    <t>End</t>
  </si>
  <si>
    <t>BẢNG DỰ ĐOÁN MỰC NƯỚC HỒ BTS</t>
  </si>
  <si>
    <t>31/01/2024</t>
  </si>
  <si>
    <t>31/05/2024</t>
  </si>
  <si>
    <t>31/07/2024</t>
  </si>
  <si>
    <t>MNH
Hiện tại</t>
  </si>
  <si>
    <t>Q
Về hồ</t>
  </si>
  <si>
    <t>Q
Chạy máy</t>
  </si>
  <si>
    <t>Q 
Xả</t>
  </si>
  <si>
    <t>Chênh lêch</t>
  </si>
  <si>
    <t>Hiện tại</t>
  </si>
  <si>
    <t>Thời kỳ</t>
  </si>
  <si>
    <t>m</t>
  </si>
  <si>
    <t>giờ</t>
  </si>
  <si>
    <t>←Dung tích NMH hiện tại</t>
  </si>
  <si>
    <t xml:space="preserve">Dung tích MNH </t>
  </si>
  <si>
    <t>MỰC NƯỚC HỒ ĐẠT ĐẾN (m)</t>
  </si>
  <si>
    <t>31/3/2024</t>
  </si>
  <si>
    <t>MW</t>
  </si>
  <si>
    <t>477,2~479,9m</t>
  </si>
  <si>
    <t>BẢNG DỰ ĐOÁN MỰC NƯỚC HỒ BK</t>
  </si>
  <si>
    <t>Dung tích NMH hiện tại</t>
  </si>
  <si>
    <t>BẢNG DỰ ĐOÁN MỰC NƯỚC HỒ SP3</t>
  </si>
  <si>
    <t xml:space="preserve">D.tich MNH </t>
  </si>
  <si>
    <t>DỰ ĐOÁN MỨC NƯỚC CÁC HỒ CHỨA</t>
  </si>
  <si>
    <t>DỰ KIẾN THÔNG SỐ HỒ BUÔN TUA SRAH KHAI THAC MÙA KIỆT 2018</t>
  </si>
  <si>
    <t xml:space="preserve">Tháng </t>
  </si>
  <si>
    <t>MNH
 tính toán</t>
  </si>
  <si>
    <t>Qvề 
dự báo</t>
  </si>
  <si>
    <t>Qcm 
dự báo</t>
  </si>
  <si>
    <t xml:space="preserve">Dung tích </t>
  </si>
  <si>
    <t>MNH 
Thực tế</t>
  </si>
  <si>
    <t>Qvề 
Thực tế</t>
  </si>
  <si>
    <t>Qcm 
Thực tế</t>
  </si>
  <si>
    <t>Dung tích</t>
  </si>
  <si>
    <t>Sai biệt
(MNH)</t>
  </si>
  <si>
    <t>HỒ BUÔN TUA SRAH</t>
  </si>
  <si>
    <t>Tháng 01</t>
  </si>
  <si>
    <t>MNH
Hiện tại
(m)</t>
  </si>
  <si>
    <t>T dự đoán
(giờ)</t>
  </si>
  <si>
    <t>Sản lượng 
dự đoán
(Mwh)</t>
  </si>
  <si>
    <t>Q về dự đoán 
(m3/s)</t>
  </si>
  <si>
    <t>Q xả 
dự đoán 
(m3/s)</t>
  </si>
  <si>
    <t>Dung tích hữu ích
(triệu m3)</t>
  </si>
  <si>
    <t>Tháng 02</t>
  </si>
  <si>
    <t>Tháng 03</t>
  </si>
  <si>
    <t>Mực nước hồ dự đoán</t>
  </si>
  <si>
    <t xml:space="preserve">  là:</t>
  </si>
  <si>
    <t>Tháng 04</t>
  </si>
  <si>
    <t xml:space="preserve">HỐ BUÔN KUÔP </t>
  </si>
  <si>
    <t>Tháng 05</t>
  </si>
  <si>
    <t>Tháng 15/5</t>
  </si>
  <si>
    <t>Từ tháng 15/5 trở đi chạy theo lưu lượng về và tích nước hồ</t>
  </si>
  <si>
    <t>Mực nước hồ tính từ đầu tháng</t>
  </si>
  <si>
    <t>HỒ SRÊPÔK 3</t>
  </si>
  <si>
    <t>Tính sản lượng theo tần suất nước</t>
  </si>
  <si>
    <t>Buôn Tua Srah [tr.kwh]</t>
  </si>
  <si>
    <t>Buôn Kuốp [tr.kwh]</t>
  </si>
  <si>
    <t>Srê Pốk 3 [tr.kwh]</t>
  </si>
  <si>
    <t>Tổng cộng [tr.kwh]</t>
  </si>
  <si>
    <t>kỳ vọng 2025</t>
  </si>
  <si>
    <t>Kết quả tính từ đồng dạng chuỗi thủy văn từ tháng 1~3</t>
  </si>
  <si>
    <t>Năm quy luật</t>
  </si>
  <si>
    <t>T1</t>
  </si>
  <si>
    <t>T2</t>
  </si>
  <si>
    <t>T3</t>
  </si>
  <si>
    <t>T4</t>
  </si>
  <si>
    <t>T7</t>
  </si>
  <si>
    <t>T8</t>
  </si>
  <si>
    <t>T9</t>
  </si>
  <si>
    <t>T10</t>
  </si>
  <si>
    <t>T11</t>
  </si>
  <si>
    <t>T12</t>
  </si>
  <si>
    <t>Tổng năm</t>
  </si>
  <si>
    <t>Srepok 3</t>
  </si>
  <si>
    <t>Kết quả tính từ đồng dạng thủy văn chuỗi từ tháng 1~4</t>
  </si>
  <si>
    <t>Kết quả tính từ đồng dạng chuỗi thủy văn từ tháng 1~5</t>
  </si>
  <si>
    <t>Kết quả tính từ đồng dạng chuỗi thủy văn từ tháng 1~6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</si>
</sst>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_(* #,##0_);_(* \(#,##0\);_(* &quot;-&quot;??_);_(@_)"/>
    <numFmt numFmtId="167" formatCode="0.000"/>
    <numFmt numFmtId="168" formatCode="_-* #,##0.00\ _₫_-;\-* #,##0.00\ _₫_-;_-* &quot;-&quot;??\ _₫_-;_-@_-"/>
    <numFmt numFmtId="169" formatCode="0.0"/>
    <numFmt numFmtId="170" formatCode="[$-409]d\-mmm;@"/>
    <numFmt numFmtId="171" formatCode="_(* #,##0.0_);_(* \(#,##0.0\);_(* &quot;-&quot;??_);_(@_)"/>
    <numFmt numFmtId="172" formatCode="_(* #,##0.0_);_(* \(#,##0.0\);_(* &quot;-&quot;?_);_(@_)"/>
    <numFmt numFmtId="173" formatCode="0.0%"/>
  </numFmts>
  <fonts count="74"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2"/>
      <name val="Times New Roman"/>
      <family val="1"/>
    </font>
    <font>
      <sz val="10"/>
      <color rgb="FF000099"/>
      <name val="Times New Roman"/>
      <family val="1"/>
    </font>
    <font>
      <sz val="9"/>
      <color rgb="FF000099"/>
      <name val="Times New Roman"/>
      <family val="1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92D050"/>
      <name val="Arial"/>
      <family val="2"/>
    </font>
    <font>
      <b/>
      <sz val="9"/>
      <color theme="1"/>
      <name val="Aptos Display"/>
      <family val="1"/>
      <scheme val="major"/>
    </font>
    <font>
      <sz val="9"/>
      <color theme="1"/>
      <name val="Aptos Display"/>
      <family val="1"/>
      <scheme val="major"/>
    </font>
    <font>
      <sz val="9"/>
      <color rgb="FFFF0000"/>
      <name val="Aptos Display"/>
      <family val="1"/>
      <scheme val="major"/>
    </font>
    <font>
      <sz val="11"/>
      <color theme="1"/>
      <name val="Times New Roman"/>
      <family val="2"/>
    </font>
    <font>
      <sz val="10"/>
      <color rgb="FF333333"/>
      <name val="Times New Roman"/>
      <family val="1"/>
      <charset val="163"/>
    </font>
    <font>
      <b/>
      <sz val="10"/>
      <color rgb="FF0000CC"/>
      <name val="Times New Roman"/>
      <family val="1"/>
    </font>
    <font>
      <b/>
      <sz val="9"/>
      <color rgb="FF00B050"/>
      <name val="Aptos Display"/>
      <family val="1"/>
      <scheme val="major"/>
    </font>
    <font>
      <b/>
      <sz val="11"/>
      <color rgb="FF3333FF"/>
      <name val="Times New Roman"/>
      <family val="1"/>
    </font>
    <font>
      <sz val="9"/>
      <color rgb="FF0000CC"/>
      <name val="Aptos Display"/>
      <family val="1"/>
      <scheme val="major"/>
    </font>
    <font>
      <b/>
      <sz val="9"/>
      <color rgb="FFFF0000"/>
      <name val="Aptos Display"/>
      <family val="1"/>
      <scheme val="major"/>
    </font>
    <font>
      <sz val="8"/>
      <color theme="1"/>
      <name val="Aptos Display"/>
      <family val="1"/>
      <scheme val="major"/>
    </font>
    <font>
      <b/>
      <sz val="8"/>
      <color theme="1"/>
      <name val="Aptos Display"/>
      <family val="1"/>
      <scheme val="major"/>
    </font>
    <font>
      <sz val="11"/>
      <color rgb="FF081C36"/>
      <name val="Segoe UI"/>
      <family val="2"/>
    </font>
    <font>
      <b/>
      <sz val="9"/>
      <color rgb="FF0000FF"/>
      <name val="Aptos Display"/>
      <family val="1"/>
      <scheme val="major"/>
    </font>
    <font>
      <sz val="9"/>
      <color rgb="FF3333FF"/>
      <name val="Aptos Display"/>
      <family val="1"/>
      <scheme val="major"/>
    </font>
    <font>
      <b/>
      <sz val="11"/>
      <color rgb="FF000099"/>
      <name val="Times New Roman"/>
      <family val="1"/>
    </font>
    <font>
      <b/>
      <sz val="12"/>
      <color rgb="FF000099"/>
      <name val="Times New Roman"/>
      <family val="1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ahoma"/>
      <family val="2"/>
      <charset val="163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FF0000"/>
      <name val="Times New Roman"/>
      <family val="1"/>
    </font>
    <font>
      <sz val="18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i/>
      <sz val="11"/>
      <color theme="1"/>
      <name val="tahoma"/>
      <family val="2"/>
    </font>
    <font>
      <sz val="10"/>
      <name val="Times New Roman"/>
      <family val="1"/>
    </font>
    <font>
      <sz val="10"/>
      <name val="Arial"/>
      <family val="2"/>
      <charset val="163"/>
    </font>
    <font>
      <sz val="11"/>
      <color theme="1"/>
      <name val="Aptos Narrow"/>
      <family val="2"/>
      <charset val="163"/>
      <scheme val="minor"/>
    </font>
    <font>
      <sz val="11"/>
      <color indexed="8"/>
      <name val="Calibri"/>
      <family val="2"/>
    </font>
    <font>
      <sz val="12"/>
      <name val=".VnTime"/>
      <family val="2"/>
    </font>
    <font>
      <sz val="13"/>
      <color theme="1"/>
      <name val="Times New Roman"/>
      <family val="2"/>
    </font>
    <font>
      <sz val="13"/>
      <name val=".VnTime"/>
      <family val="2"/>
    </font>
    <font>
      <sz val="10"/>
      <color indexed="8"/>
      <name val="Arial"/>
      <family val="2"/>
    </font>
    <font>
      <sz val="10"/>
      <color rgb="FFFF0000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Arial"/>
      <family val="2"/>
    </font>
    <font>
      <b/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rgb="FFFF0000"/>
      <name val="Times New Roman"/>
      <family val="1"/>
    </font>
    <font>
      <i/>
      <sz val="13"/>
      <color rgb="FFFF0000"/>
      <name val="Times New Roman"/>
      <family val="1"/>
    </font>
    <font>
      <sz val="11"/>
      <color rgb="FF000099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FFCFF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3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88C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medium">
        <color auto="1"/>
      </right>
      <top style="hair">
        <color indexed="64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</borders>
  <cellStyleXfs count="34">
    <xf numFmtId="0" fontId="0" fillId="0" borderId="0"/>
    <xf numFmtId="43" fontId="8" fillId="0" borderId="0" applyFont="0" applyFill="0" applyBorder="0" applyAlignment="0" applyProtection="0"/>
    <xf numFmtId="0" fontId="1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1" fillId="0" borderId="0"/>
    <xf numFmtId="0" fontId="8" fillId="0" borderId="0"/>
    <xf numFmtId="164" fontId="31" fillId="0" borderId="0" applyFont="0" applyFill="0" applyBorder="0" applyAlignment="0" applyProtection="0"/>
    <xf numFmtId="0" fontId="10" fillId="0" borderId="0"/>
    <xf numFmtId="0" fontId="31" fillId="0" borderId="0"/>
    <xf numFmtId="0" fontId="47" fillId="0" borderId="0"/>
    <xf numFmtId="43" fontId="47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10" fillId="0" borderId="0"/>
    <xf numFmtId="9" fontId="57" fillId="0" borderId="0" applyFont="0" applyFill="0" applyBorder="0" applyAlignment="0" applyProtection="0"/>
    <xf numFmtId="170" fontId="10" fillId="0" borderId="0"/>
    <xf numFmtId="170" fontId="10" fillId="0" borderId="0"/>
    <xf numFmtId="0" fontId="21" fillId="0" borderId="0"/>
    <xf numFmtId="0" fontId="58" fillId="0" borderId="0"/>
    <xf numFmtId="0" fontId="59" fillId="0" borderId="0"/>
    <xf numFmtId="0" fontId="60" fillId="0" borderId="0"/>
    <xf numFmtId="0" fontId="8" fillId="0" borderId="0"/>
    <xf numFmtId="43" fontId="8" fillId="0" borderId="0" applyFont="0" applyFill="0" applyBorder="0" applyAlignment="0" applyProtection="0"/>
    <xf numFmtId="43" fontId="6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62" fillId="0" borderId="0"/>
    <xf numFmtId="164" fontId="62" fillId="0" borderId="0" applyFont="0" applyFill="0" applyBorder="0" applyAlignment="0" applyProtection="0"/>
    <xf numFmtId="0" fontId="63" fillId="0" borderId="0" applyNumberFormat="0" applyFill="0" applyBorder="0" applyProtection="0"/>
    <xf numFmtId="0" fontId="57" fillId="0" borderId="0"/>
    <xf numFmtId="43" fontId="1" fillId="0" borderId="0" applyFont="0" applyFill="0" applyBorder="0" applyAlignment="0" applyProtection="0"/>
    <xf numFmtId="0" fontId="21" fillId="0" borderId="0"/>
    <xf numFmtId="0" fontId="68" fillId="0" borderId="0" applyNumberFormat="0" applyFill="0" applyBorder="0" applyAlignment="0" applyProtection="0"/>
  </cellStyleXfs>
  <cellXfs count="490">
    <xf numFmtId="0" fontId="0" fillId="0" borderId="0" xfId="0"/>
    <xf numFmtId="0" fontId="1" fillId="0" borderId="0" xfId="0" applyFont="1"/>
    <xf numFmtId="0" fontId="0" fillId="0" borderId="0" xfId="0" quotePrefix="1"/>
    <xf numFmtId="0" fontId="12" fillId="0" borderId="0" xfId="0" applyFont="1"/>
    <xf numFmtId="0" fontId="14" fillId="0" borderId="6" xfId="0" applyFont="1" applyBorder="1" applyAlignment="1">
      <alignment vertical="center"/>
    </xf>
    <xf numFmtId="2" fontId="15" fillId="0" borderId="10" xfId="0" applyNumberFormat="1" applyFont="1" applyBorder="1" applyAlignment="1">
      <alignment vertical="center"/>
    </xf>
    <xf numFmtId="2" fontId="14" fillId="0" borderId="10" xfId="0" applyNumberFormat="1" applyFont="1" applyBorder="1" applyAlignment="1">
      <alignment vertical="center"/>
    </xf>
    <xf numFmtId="0" fontId="15" fillId="2" borderId="10" xfId="0" applyFont="1" applyFill="1" applyBorder="1" applyAlignment="1">
      <alignment horizontal="center" vertical="center"/>
    </xf>
    <xf numFmtId="0" fontId="14" fillId="0" borderId="0" xfId="0" applyFont="1"/>
    <xf numFmtId="0" fontId="17" fillId="0" borderId="0" xfId="0" applyFont="1"/>
    <xf numFmtId="0" fontId="17" fillId="0" borderId="0" xfId="0" applyFont="1" applyAlignment="1">
      <alignment vertical="center"/>
    </xf>
    <xf numFmtId="0" fontId="18" fillId="0" borderId="0" xfId="0" applyFont="1"/>
    <xf numFmtId="2" fontId="17" fillId="0" borderId="0" xfId="0" applyNumberFormat="1" applyFont="1"/>
    <xf numFmtId="4" fontId="15" fillId="0" borderId="10" xfId="0" applyNumberFormat="1" applyFont="1" applyBorder="1" applyAlignment="1">
      <alignment horizontal="center" vertical="center" wrapText="1"/>
    </xf>
    <xf numFmtId="4" fontId="14" fillId="0" borderId="10" xfId="0" applyNumberFormat="1" applyFont="1" applyBorder="1" applyAlignment="1">
      <alignment vertical="center"/>
    </xf>
    <xf numFmtId="4" fontId="15" fillId="0" borderId="10" xfId="0" applyNumberFormat="1" applyFont="1" applyBorder="1" applyAlignment="1">
      <alignment vertical="center"/>
    </xf>
    <xf numFmtId="4" fontId="20" fillId="0" borderId="10" xfId="4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" fontId="3" fillId="0" borderId="10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3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6" fillId="2" borderId="10" xfId="6" applyFont="1" applyFill="1" applyBorder="1" applyAlignment="1">
      <alignment horizontal="center" vertical="center"/>
    </xf>
    <xf numFmtId="0" fontId="25" fillId="0" borderId="10" xfId="6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quotePrefix="1" applyFont="1" applyAlignment="1">
      <alignment vertical="center"/>
    </xf>
    <xf numFmtId="0" fontId="25" fillId="0" borderId="10" xfId="6" applyFont="1" applyBorder="1" applyAlignment="1">
      <alignment vertical="center"/>
    </xf>
    <xf numFmtId="0" fontId="27" fillId="0" borderId="10" xfId="6" applyFont="1" applyBorder="1" applyAlignment="1">
      <alignment horizontal="center" vertical="center"/>
    </xf>
    <xf numFmtId="0" fontId="28" fillId="0" borderId="5" xfId="7" applyFont="1" applyBorder="1" applyAlignment="1" applyProtection="1">
      <alignment horizontal="center"/>
      <protection hidden="1"/>
    </xf>
    <xf numFmtId="0" fontId="28" fillId="0" borderId="6" xfId="7" applyFont="1" applyBorder="1" applyAlignment="1" applyProtection="1">
      <alignment horizontal="center"/>
      <protection hidden="1"/>
    </xf>
    <xf numFmtId="0" fontId="28" fillId="0" borderId="7" xfId="7" applyFont="1" applyBorder="1" applyAlignment="1" applyProtection="1">
      <alignment horizontal="center"/>
      <protection hidden="1"/>
    </xf>
    <xf numFmtId="0" fontId="29" fillId="0" borderId="0" xfId="7" applyFont="1" applyProtection="1">
      <protection hidden="1"/>
    </xf>
    <xf numFmtId="4" fontId="29" fillId="0" borderId="0" xfId="7" applyNumberFormat="1" applyFont="1" applyProtection="1">
      <protection hidden="1"/>
    </xf>
    <xf numFmtId="4" fontId="29" fillId="0" borderId="16" xfId="7" applyNumberFormat="1" applyFont="1" applyBorder="1" applyProtection="1">
      <protection hidden="1"/>
    </xf>
    <xf numFmtId="0" fontId="29" fillId="0" borderId="15" xfId="7" applyFont="1" applyBorder="1" applyProtection="1">
      <protection hidden="1"/>
    </xf>
    <xf numFmtId="4" fontId="29" fillId="0" borderId="15" xfId="7" applyNumberFormat="1" applyFont="1" applyBorder="1" applyProtection="1">
      <protection hidden="1"/>
    </xf>
    <xf numFmtId="4" fontId="29" fillId="0" borderId="18" xfId="7" applyNumberFormat="1" applyFont="1" applyBorder="1" applyProtection="1">
      <protection hidden="1"/>
    </xf>
    <xf numFmtId="0" fontId="29" fillId="3" borderId="11" xfId="7" applyFont="1" applyFill="1" applyBorder="1" applyAlignment="1" applyProtection="1">
      <alignment horizontal="center" vertical="center" wrapText="1"/>
      <protection hidden="1"/>
    </xf>
    <xf numFmtId="0" fontId="29" fillId="3" borderId="0" xfId="7" applyFont="1" applyFill="1" applyAlignment="1" applyProtection="1">
      <alignment horizontal="center" vertical="center"/>
      <protection hidden="1"/>
    </xf>
    <xf numFmtId="0" fontId="29" fillId="3" borderId="0" xfId="7" applyFont="1" applyFill="1" applyProtection="1">
      <protection hidden="1"/>
    </xf>
    <xf numFmtId="4" fontId="29" fillId="3" borderId="0" xfId="7" applyNumberFormat="1" applyFont="1" applyFill="1" applyProtection="1">
      <protection hidden="1"/>
    </xf>
    <xf numFmtId="4" fontId="29" fillId="3" borderId="16" xfId="7" applyNumberFormat="1" applyFont="1" applyFill="1" applyBorder="1" applyProtection="1">
      <protection hidden="1"/>
    </xf>
    <xf numFmtId="4" fontId="30" fillId="3" borderId="0" xfId="7" applyNumberFormat="1" applyFont="1" applyFill="1" applyProtection="1">
      <protection hidden="1"/>
    </xf>
    <xf numFmtId="4" fontId="30" fillId="3" borderId="16" xfId="7" applyNumberFormat="1" applyFont="1" applyFill="1" applyBorder="1" applyProtection="1">
      <protection hidden="1"/>
    </xf>
    <xf numFmtId="0" fontId="29" fillId="4" borderId="0" xfId="7" applyFont="1" applyFill="1" applyProtection="1">
      <protection hidden="1"/>
    </xf>
    <xf numFmtId="4" fontId="29" fillId="4" borderId="0" xfId="7" applyNumberFormat="1" applyFont="1" applyFill="1" applyProtection="1">
      <protection hidden="1"/>
    </xf>
    <xf numFmtId="4" fontId="29" fillId="4" borderId="16" xfId="7" applyNumberFormat="1" applyFont="1" applyFill="1" applyBorder="1" applyProtection="1">
      <protection hidden="1"/>
    </xf>
    <xf numFmtId="4" fontId="30" fillId="4" borderId="0" xfId="7" applyNumberFormat="1" applyFont="1" applyFill="1" applyProtection="1">
      <protection hidden="1"/>
    </xf>
    <xf numFmtId="4" fontId="30" fillId="4" borderId="16" xfId="7" applyNumberFormat="1" applyFont="1" applyFill="1" applyBorder="1" applyProtection="1">
      <protection hidden="1"/>
    </xf>
    <xf numFmtId="0" fontId="29" fillId="0" borderId="6" xfId="7" applyFont="1" applyBorder="1" applyProtection="1">
      <protection hidden="1"/>
    </xf>
    <xf numFmtId="4" fontId="29" fillId="0" borderId="6" xfId="7" applyNumberFormat="1" applyFont="1" applyBorder="1" applyAlignment="1" applyProtection="1">
      <alignment horizontal="right"/>
      <protection hidden="1"/>
    </xf>
    <xf numFmtId="4" fontId="29" fillId="0" borderId="7" xfId="7" applyNumberFormat="1" applyFont="1" applyBorder="1" applyProtection="1">
      <protection hidden="1"/>
    </xf>
    <xf numFmtId="4" fontId="29" fillId="0" borderId="0" xfId="7" applyNumberFormat="1" applyFont="1" applyAlignment="1" applyProtection="1">
      <alignment horizontal="right"/>
      <protection hidden="1"/>
    </xf>
    <xf numFmtId="165" fontId="14" fillId="0" borderId="0" xfId="8" applyNumberFormat="1" applyFont="1" applyFill="1" applyBorder="1" applyAlignment="1" applyProtection="1">
      <alignment horizontal="center" vertical="top"/>
      <protection hidden="1"/>
    </xf>
    <xf numFmtId="43" fontId="14" fillId="0" borderId="0" xfId="8" applyNumberFormat="1" applyFont="1" applyFill="1" applyBorder="1" applyProtection="1">
      <protection hidden="1"/>
    </xf>
    <xf numFmtId="165" fontId="32" fillId="0" borderId="0" xfId="9" applyNumberFormat="1" applyFont="1" applyAlignment="1" applyProtection="1">
      <alignment horizontal="center" vertical="top" wrapText="1"/>
      <protection hidden="1"/>
    </xf>
    <xf numFmtId="43" fontId="33" fillId="0" borderId="0" xfId="8" applyNumberFormat="1" applyFont="1" applyFill="1" applyBorder="1" applyAlignment="1" applyProtection="1">
      <alignment horizontal="center"/>
      <protection hidden="1"/>
    </xf>
    <xf numFmtId="43" fontId="33" fillId="0" borderId="0" xfId="8" applyNumberFormat="1" applyFont="1" applyFill="1" applyBorder="1" applyProtection="1">
      <protection hidden="1"/>
    </xf>
    <xf numFmtId="0" fontId="29" fillId="3" borderId="6" xfId="7" applyFont="1" applyFill="1" applyBorder="1" applyProtection="1">
      <protection hidden="1"/>
    </xf>
    <xf numFmtId="4" fontId="29" fillId="3" borderId="6" xfId="7" applyNumberFormat="1" applyFont="1" applyFill="1" applyBorder="1" applyAlignment="1" applyProtection="1">
      <alignment horizontal="right"/>
      <protection hidden="1"/>
    </xf>
    <xf numFmtId="4" fontId="29" fillId="3" borderId="7" xfId="7" applyNumberFormat="1" applyFont="1" applyFill="1" applyBorder="1" applyProtection="1">
      <protection hidden="1"/>
    </xf>
    <xf numFmtId="4" fontId="29" fillId="3" borderId="0" xfId="7" applyNumberFormat="1" applyFont="1" applyFill="1" applyAlignment="1" applyProtection="1">
      <alignment horizontal="right"/>
      <protection hidden="1"/>
    </xf>
    <xf numFmtId="0" fontId="29" fillId="3" borderId="15" xfId="7" applyFont="1" applyFill="1" applyBorder="1" applyProtection="1">
      <protection hidden="1"/>
    </xf>
    <xf numFmtId="4" fontId="29" fillId="3" borderId="15" xfId="7" applyNumberFormat="1" applyFont="1" applyFill="1" applyBorder="1" applyAlignment="1" applyProtection="1">
      <alignment horizontal="right"/>
      <protection hidden="1"/>
    </xf>
    <xf numFmtId="4" fontId="29" fillId="3" borderId="18" xfId="7" applyNumberFormat="1" applyFont="1" applyFill="1" applyBorder="1" applyProtection="1">
      <protection hidden="1"/>
    </xf>
    <xf numFmtId="4" fontId="29" fillId="3" borderId="6" xfId="7" applyNumberFormat="1" applyFont="1" applyFill="1" applyBorder="1" applyProtection="1">
      <protection hidden="1"/>
    </xf>
    <xf numFmtId="4" fontId="29" fillId="3" borderId="15" xfId="7" applyNumberFormat="1" applyFont="1" applyFill="1" applyBorder="1" applyProtection="1">
      <protection hidden="1"/>
    </xf>
    <xf numFmtId="4" fontId="29" fillId="0" borderId="15" xfId="7" applyNumberFormat="1" applyFont="1" applyBorder="1" applyAlignment="1" applyProtection="1">
      <alignment horizontal="right"/>
      <protection hidden="1"/>
    </xf>
    <xf numFmtId="4" fontId="29" fillId="0" borderId="6" xfId="7" applyNumberFormat="1" applyFont="1" applyBorder="1" applyProtection="1">
      <protection hidden="1"/>
    </xf>
    <xf numFmtId="0" fontId="31" fillId="0" borderId="0" xfId="10"/>
    <xf numFmtId="0" fontId="29" fillId="5" borderId="12" xfId="10" applyFont="1" applyFill="1" applyBorder="1" applyAlignment="1" applyProtection="1">
      <alignment horizontal="center" vertical="center"/>
      <protection hidden="1"/>
    </xf>
    <xf numFmtId="0" fontId="29" fillId="7" borderId="12" xfId="10" applyFont="1" applyFill="1" applyBorder="1" applyAlignment="1" applyProtection="1">
      <alignment horizontal="center"/>
      <protection hidden="1"/>
    </xf>
    <xf numFmtId="0" fontId="29" fillId="0" borderId="12" xfId="10" applyFont="1" applyBorder="1" applyAlignment="1" applyProtection="1">
      <alignment horizontal="center"/>
      <protection hidden="1"/>
    </xf>
    <xf numFmtId="0" fontId="29" fillId="0" borderId="12" xfId="10" applyFont="1" applyBorder="1" applyAlignment="1" applyProtection="1">
      <alignment horizontal="center"/>
      <protection locked="0"/>
    </xf>
    <xf numFmtId="0" fontId="29" fillId="0" borderId="1" xfId="10" applyFont="1" applyBorder="1" applyAlignment="1" applyProtection="1">
      <alignment horizontal="center" vertical="center"/>
      <protection hidden="1"/>
    </xf>
    <xf numFmtId="166" fontId="38" fillId="5" borderId="5" xfId="10" applyNumberFormat="1" applyFont="1" applyFill="1" applyBorder="1" applyAlignment="1" applyProtection="1">
      <alignment horizontal="center" vertical="center"/>
      <protection hidden="1"/>
    </xf>
    <xf numFmtId="166" fontId="38" fillId="5" borderId="7" xfId="10" applyNumberFormat="1" applyFont="1" applyFill="1" applyBorder="1" applyAlignment="1" applyProtection="1">
      <alignment horizontal="center" vertical="center"/>
      <protection hidden="1"/>
    </xf>
    <xf numFmtId="166" fontId="38" fillId="7" borderId="0" xfId="10" applyNumberFormat="1" applyFont="1" applyFill="1" applyAlignment="1" applyProtection="1">
      <alignment horizontal="center" vertical="center"/>
      <protection hidden="1"/>
    </xf>
    <xf numFmtId="166" fontId="38" fillId="0" borderId="5" xfId="8" applyNumberFormat="1" applyFont="1" applyFill="1" applyBorder="1" applyProtection="1">
      <protection hidden="1"/>
    </xf>
    <xf numFmtId="166" fontId="38" fillId="0" borderId="6" xfId="8" applyNumberFormat="1" applyFont="1" applyFill="1" applyBorder="1" applyProtection="1">
      <protection hidden="1"/>
    </xf>
    <xf numFmtId="166" fontId="38" fillId="0" borderId="7" xfId="8" applyNumberFormat="1" applyFont="1" applyFill="1" applyBorder="1" applyProtection="1">
      <protection hidden="1"/>
    </xf>
    <xf numFmtId="166" fontId="38" fillId="0" borderId="0" xfId="8" applyNumberFormat="1" applyFont="1" applyFill="1" applyBorder="1" applyProtection="1">
      <protection hidden="1"/>
    </xf>
    <xf numFmtId="166" fontId="38" fillId="0" borderId="0" xfId="10" applyNumberFormat="1" applyFont="1" applyProtection="1">
      <protection hidden="1"/>
    </xf>
    <xf numFmtId="166" fontId="38" fillId="0" borderId="6" xfId="10" applyNumberFormat="1" applyFont="1" applyBorder="1" applyProtection="1">
      <protection hidden="1"/>
    </xf>
    <xf numFmtId="166" fontId="38" fillId="0" borderId="7" xfId="10" applyNumberFormat="1" applyFont="1" applyBorder="1" applyProtection="1">
      <protection hidden="1"/>
    </xf>
    <xf numFmtId="166" fontId="38" fillId="0" borderId="0" xfId="8" applyNumberFormat="1" applyFont="1" applyFill="1" applyBorder="1" applyProtection="1">
      <protection locked="0"/>
    </xf>
    <xf numFmtId="166" fontId="38" fillId="0" borderId="0" xfId="10" applyNumberFormat="1" applyFont="1" applyProtection="1">
      <protection locked="0"/>
    </xf>
    <xf numFmtId="166" fontId="38" fillId="0" borderId="16" xfId="10" applyNumberFormat="1" applyFont="1" applyBorder="1" applyProtection="1">
      <protection locked="0"/>
    </xf>
    <xf numFmtId="0" fontId="29" fillId="0" borderId="9" xfId="10" applyFont="1" applyBorder="1" applyAlignment="1" applyProtection="1">
      <alignment horizontal="center" vertical="center"/>
      <protection hidden="1"/>
    </xf>
    <xf numFmtId="166" fontId="38" fillId="5" borderId="11" xfId="10" applyNumberFormat="1" applyFont="1" applyFill="1" applyBorder="1" applyAlignment="1" applyProtection="1">
      <alignment horizontal="center" vertical="center"/>
      <protection hidden="1"/>
    </xf>
    <xf numFmtId="166" fontId="38" fillId="5" borderId="16" xfId="10" applyNumberFormat="1" applyFont="1" applyFill="1" applyBorder="1" applyAlignment="1" applyProtection="1">
      <alignment horizontal="center" vertical="center"/>
      <protection hidden="1"/>
    </xf>
    <xf numFmtId="166" fontId="38" fillId="0" borderId="11" xfId="8" applyNumberFormat="1" applyFont="1" applyFill="1" applyBorder="1" applyProtection="1">
      <protection hidden="1"/>
    </xf>
    <xf numFmtId="166" fontId="38" fillId="0" borderId="16" xfId="8" applyNumberFormat="1" applyFont="1" applyFill="1" applyBorder="1" applyProtection="1">
      <protection hidden="1"/>
    </xf>
    <xf numFmtId="166" fontId="38" fillId="0" borderId="16" xfId="10" applyNumberFormat="1" applyFont="1" applyBorder="1" applyProtection="1">
      <protection hidden="1"/>
    </xf>
    <xf numFmtId="166" fontId="38" fillId="0" borderId="11" xfId="10" applyNumberFormat="1" applyFont="1" applyBorder="1" applyProtection="1">
      <protection hidden="1"/>
    </xf>
    <xf numFmtId="0" fontId="28" fillId="0" borderId="8" xfId="10" applyFont="1" applyBorder="1" applyAlignment="1" applyProtection="1">
      <alignment horizontal="center" vertical="center"/>
      <protection hidden="1"/>
    </xf>
    <xf numFmtId="166" fontId="39" fillId="5" borderId="17" xfId="10" applyNumberFormat="1" applyFont="1" applyFill="1" applyBorder="1" applyAlignment="1" applyProtection="1">
      <alignment horizontal="center" vertical="center"/>
      <protection hidden="1"/>
    </xf>
    <xf numFmtId="166" fontId="39" fillId="5" borderId="18" xfId="10" applyNumberFormat="1" applyFont="1" applyFill="1" applyBorder="1" applyAlignment="1" applyProtection="1">
      <alignment horizontal="center" vertical="center"/>
      <protection hidden="1"/>
    </xf>
    <xf numFmtId="166" fontId="39" fillId="7" borderId="15" xfId="8" applyNumberFormat="1" applyFont="1" applyFill="1" applyBorder="1" applyProtection="1">
      <protection hidden="1"/>
    </xf>
    <xf numFmtId="166" fontId="39" fillId="0" borderId="17" xfId="8" applyNumberFormat="1" applyFont="1" applyFill="1" applyBorder="1" applyProtection="1">
      <protection hidden="1"/>
    </xf>
    <xf numFmtId="166" fontId="39" fillId="0" borderId="15" xfId="8" applyNumberFormat="1" applyFont="1" applyFill="1" applyBorder="1" applyProtection="1">
      <protection hidden="1"/>
    </xf>
    <xf numFmtId="166" fontId="39" fillId="0" borderId="18" xfId="8" applyNumberFormat="1" applyFont="1" applyFill="1" applyBorder="1" applyProtection="1">
      <protection hidden="1"/>
    </xf>
    <xf numFmtId="166" fontId="39" fillId="0" borderId="15" xfId="10" applyNumberFormat="1" applyFont="1" applyBorder="1" applyProtection="1">
      <protection hidden="1"/>
    </xf>
    <xf numFmtId="166" fontId="39" fillId="0" borderId="18" xfId="10" applyNumberFormat="1" applyFont="1" applyBorder="1" applyProtection="1">
      <protection hidden="1"/>
    </xf>
    <xf numFmtId="166" fontId="39" fillId="0" borderId="15" xfId="8" applyNumberFormat="1" applyFont="1" applyFill="1" applyBorder="1" applyProtection="1">
      <protection locked="0"/>
    </xf>
    <xf numFmtId="10" fontId="31" fillId="0" borderId="0" xfId="3" applyNumberFormat="1" applyFont="1"/>
    <xf numFmtId="166" fontId="31" fillId="0" borderId="0" xfId="10" applyNumberFormat="1"/>
    <xf numFmtId="43" fontId="31" fillId="0" borderId="0" xfId="10" applyNumberFormat="1"/>
    <xf numFmtId="0" fontId="40" fillId="0" borderId="0" xfId="0" applyFont="1"/>
    <xf numFmtId="2" fontId="31" fillId="0" borderId="0" xfId="10" applyNumberFormat="1"/>
    <xf numFmtId="9" fontId="31" fillId="0" borderId="0" xfId="3" applyFont="1"/>
    <xf numFmtId="0" fontId="29" fillId="8" borderId="0" xfId="7" applyFont="1" applyFill="1" applyProtection="1">
      <protection hidden="1"/>
    </xf>
    <xf numFmtId="4" fontId="29" fillId="8" borderId="0" xfId="7" applyNumberFormat="1" applyFont="1" applyFill="1" applyProtection="1">
      <protection hidden="1"/>
    </xf>
    <xf numFmtId="4" fontId="29" fillId="8" borderId="16" xfId="7" applyNumberFormat="1" applyFont="1" applyFill="1" applyBorder="1" applyProtection="1">
      <protection hidden="1"/>
    </xf>
    <xf numFmtId="3" fontId="31" fillId="0" borderId="0" xfId="10" applyNumberFormat="1"/>
    <xf numFmtId="0" fontId="42" fillId="8" borderId="0" xfId="7" applyFont="1" applyFill="1" applyProtection="1">
      <protection hidden="1"/>
    </xf>
    <xf numFmtId="4" fontId="42" fillId="8" borderId="0" xfId="7" applyNumberFormat="1" applyFont="1" applyFill="1" applyProtection="1">
      <protection hidden="1"/>
    </xf>
    <xf numFmtId="4" fontId="42" fillId="8" borderId="16" xfId="7" applyNumberFormat="1" applyFont="1" applyFill="1" applyBorder="1" applyProtection="1">
      <protection hidden="1"/>
    </xf>
    <xf numFmtId="0" fontId="29" fillId="8" borderId="15" xfId="7" applyFont="1" applyFill="1" applyBorder="1" applyProtection="1">
      <protection hidden="1"/>
    </xf>
    <xf numFmtId="4" fontId="29" fillId="8" borderId="15" xfId="7" applyNumberFormat="1" applyFont="1" applyFill="1" applyBorder="1" applyProtection="1">
      <protection hidden="1"/>
    </xf>
    <xf numFmtId="4" fontId="29" fillId="8" borderId="18" xfId="7" applyNumberFormat="1" applyFont="1" applyFill="1" applyBorder="1" applyProtection="1">
      <protection hidden="1"/>
    </xf>
    <xf numFmtId="166" fontId="31" fillId="0" borderId="0" xfId="1" applyNumberFormat="1" applyFont="1"/>
    <xf numFmtId="0" fontId="29" fillId="8" borderId="6" xfId="7" applyFont="1" applyFill="1" applyBorder="1" applyProtection="1">
      <protection hidden="1"/>
    </xf>
    <xf numFmtId="4" fontId="29" fillId="8" borderId="6" xfId="7" applyNumberFormat="1" applyFont="1" applyFill="1" applyBorder="1" applyProtection="1">
      <protection hidden="1"/>
    </xf>
    <xf numFmtId="4" fontId="29" fillId="8" borderId="7" xfId="7" applyNumberFormat="1" applyFont="1" applyFill="1" applyBorder="1" applyProtection="1">
      <protection hidden="1"/>
    </xf>
    <xf numFmtId="4" fontId="6" fillId="0" borderId="19" xfId="0" applyNumberFormat="1" applyFont="1" applyBorder="1" applyAlignment="1">
      <alignment horizontal="center" vertical="center" wrapText="1"/>
    </xf>
    <xf numFmtId="4" fontId="6" fillId="0" borderId="20" xfId="0" applyNumberFormat="1" applyFont="1" applyBorder="1" applyAlignment="1">
      <alignment horizontal="center" vertical="center" wrapText="1"/>
    </xf>
    <xf numFmtId="3" fontId="29" fillId="8" borderId="0" xfId="7" applyNumberFormat="1" applyFont="1" applyFill="1" applyProtection="1">
      <protection hidden="1"/>
    </xf>
    <xf numFmtId="3" fontId="29" fillId="8" borderId="16" xfId="7" applyNumberFormat="1" applyFont="1" applyFill="1" applyBorder="1" applyProtection="1">
      <protection hidden="1"/>
    </xf>
    <xf numFmtId="3" fontId="42" fillId="8" borderId="0" xfId="7" applyNumberFormat="1" applyFont="1" applyFill="1" applyProtection="1">
      <protection hidden="1"/>
    </xf>
    <xf numFmtId="3" fontId="42" fillId="8" borderId="16" xfId="7" applyNumberFormat="1" applyFont="1" applyFill="1" applyBorder="1" applyProtection="1">
      <protection hidden="1"/>
    </xf>
    <xf numFmtId="4" fontId="31" fillId="0" borderId="0" xfId="10" applyNumberFormat="1"/>
    <xf numFmtId="4" fontId="25" fillId="0" borderId="0" xfId="0" applyNumberFormat="1" applyFont="1" applyAlignment="1">
      <alignment vertical="center"/>
    </xf>
    <xf numFmtId="2" fontId="25" fillId="0" borderId="10" xfId="6" applyNumberFormat="1" applyFont="1" applyBorder="1" applyAlignment="1">
      <alignment horizontal="right" vertical="center"/>
    </xf>
    <xf numFmtId="0" fontId="27" fillId="0" borderId="1" xfId="6" applyFont="1" applyBorder="1" applyAlignment="1">
      <alignment horizontal="center" vertical="center"/>
    </xf>
    <xf numFmtId="0" fontId="25" fillId="0" borderId="1" xfId="6" applyFont="1" applyBorder="1" applyAlignment="1">
      <alignment vertical="center"/>
    </xf>
    <xf numFmtId="0" fontId="25" fillId="0" borderId="1" xfId="6" applyFont="1" applyBorder="1" applyAlignment="1">
      <alignment horizontal="center" vertical="center" wrapText="1"/>
    </xf>
    <xf numFmtId="4" fontId="14" fillId="0" borderId="0" xfId="0" applyNumberFormat="1" applyFont="1" applyAlignment="1">
      <alignment vertical="center"/>
    </xf>
    <xf numFmtId="4" fontId="19" fillId="0" borderId="10" xfId="0" applyNumberFormat="1" applyFont="1" applyBorder="1" applyAlignment="1">
      <alignment vertical="center"/>
    </xf>
    <xf numFmtId="0" fontId="1" fillId="0" borderId="0" xfId="0" quotePrefix="1" applyFont="1"/>
    <xf numFmtId="2" fontId="22" fillId="0" borderId="10" xfId="0" applyNumberFormat="1" applyFont="1" applyBorder="1" applyAlignment="1">
      <alignment vertical="center"/>
    </xf>
    <xf numFmtId="0" fontId="15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43" fontId="15" fillId="0" borderId="24" xfId="4" applyFont="1" applyFill="1" applyBorder="1" applyAlignment="1">
      <alignment vertical="center"/>
    </xf>
    <xf numFmtId="2" fontId="22" fillId="0" borderId="26" xfId="0" applyNumberFormat="1" applyFont="1" applyBorder="1" applyAlignment="1">
      <alignment vertical="center"/>
    </xf>
    <xf numFmtId="2" fontId="14" fillId="0" borderId="26" xfId="0" applyNumberFormat="1" applyFont="1" applyBorder="1" applyAlignment="1">
      <alignment vertical="center"/>
    </xf>
    <xf numFmtId="4" fontId="14" fillId="0" borderId="26" xfId="0" applyNumberFormat="1" applyFont="1" applyBorder="1" applyAlignment="1">
      <alignment vertical="center"/>
    </xf>
    <xf numFmtId="43" fontId="15" fillId="0" borderId="27" xfId="4" applyFont="1" applyFill="1" applyBorder="1" applyAlignment="1">
      <alignment vertical="center"/>
    </xf>
    <xf numFmtId="0" fontId="15" fillId="0" borderId="28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44" fillId="0" borderId="10" xfId="0" quotePrefix="1" applyFont="1" applyBorder="1" applyAlignment="1">
      <alignment vertical="center"/>
    </xf>
    <xf numFmtId="4" fontId="45" fillId="0" borderId="10" xfId="0" applyNumberFormat="1" applyFont="1" applyBorder="1" applyAlignment="1">
      <alignment vertical="center"/>
    </xf>
    <xf numFmtId="0" fontId="9" fillId="0" borderId="10" xfId="0" applyFont="1" applyBorder="1"/>
    <xf numFmtId="0" fontId="47" fillId="0" borderId="0" xfId="11"/>
    <xf numFmtId="0" fontId="11" fillId="0" borderId="2" xfId="11" applyFont="1" applyBorder="1" applyAlignment="1">
      <alignment horizontal="center" vertical="center" wrapText="1"/>
    </xf>
    <xf numFmtId="0" fontId="11" fillId="0" borderId="4" xfId="11" applyFont="1" applyBorder="1" applyAlignment="1">
      <alignment horizontal="center" vertical="center" wrapText="1"/>
    </xf>
    <xf numFmtId="2" fontId="11" fillId="9" borderId="10" xfId="11" applyNumberFormat="1" applyFont="1" applyFill="1" applyBorder="1" applyAlignment="1">
      <alignment vertical="center"/>
    </xf>
    <xf numFmtId="0" fontId="11" fillId="0" borderId="10" xfId="11" applyFont="1" applyBorder="1" applyAlignment="1">
      <alignment horizontal="center" vertical="center" wrapText="1"/>
    </xf>
    <xf numFmtId="2" fontId="11" fillId="10" borderId="10" xfId="11" applyNumberFormat="1" applyFont="1" applyFill="1" applyBorder="1" applyAlignment="1">
      <alignment vertical="center"/>
    </xf>
    <xf numFmtId="2" fontId="11" fillId="11" borderId="10" xfId="11" applyNumberFormat="1" applyFont="1" applyFill="1" applyBorder="1" applyAlignment="1">
      <alignment vertical="center"/>
    </xf>
    <xf numFmtId="2" fontId="11" fillId="0" borderId="10" xfId="11" applyNumberFormat="1" applyFont="1" applyBorder="1" applyAlignment="1">
      <alignment horizontal="center" vertical="center" wrapText="1"/>
    </xf>
    <xf numFmtId="0" fontId="47" fillId="0" borderId="10" xfId="11" applyBorder="1"/>
    <xf numFmtId="0" fontId="47" fillId="0" borderId="2" xfId="11" applyBorder="1"/>
    <xf numFmtId="2" fontId="47" fillId="0" borderId="2" xfId="11" applyNumberFormat="1" applyBorder="1"/>
    <xf numFmtId="2" fontId="47" fillId="0" borderId="10" xfId="11" applyNumberFormat="1" applyBorder="1"/>
    <xf numFmtId="0" fontId="47" fillId="0" borderId="4" xfId="11" applyBorder="1"/>
    <xf numFmtId="2" fontId="47" fillId="0" borderId="4" xfId="11" applyNumberFormat="1" applyBorder="1"/>
    <xf numFmtId="167" fontId="47" fillId="0" borderId="4" xfId="11" applyNumberFormat="1" applyBorder="1"/>
    <xf numFmtId="2" fontId="47" fillId="0" borderId="3" xfId="11" applyNumberFormat="1" applyBorder="1"/>
    <xf numFmtId="2" fontId="47" fillId="9" borderId="10" xfId="11" applyNumberFormat="1" applyFill="1" applyBorder="1"/>
    <xf numFmtId="2" fontId="9" fillId="9" borderId="10" xfId="11" applyNumberFormat="1" applyFont="1" applyFill="1" applyBorder="1"/>
    <xf numFmtId="167" fontId="47" fillId="0" borderId="10" xfId="11" applyNumberFormat="1" applyBorder="1"/>
    <xf numFmtId="2" fontId="47" fillId="0" borderId="0" xfId="11" applyNumberFormat="1"/>
    <xf numFmtId="0" fontId="11" fillId="9" borderId="10" xfId="11" applyFont="1" applyFill="1" applyBorder="1"/>
    <xf numFmtId="2" fontId="11" fillId="9" borderId="2" xfId="11" applyNumberFormat="1" applyFont="1" applyFill="1" applyBorder="1"/>
    <xf numFmtId="2" fontId="11" fillId="9" borderId="10" xfId="11" applyNumberFormat="1" applyFont="1" applyFill="1" applyBorder="1"/>
    <xf numFmtId="0" fontId="48" fillId="12" borderId="0" xfId="11" applyFont="1" applyFill="1" applyAlignment="1">
      <alignment horizontal="center"/>
    </xf>
    <xf numFmtId="0" fontId="49" fillId="13" borderId="0" xfId="11" applyFont="1" applyFill="1" applyAlignment="1" applyProtection="1">
      <alignment horizontal="center" vertical="center"/>
      <protection hidden="1"/>
    </xf>
    <xf numFmtId="0" fontId="50" fillId="14" borderId="0" xfId="11" applyFont="1" applyFill="1" applyAlignment="1" applyProtection="1">
      <alignment horizontal="center" vertical="center" wrapText="1"/>
      <protection hidden="1"/>
    </xf>
    <xf numFmtId="0" fontId="50" fillId="14" borderId="0" xfId="11" applyFont="1" applyFill="1" applyAlignment="1" applyProtection="1">
      <alignment horizontal="center" vertical="center"/>
      <protection hidden="1"/>
    </xf>
    <xf numFmtId="0" fontId="47" fillId="14" borderId="38" xfId="11" applyFill="1" applyBorder="1" applyAlignment="1">
      <alignment horizontal="center" vertical="center"/>
    </xf>
    <xf numFmtId="0" fontId="47" fillId="14" borderId="0" xfId="11" applyFill="1" applyAlignment="1">
      <alignment horizontal="center" vertical="center"/>
    </xf>
    <xf numFmtId="0" fontId="12" fillId="15" borderId="38" xfId="11" applyFont="1" applyFill="1" applyBorder="1" applyAlignment="1">
      <alignment horizontal="center" vertical="center"/>
    </xf>
    <xf numFmtId="0" fontId="12" fillId="15" borderId="0" xfId="11" applyFont="1" applyFill="1" applyAlignment="1">
      <alignment horizontal="center" vertical="center"/>
    </xf>
    <xf numFmtId="2" fontId="12" fillId="18" borderId="38" xfId="11" applyNumberFormat="1" applyFont="1" applyFill="1" applyBorder="1" applyAlignment="1">
      <alignment horizontal="center" vertical="center"/>
    </xf>
    <xf numFmtId="2" fontId="12" fillId="18" borderId="0" xfId="11" applyNumberFormat="1" applyFont="1" applyFill="1" applyAlignment="1">
      <alignment horizontal="center" vertical="center"/>
    </xf>
    <xf numFmtId="43" fontId="0" fillId="0" borderId="0" xfId="12" applyFont="1"/>
    <xf numFmtId="167" fontId="12" fillId="18" borderId="0" xfId="11" applyNumberFormat="1" applyFont="1" applyFill="1" applyAlignment="1">
      <alignment horizontal="center" vertical="center"/>
    </xf>
    <xf numFmtId="0" fontId="12" fillId="18" borderId="0" xfId="11" applyFont="1" applyFill="1" applyAlignment="1">
      <alignment horizontal="center" vertical="center"/>
    </xf>
    <xf numFmtId="0" fontId="49" fillId="19" borderId="0" xfId="11" applyFont="1" applyFill="1" applyAlignment="1" applyProtection="1">
      <alignment horizontal="center" vertical="center"/>
      <protection hidden="1"/>
    </xf>
    <xf numFmtId="0" fontId="12" fillId="14" borderId="38" xfId="11" applyFont="1" applyFill="1" applyBorder="1" applyAlignment="1">
      <alignment horizontal="center" vertical="center"/>
    </xf>
    <xf numFmtId="0" fontId="12" fillId="14" borderId="0" xfId="11" applyFont="1" applyFill="1" applyAlignment="1">
      <alignment horizontal="center" vertical="center"/>
    </xf>
    <xf numFmtId="0" fontId="12" fillId="0" borderId="0" xfId="11" applyFont="1"/>
    <xf numFmtId="168" fontId="12" fillId="0" borderId="0" xfId="11" applyNumberFormat="1" applyFont="1"/>
    <xf numFmtId="0" fontId="12" fillId="0" borderId="0" xfId="11" applyFont="1" applyAlignment="1">
      <alignment horizontal="right"/>
    </xf>
    <xf numFmtId="3" fontId="12" fillId="0" borderId="0" xfId="11" applyNumberFormat="1" applyFont="1"/>
    <xf numFmtId="0" fontId="12" fillId="0" borderId="0" xfId="11" applyFont="1" applyProtection="1">
      <protection locked="0"/>
    </xf>
    <xf numFmtId="0" fontId="3" fillId="17" borderId="25" xfId="11" applyFont="1" applyFill="1" applyBorder="1" applyAlignment="1">
      <alignment horizontal="center" vertical="center"/>
    </xf>
    <xf numFmtId="0" fontId="3" fillId="17" borderId="13" xfId="11" applyFont="1" applyFill="1" applyBorder="1" applyAlignment="1">
      <alignment horizontal="center" vertical="center" wrapText="1"/>
    </xf>
    <xf numFmtId="0" fontId="3" fillId="17" borderId="53" xfId="11" applyFont="1" applyFill="1" applyBorder="1" applyAlignment="1">
      <alignment horizontal="center" vertical="center" wrapText="1"/>
    </xf>
    <xf numFmtId="0" fontId="5" fillId="0" borderId="25" xfId="11" applyFont="1" applyBorder="1" applyAlignment="1">
      <alignment horizontal="center"/>
    </xf>
    <xf numFmtId="0" fontId="5" fillId="11" borderId="13" xfId="11" applyFont="1" applyFill="1" applyBorder="1" applyAlignment="1">
      <alignment horizontal="center"/>
    </xf>
    <xf numFmtId="0" fontId="5" fillId="0" borderId="13" xfId="11" applyFont="1" applyBorder="1" applyAlignment="1">
      <alignment horizontal="center"/>
    </xf>
    <xf numFmtId="2" fontId="5" fillId="0" borderId="13" xfId="11" applyNumberFormat="1" applyFont="1" applyBorder="1" applyAlignment="1">
      <alignment horizontal="center"/>
    </xf>
    <xf numFmtId="4" fontId="5" fillId="11" borderId="13" xfId="11" applyNumberFormat="1" applyFont="1" applyFill="1" applyBorder="1" applyAlignment="1">
      <alignment horizontal="center"/>
    </xf>
    <xf numFmtId="4" fontId="5" fillId="0" borderId="13" xfId="11" applyNumberFormat="1" applyFont="1" applyBorder="1" applyAlignment="1">
      <alignment horizontal="center"/>
    </xf>
    <xf numFmtId="4" fontId="47" fillId="0" borderId="53" xfId="11" applyNumberFormat="1" applyBorder="1" applyAlignment="1">
      <alignment horizontal="center"/>
    </xf>
    <xf numFmtId="0" fontId="12" fillId="23" borderId="10" xfId="11" applyFont="1" applyFill="1" applyBorder="1" applyAlignment="1">
      <alignment horizontal="center" vertical="center" wrapText="1"/>
    </xf>
    <xf numFmtId="0" fontId="5" fillId="23" borderId="25" xfId="11" applyFont="1" applyFill="1" applyBorder="1" applyAlignment="1">
      <alignment horizontal="center" vertical="center" wrapText="1"/>
    </xf>
    <xf numFmtId="2" fontId="12" fillId="23" borderId="10" xfId="11" applyNumberFormat="1" applyFont="1" applyFill="1" applyBorder="1" applyAlignment="1" applyProtection="1">
      <alignment horizontal="center" vertical="center"/>
      <protection locked="0"/>
    </xf>
    <xf numFmtId="1" fontId="12" fillId="23" borderId="10" xfId="11" applyNumberFormat="1" applyFont="1" applyFill="1" applyBorder="1" applyAlignment="1" applyProtection="1">
      <alignment horizontal="center" vertical="center"/>
      <protection locked="0"/>
    </xf>
    <xf numFmtId="0" fontId="13" fillId="23" borderId="10" xfId="11" applyFont="1" applyFill="1" applyBorder="1" applyAlignment="1">
      <alignment horizontal="left" vertical="center"/>
    </xf>
    <xf numFmtId="2" fontId="53" fillId="23" borderId="10" xfId="11" applyNumberFormat="1" applyFont="1" applyFill="1" applyBorder="1" applyAlignment="1">
      <alignment vertical="center"/>
    </xf>
    <xf numFmtId="0" fontId="5" fillId="9" borderId="25" xfId="11" applyFont="1" applyFill="1" applyBorder="1" applyAlignment="1">
      <alignment horizontal="center" vertical="center" wrapText="1"/>
    </xf>
    <xf numFmtId="0" fontId="5" fillId="9" borderId="13" xfId="11" applyFont="1" applyFill="1" applyBorder="1" applyAlignment="1">
      <alignment horizontal="center"/>
    </xf>
    <xf numFmtId="2" fontId="5" fillId="9" borderId="13" xfId="11" applyNumberFormat="1" applyFont="1" applyFill="1" applyBorder="1" applyAlignment="1">
      <alignment horizontal="center"/>
    </xf>
    <xf numFmtId="4" fontId="5" fillId="9" borderId="13" xfId="11" applyNumberFormat="1" applyFont="1" applyFill="1" applyBorder="1" applyAlignment="1">
      <alignment horizontal="center"/>
    </xf>
    <xf numFmtId="4" fontId="47" fillId="9" borderId="53" xfId="11" applyNumberFormat="1" applyFill="1" applyBorder="1" applyAlignment="1">
      <alignment horizontal="center"/>
    </xf>
    <xf numFmtId="0" fontId="13" fillId="0" borderId="0" xfId="11" applyFont="1" applyAlignment="1" applyProtection="1">
      <alignment vertical="center"/>
      <protection locked="0"/>
    </xf>
    <xf numFmtId="0" fontId="12" fillId="0" borderId="0" xfId="11" applyFont="1" applyAlignment="1" applyProtection="1">
      <alignment horizontal="center" vertical="center" wrapText="1"/>
      <protection locked="0"/>
    </xf>
    <xf numFmtId="0" fontId="12" fillId="0" borderId="10" xfId="11" applyFont="1" applyBorder="1" applyAlignment="1">
      <alignment horizontal="center" vertical="center" wrapText="1"/>
    </xf>
    <xf numFmtId="2" fontId="12" fillId="0" borderId="0" xfId="11" applyNumberFormat="1" applyFont="1" applyAlignment="1" applyProtection="1">
      <alignment horizontal="center" vertical="center"/>
      <protection locked="0"/>
    </xf>
    <xf numFmtId="2" fontId="12" fillId="0" borderId="10" xfId="11" applyNumberFormat="1" applyFont="1" applyBorder="1" applyAlignment="1" applyProtection="1">
      <alignment horizontal="center" vertical="center"/>
      <protection locked="0"/>
    </xf>
    <xf numFmtId="2" fontId="54" fillId="0" borderId="10" xfId="11" applyNumberFormat="1" applyFont="1" applyBorder="1" applyAlignment="1" applyProtection="1">
      <alignment horizontal="center" vertical="center"/>
      <protection locked="0"/>
    </xf>
    <xf numFmtId="1" fontId="12" fillId="0" borderId="10" xfId="11" applyNumberFormat="1" applyFont="1" applyBorder="1" applyAlignment="1" applyProtection="1">
      <alignment horizontal="center" vertical="center"/>
      <protection locked="0"/>
    </xf>
    <xf numFmtId="0" fontId="13" fillId="0" borderId="10" xfId="11" applyFont="1" applyBorder="1" applyAlignment="1">
      <alignment horizontal="left" vertical="center"/>
    </xf>
    <xf numFmtId="2" fontId="53" fillId="0" borderId="10" xfId="11" applyNumberFormat="1" applyFont="1" applyBorder="1" applyAlignment="1">
      <alignment vertical="center"/>
    </xf>
    <xf numFmtId="0" fontId="5" fillId="0" borderId="0" xfId="11" applyFont="1"/>
    <xf numFmtId="0" fontId="47" fillId="0" borderId="0" xfId="11" quotePrefix="1"/>
    <xf numFmtId="14" fontId="47" fillId="0" borderId="0" xfId="11" applyNumberFormat="1"/>
    <xf numFmtId="2" fontId="25" fillId="0" borderId="0" xfId="0" applyNumberFormat="1" applyFont="1" applyAlignment="1">
      <alignment vertical="center"/>
    </xf>
    <xf numFmtId="4" fontId="15" fillId="0" borderId="0" xfId="4" applyNumberFormat="1" applyFont="1" applyBorder="1" applyAlignment="1">
      <alignment vertical="center"/>
    </xf>
    <xf numFmtId="0" fontId="9" fillId="0" borderId="10" xfId="0" quotePrefix="1" applyFont="1" applyBorder="1"/>
    <xf numFmtId="0" fontId="17" fillId="0" borderId="0" xfId="0" quotePrefix="1" applyFont="1"/>
    <xf numFmtId="43" fontId="0" fillId="0" borderId="0" xfId="12" quotePrefix="1" applyFont="1" applyAlignment="1">
      <alignment horizontal="right"/>
    </xf>
    <xf numFmtId="43" fontId="0" fillId="0" borderId="0" xfId="12" applyFont="1" applyAlignment="1">
      <alignment horizontal="right"/>
    </xf>
    <xf numFmtId="0" fontId="25" fillId="0" borderId="0" xfId="0" applyFont="1" applyAlignment="1">
      <alignment horizontal="center" vertical="center"/>
    </xf>
    <xf numFmtId="2" fontId="25" fillId="24" borderId="0" xfId="0" applyNumberFormat="1" applyFont="1" applyFill="1" applyAlignment="1">
      <alignment vertical="center"/>
    </xf>
    <xf numFmtId="0" fontId="25" fillId="9" borderId="0" xfId="0" quotePrefix="1" applyFont="1" applyFill="1" applyAlignment="1">
      <alignment vertical="center"/>
    </xf>
    <xf numFmtId="0" fontId="25" fillId="24" borderId="0" xfId="0" quotePrefix="1" applyFont="1" applyFill="1" applyAlignment="1">
      <alignment vertical="center"/>
    </xf>
    <xf numFmtId="169" fontId="25" fillId="9" borderId="0" xfId="0" applyNumberFormat="1" applyFont="1" applyFill="1" applyAlignment="1">
      <alignment vertical="center"/>
    </xf>
    <xf numFmtId="0" fontId="25" fillId="11" borderId="0" xfId="0" quotePrefix="1" applyFont="1" applyFill="1" applyAlignment="1">
      <alignment vertical="center"/>
    </xf>
    <xf numFmtId="169" fontId="25" fillId="11" borderId="0" xfId="0" applyNumberFormat="1" applyFont="1" applyFill="1" applyAlignment="1">
      <alignment vertical="center"/>
    </xf>
    <xf numFmtId="2" fontId="17" fillId="0" borderId="10" xfId="0" applyNumberFormat="1" applyFont="1" applyBorder="1"/>
    <xf numFmtId="0" fontId="0" fillId="9" borderId="0" xfId="0" applyFill="1"/>
    <xf numFmtId="2" fontId="64" fillId="0" borderId="10" xfId="0" applyNumberFormat="1" applyFont="1" applyBorder="1" applyAlignment="1">
      <alignment vertical="center"/>
    </xf>
    <xf numFmtId="2" fontId="64" fillId="0" borderId="26" xfId="0" applyNumberFormat="1" applyFont="1" applyBorder="1" applyAlignment="1">
      <alignment vertical="center"/>
    </xf>
    <xf numFmtId="0" fontId="17" fillId="0" borderId="10" xfId="0" applyFont="1" applyBorder="1"/>
    <xf numFmtId="0" fontId="12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2" fillId="0" borderId="28" xfId="0" applyFont="1" applyBorder="1"/>
    <xf numFmtId="0" fontId="12" fillId="0" borderId="29" xfId="0" applyFont="1" applyBorder="1"/>
    <xf numFmtId="0" fontId="17" fillId="0" borderId="26" xfId="0" applyFont="1" applyBorder="1"/>
    <xf numFmtId="2" fontId="17" fillId="0" borderId="26" xfId="0" applyNumberFormat="1" applyFont="1" applyBorder="1"/>
    <xf numFmtId="0" fontId="17" fillId="0" borderId="10" xfId="0" applyFont="1" applyBorder="1" applyAlignment="1">
      <alignment vertical="center"/>
    </xf>
    <xf numFmtId="2" fontId="17" fillId="0" borderId="10" xfId="0" applyNumberFormat="1" applyFont="1" applyBorder="1" applyAlignment="1">
      <alignment vertical="center"/>
    </xf>
    <xf numFmtId="0" fontId="13" fillId="0" borderId="21" xfId="0" applyFont="1" applyBorder="1"/>
    <xf numFmtId="0" fontId="19" fillId="0" borderId="22" xfId="0" applyFont="1" applyBorder="1"/>
    <xf numFmtId="0" fontId="19" fillId="0" borderId="23" xfId="0" applyFont="1" applyBorder="1"/>
    <xf numFmtId="2" fontId="19" fillId="0" borderId="24" xfId="0" applyNumberFormat="1" applyFont="1" applyBorder="1" applyAlignment="1">
      <alignment vertical="center"/>
    </xf>
    <xf numFmtId="2" fontId="19" fillId="0" borderId="24" xfId="0" applyNumberFormat="1" applyFont="1" applyBorder="1"/>
    <xf numFmtId="2" fontId="19" fillId="0" borderId="27" xfId="0" applyNumberFormat="1" applyFont="1" applyBorder="1"/>
    <xf numFmtId="0" fontId="12" fillId="0" borderId="28" xfId="0" applyFont="1" applyBorder="1" applyAlignment="1">
      <alignment vertical="center" wrapText="1"/>
    </xf>
    <xf numFmtId="2" fontId="56" fillId="0" borderId="10" xfId="0" applyNumberFormat="1" applyFont="1" applyBorder="1" applyAlignment="1">
      <alignment vertical="center"/>
    </xf>
    <xf numFmtId="2" fontId="56" fillId="0" borderId="26" xfId="0" applyNumberFormat="1" applyFont="1" applyBorder="1" applyAlignment="1">
      <alignment vertical="center"/>
    </xf>
    <xf numFmtId="4" fontId="5" fillId="0" borderId="60" xfId="0" applyNumberFormat="1" applyFont="1" applyBorder="1" applyAlignment="1">
      <alignment vertical="center"/>
    </xf>
    <xf numFmtId="4" fontId="45" fillId="9" borderId="10" xfId="0" applyNumberFormat="1" applyFont="1" applyFill="1" applyBorder="1" applyAlignment="1">
      <alignment vertical="center"/>
    </xf>
    <xf numFmtId="0" fontId="12" fillId="0" borderId="61" xfId="0" applyFont="1" applyBorder="1" applyAlignment="1">
      <alignment horizontal="center" vertical="center"/>
    </xf>
    <xf numFmtId="2" fontId="12" fillId="0" borderId="61" xfId="0" applyNumberFormat="1" applyFont="1" applyBorder="1" applyAlignment="1">
      <alignment horizontal="right" vertical="center"/>
    </xf>
    <xf numFmtId="0" fontId="12" fillId="0" borderId="62" xfId="0" applyFont="1" applyBorder="1" applyAlignment="1">
      <alignment horizontal="center" vertical="center"/>
    </xf>
    <xf numFmtId="2" fontId="12" fillId="0" borderId="62" xfId="0" applyNumberFormat="1" applyFont="1" applyBorder="1" applyAlignment="1">
      <alignment horizontal="right" vertical="center"/>
    </xf>
    <xf numFmtId="0" fontId="12" fillId="0" borderId="63" xfId="0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right" vertical="center"/>
    </xf>
    <xf numFmtId="0" fontId="12" fillId="0" borderId="64" xfId="0" applyFont="1" applyBorder="1" applyAlignment="1">
      <alignment horizontal="center" vertical="center"/>
    </xf>
    <xf numFmtId="2" fontId="12" fillId="0" borderId="64" xfId="0" applyNumberFormat="1" applyFont="1" applyBorder="1" applyAlignment="1">
      <alignment horizontal="right" vertical="center"/>
    </xf>
    <xf numFmtId="0" fontId="65" fillId="0" borderId="0" xfId="0" applyFont="1"/>
    <xf numFmtId="0" fontId="12" fillId="0" borderId="0" xfId="0" applyFont="1" applyAlignment="1">
      <alignment horizontal="right"/>
    </xf>
    <xf numFmtId="0" fontId="12" fillId="0" borderId="65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25" fillId="0" borderId="10" xfId="0" applyFont="1" applyBorder="1"/>
    <xf numFmtId="0" fontId="66" fillId="0" borderId="0" xfId="0" quotePrefix="1" applyFont="1" applyAlignment="1">
      <alignment vertical="center"/>
    </xf>
    <xf numFmtId="0" fontId="25" fillId="25" borderId="0" xfId="0" applyFont="1" applyFill="1"/>
    <xf numFmtId="0" fontId="15" fillId="0" borderId="10" xfId="32" applyFont="1" applyBorder="1" applyAlignment="1">
      <alignment horizontal="center" vertical="center"/>
    </xf>
    <xf numFmtId="2" fontId="12" fillId="0" borderId="10" xfId="32" applyNumberFormat="1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2" fontId="25" fillId="0" borderId="61" xfId="0" applyNumberFormat="1" applyFont="1" applyBorder="1" applyAlignment="1">
      <alignment horizontal="right" vertical="center"/>
    </xf>
    <xf numFmtId="0" fontId="25" fillId="0" borderId="62" xfId="0" applyFont="1" applyBorder="1" applyAlignment="1">
      <alignment horizontal="center" vertical="center"/>
    </xf>
    <xf numFmtId="2" fontId="25" fillId="0" borderId="62" xfId="0" applyNumberFormat="1" applyFont="1" applyBorder="1" applyAlignment="1">
      <alignment horizontal="right" vertical="center"/>
    </xf>
    <xf numFmtId="0" fontId="25" fillId="0" borderId="63" xfId="0" applyFont="1" applyBorder="1" applyAlignment="1">
      <alignment horizontal="center" vertical="center"/>
    </xf>
    <xf numFmtId="2" fontId="25" fillId="0" borderId="63" xfId="0" applyNumberFormat="1" applyFont="1" applyBorder="1" applyAlignment="1">
      <alignment horizontal="right" vertical="center"/>
    </xf>
    <xf numFmtId="0" fontId="25" fillId="0" borderId="64" xfId="0" applyFont="1" applyBorder="1" applyAlignment="1">
      <alignment horizontal="center" vertical="center"/>
    </xf>
    <xf numFmtId="2" fontId="25" fillId="0" borderId="64" xfId="0" applyNumberFormat="1" applyFont="1" applyBorder="1" applyAlignment="1">
      <alignment horizontal="right" vertical="center"/>
    </xf>
    <xf numFmtId="2" fontId="25" fillId="0" borderId="10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vertical="center"/>
    </xf>
    <xf numFmtId="0" fontId="11" fillId="0" borderId="10" xfId="11" applyFont="1" applyBorder="1" applyAlignment="1">
      <alignment horizontal="center" vertical="center"/>
    </xf>
    <xf numFmtId="0" fontId="11" fillId="9" borderId="2" xfId="11" applyFont="1" applyFill="1" applyBorder="1" applyAlignment="1">
      <alignment horizontal="center"/>
    </xf>
    <xf numFmtId="0" fontId="11" fillId="9" borderId="3" xfId="11" applyFont="1" applyFill="1" applyBorder="1" applyAlignment="1">
      <alignment horizontal="center"/>
    </xf>
    <xf numFmtId="0" fontId="11" fillId="9" borderId="4" xfId="11" applyFont="1" applyFill="1" applyBorder="1" applyAlignment="1">
      <alignment horizontal="center"/>
    </xf>
    <xf numFmtId="0" fontId="11" fillId="10" borderId="2" xfId="11" applyFont="1" applyFill="1" applyBorder="1" applyAlignment="1">
      <alignment horizontal="center"/>
    </xf>
    <xf numFmtId="0" fontId="11" fillId="10" borderId="3" xfId="11" applyFont="1" applyFill="1" applyBorder="1" applyAlignment="1">
      <alignment horizontal="center"/>
    </xf>
    <xf numFmtId="0" fontId="11" fillId="10" borderId="4" xfId="11" applyFont="1" applyFill="1" applyBorder="1" applyAlignment="1">
      <alignment horizontal="center"/>
    </xf>
    <xf numFmtId="0" fontId="11" fillId="11" borderId="2" xfId="11" applyFont="1" applyFill="1" applyBorder="1" applyAlignment="1">
      <alignment horizontal="center"/>
    </xf>
    <xf numFmtId="0" fontId="11" fillId="11" borderId="3" xfId="11" applyFont="1" applyFill="1" applyBorder="1" applyAlignment="1">
      <alignment horizontal="center"/>
    </xf>
    <xf numFmtId="0" fontId="11" fillId="11" borderId="4" xfId="11" applyFont="1" applyFill="1" applyBorder="1" applyAlignment="1">
      <alignment horizontal="center"/>
    </xf>
    <xf numFmtId="0" fontId="11" fillId="0" borderId="3" xfId="1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5" fillId="0" borderId="10" xfId="6" applyFont="1" applyBorder="1" applyAlignment="1">
      <alignment horizontal="right" vertical="center"/>
    </xf>
    <xf numFmtId="0" fontId="29" fillId="0" borderId="5" xfId="7" applyFont="1" applyBorder="1" applyAlignment="1" applyProtection="1">
      <alignment horizontal="center" vertical="center"/>
      <protection hidden="1"/>
    </xf>
    <xf numFmtId="0" fontId="29" fillId="0" borderId="11" xfId="7" applyFont="1" applyBorder="1" applyAlignment="1" applyProtection="1">
      <alignment horizontal="center" vertical="center"/>
      <protection hidden="1"/>
    </xf>
    <xf numFmtId="0" fontId="29" fillId="0" borderId="17" xfId="7" applyFont="1" applyBorder="1" applyAlignment="1" applyProtection="1">
      <alignment horizontal="center" vertical="center"/>
      <protection hidden="1"/>
    </xf>
    <xf numFmtId="0" fontId="41" fillId="8" borderId="1" xfId="7" applyFont="1" applyFill="1" applyBorder="1" applyAlignment="1" applyProtection="1">
      <alignment horizontal="center" vertical="center" wrapText="1"/>
      <protection hidden="1"/>
    </xf>
    <xf numFmtId="0" fontId="41" fillId="8" borderId="9" xfId="7" applyFont="1" applyFill="1" applyBorder="1" applyAlignment="1" applyProtection="1">
      <alignment horizontal="center" vertical="center" wrapText="1"/>
      <protection hidden="1"/>
    </xf>
    <xf numFmtId="0" fontId="41" fillId="8" borderId="8" xfId="7" applyFont="1" applyFill="1" applyBorder="1" applyAlignment="1" applyProtection="1">
      <alignment horizontal="center" vertical="center" wrapText="1"/>
      <protection hidden="1"/>
    </xf>
    <xf numFmtId="0" fontId="29" fillId="8" borderId="7" xfId="7" applyFont="1" applyFill="1" applyBorder="1" applyAlignment="1" applyProtection="1">
      <alignment horizontal="center" vertical="center"/>
      <protection hidden="1"/>
    </xf>
    <xf numFmtId="0" fontId="29" fillId="8" borderId="16" xfId="7" applyFont="1" applyFill="1" applyBorder="1" applyAlignment="1" applyProtection="1">
      <alignment horizontal="center" vertical="center"/>
      <protection hidden="1"/>
    </xf>
    <xf numFmtId="0" fontId="29" fillId="8" borderId="18" xfId="7" applyFont="1" applyFill="1" applyBorder="1" applyAlignment="1" applyProtection="1">
      <alignment horizontal="center" vertical="center"/>
      <protection hidden="1"/>
    </xf>
    <xf numFmtId="0" fontId="29" fillId="3" borderId="11" xfId="7" applyFont="1" applyFill="1" applyBorder="1" applyAlignment="1" applyProtection="1">
      <alignment horizontal="center" vertical="center"/>
      <protection hidden="1"/>
    </xf>
    <xf numFmtId="0" fontId="29" fillId="3" borderId="17" xfId="7" applyFont="1" applyFill="1" applyBorder="1" applyAlignment="1" applyProtection="1">
      <alignment horizontal="center" vertical="center"/>
      <protection hidden="1"/>
    </xf>
    <xf numFmtId="0" fontId="29" fillId="3" borderId="5" xfId="7" applyFont="1" applyFill="1" applyBorder="1" applyAlignment="1" applyProtection="1">
      <alignment horizontal="center" vertical="center"/>
      <protection hidden="1"/>
    </xf>
    <xf numFmtId="9" fontId="29" fillId="0" borderId="11" xfId="7" applyNumberFormat="1" applyFont="1" applyBorder="1" applyAlignment="1" applyProtection="1">
      <alignment horizontal="center" vertical="center"/>
      <protection hidden="1"/>
    </xf>
    <xf numFmtId="0" fontId="29" fillId="0" borderId="0" xfId="7" applyFont="1" applyAlignment="1" applyProtection="1">
      <alignment horizontal="center" vertical="center"/>
      <protection hidden="1"/>
    </xf>
    <xf numFmtId="9" fontId="29" fillId="0" borderId="5" xfId="7" applyNumberFormat="1" applyFont="1" applyBorder="1" applyAlignment="1" applyProtection="1">
      <alignment horizontal="center" vertical="center"/>
      <protection hidden="1"/>
    </xf>
    <xf numFmtId="9" fontId="29" fillId="0" borderId="17" xfId="7" applyNumberFormat="1" applyFont="1" applyBorder="1" applyAlignment="1" applyProtection="1">
      <alignment horizontal="center" vertical="center"/>
      <protection hidden="1"/>
    </xf>
    <xf numFmtId="0" fontId="29" fillId="0" borderId="6" xfId="7" applyFont="1" applyBorder="1" applyAlignment="1" applyProtection="1">
      <alignment horizontal="center" vertical="center"/>
      <protection hidden="1"/>
    </xf>
    <xf numFmtId="9" fontId="29" fillId="0" borderId="5" xfId="7" applyNumberFormat="1" applyFont="1" applyBorder="1" applyAlignment="1" applyProtection="1">
      <alignment horizontal="center" vertical="center" wrapText="1"/>
      <protection hidden="1"/>
    </xf>
    <xf numFmtId="9" fontId="29" fillId="0" borderId="11" xfId="7" applyNumberFormat="1" applyFont="1" applyBorder="1" applyAlignment="1" applyProtection="1">
      <alignment horizontal="center" vertical="center" wrapText="1"/>
      <protection hidden="1"/>
    </xf>
    <xf numFmtId="9" fontId="29" fillId="0" borderId="17" xfId="7" applyNumberFormat="1" applyFont="1" applyBorder="1" applyAlignment="1" applyProtection="1">
      <alignment horizontal="center" vertical="center" wrapText="1"/>
      <protection hidden="1"/>
    </xf>
    <xf numFmtId="0" fontId="29" fillId="0" borderId="15" xfId="7" applyFont="1" applyBorder="1" applyAlignment="1" applyProtection="1">
      <alignment horizontal="center" vertical="center"/>
      <protection hidden="1"/>
    </xf>
    <xf numFmtId="0" fontId="29" fillId="4" borderId="11" xfId="7" applyFont="1" applyFill="1" applyBorder="1" applyAlignment="1" applyProtection="1">
      <alignment horizontal="center" vertical="center" wrapText="1"/>
      <protection hidden="1"/>
    </xf>
    <xf numFmtId="0" fontId="29" fillId="4" borderId="0" xfId="7" applyFont="1" applyFill="1" applyAlignment="1" applyProtection="1">
      <alignment horizontal="center" vertical="center"/>
      <protection hidden="1"/>
    </xf>
    <xf numFmtId="0" fontId="29" fillId="0" borderId="13" xfId="10" applyFont="1" applyBorder="1" applyAlignment="1" applyProtection="1">
      <alignment horizontal="center"/>
      <protection locked="0"/>
    </xf>
    <xf numFmtId="0" fontId="29" fillId="0" borderId="13" xfId="10" applyFont="1" applyBorder="1" applyAlignment="1" applyProtection="1">
      <alignment horizontal="center"/>
      <protection hidden="1"/>
    </xf>
    <xf numFmtId="0" fontId="28" fillId="0" borderId="14" xfId="10" applyFont="1" applyBorder="1" applyAlignment="1" applyProtection="1">
      <alignment horizontal="center"/>
      <protection locked="0"/>
    </xf>
    <xf numFmtId="0" fontId="29" fillId="0" borderId="11" xfId="7" applyFont="1" applyBorder="1" applyAlignment="1" applyProtection="1">
      <alignment horizontal="center" vertical="center" wrapText="1"/>
      <protection hidden="1"/>
    </xf>
    <xf numFmtId="0" fontId="29" fillId="0" borderId="17" xfId="7" applyFont="1" applyBorder="1" applyAlignment="1" applyProtection="1">
      <alignment horizontal="center" vertical="center" wrapText="1"/>
      <protection hidden="1"/>
    </xf>
    <xf numFmtId="0" fontId="28" fillId="5" borderId="13" xfId="10" applyFont="1" applyFill="1" applyBorder="1" applyAlignment="1" applyProtection="1">
      <alignment horizontal="center" vertical="center"/>
      <protection hidden="1"/>
    </xf>
    <xf numFmtId="0" fontId="37" fillId="7" borderId="13" xfId="10" applyFont="1" applyFill="1" applyBorder="1" applyAlignment="1" applyProtection="1">
      <alignment horizontal="center" vertical="center"/>
      <protection hidden="1"/>
    </xf>
    <xf numFmtId="0" fontId="29" fillId="0" borderId="14" xfId="10" applyFont="1" applyBorder="1" applyAlignment="1" applyProtection="1">
      <alignment horizontal="center"/>
      <protection hidden="1"/>
    </xf>
    <xf numFmtId="0" fontId="28" fillId="0" borderId="13" xfId="10" applyFont="1" applyBorder="1" applyAlignment="1" applyProtection="1">
      <alignment horizontal="center"/>
      <protection locked="0"/>
    </xf>
    <xf numFmtId="0" fontId="36" fillId="0" borderId="13" xfId="10" applyFont="1" applyBorder="1" applyAlignment="1" applyProtection="1">
      <alignment horizontal="center"/>
      <protection hidden="1"/>
    </xf>
    <xf numFmtId="0" fontId="29" fillId="5" borderId="13" xfId="10" applyFont="1" applyFill="1" applyBorder="1" applyAlignment="1" applyProtection="1">
      <alignment horizontal="center" vertical="center"/>
      <protection hidden="1"/>
    </xf>
    <xf numFmtId="0" fontId="35" fillId="6" borderId="0" xfId="10" applyFont="1" applyFill="1" applyAlignment="1">
      <alignment horizontal="left"/>
    </xf>
    <xf numFmtId="0" fontId="29" fillId="0" borderId="14" xfId="10" applyFont="1" applyBorder="1" applyAlignment="1" applyProtection="1">
      <alignment horizontal="center" vertical="center"/>
      <protection hidden="1"/>
    </xf>
    <xf numFmtId="0" fontId="29" fillId="0" borderId="13" xfId="10" applyFont="1" applyBorder="1" applyAlignment="1" applyProtection="1">
      <alignment horizontal="center" vertical="center"/>
      <protection hidden="1"/>
    </xf>
    <xf numFmtId="0" fontId="29" fillId="0" borderId="12" xfId="10" applyFont="1" applyBorder="1" applyAlignment="1" applyProtection="1">
      <alignment horizontal="center" vertical="center"/>
      <protection hidden="1"/>
    </xf>
    <xf numFmtId="0" fontId="28" fillId="5" borderId="14" xfId="10" applyFont="1" applyFill="1" applyBorder="1" applyAlignment="1" applyProtection="1">
      <alignment horizontal="center" vertical="center"/>
      <protection hidden="1"/>
    </xf>
    <xf numFmtId="0" fontId="29" fillId="7" borderId="14" xfId="10" applyFont="1" applyFill="1" applyBorder="1" applyAlignment="1" applyProtection="1">
      <alignment horizontal="center"/>
      <protection hidden="1"/>
    </xf>
    <xf numFmtId="0" fontId="36" fillId="0" borderId="14" xfId="10" applyFont="1" applyBorder="1" applyAlignment="1" applyProtection="1">
      <alignment horizontal="center"/>
      <protection hidden="1"/>
    </xf>
    <xf numFmtId="0" fontId="29" fillId="7" borderId="13" xfId="10" applyFont="1" applyFill="1" applyBorder="1" applyAlignment="1" applyProtection="1">
      <alignment horizontal="center"/>
      <protection hidden="1"/>
    </xf>
    <xf numFmtId="0" fontId="34" fillId="5" borderId="0" xfId="7" applyFont="1" applyFill="1" applyAlignment="1" applyProtection="1">
      <alignment horizontal="center" wrapText="1"/>
      <protection hidden="1"/>
    </xf>
    <xf numFmtId="0" fontId="1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2" fontId="13" fillId="0" borderId="10" xfId="11" applyNumberFormat="1" applyFont="1" applyBorder="1" applyAlignment="1">
      <alignment horizontal="center" vertical="center" wrapText="1"/>
    </xf>
    <xf numFmtId="0" fontId="13" fillId="0" borderId="10" xfId="11" applyFont="1" applyBorder="1" applyAlignment="1">
      <alignment horizontal="center" vertical="center"/>
    </xf>
    <xf numFmtId="0" fontId="47" fillId="0" borderId="0" xfId="11" quotePrefix="1" applyAlignment="1">
      <alignment horizontal="center"/>
    </xf>
    <xf numFmtId="0" fontId="13" fillId="10" borderId="10" xfId="11" applyFont="1" applyFill="1" applyBorder="1" applyAlignment="1" applyProtection="1">
      <alignment horizontal="center" vertical="center"/>
      <protection locked="0"/>
    </xf>
    <xf numFmtId="0" fontId="4" fillId="0" borderId="54" xfId="11" applyFont="1" applyBorder="1" applyAlignment="1">
      <alignment horizontal="center"/>
    </xf>
    <xf numFmtId="0" fontId="4" fillId="0" borderId="55" xfId="11" applyFont="1" applyBorder="1" applyAlignment="1">
      <alignment horizontal="center"/>
    </xf>
    <xf numFmtId="0" fontId="4" fillId="0" borderId="56" xfId="11" applyFont="1" applyBorder="1" applyAlignment="1">
      <alignment horizontal="center"/>
    </xf>
    <xf numFmtId="0" fontId="55" fillId="0" borderId="57" xfId="11" applyFont="1" applyBorder="1" applyAlignment="1">
      <alignment horizontal="center"/>
    </xf>
    <xf numFmtId="0" fontId="55" fillId="0" borderId="58" xfId="11" applyFont="1" applyBorder="1" applyAlignment="1">
      <alignment horizontal="center"/>
    </xf>
    <xf numFmtId="0" fontId="55" fillId="0" borderId="59" xfId="11" applyFont="1" applyBorder="1" applyAlignment="1">
      <alignment horizontal="center"/>
    </xf>
    <xf numFmtId="0" fontId="13" fillId="11" borderId="10" xfId="11" applyFont="1" applyFill="1" applyBorder="1" applyAlignment="1">
      <alignment horizontal="center" vertical="center"/>
    </xf>
    <xf numFmtId="167" fontId="12" fillId="18" borderId="38" xfId="11" applyNumberFormat="1" applyFont="1" applyFill="1" applyBorder="1" applyAlignment="1">
      <alignment horizontal="center" vertical="center"/>
    </xf>
    <xf numFmtId="0" fontId="12" fillId="18" borderId="49" xfId="11" applyFont="1" applyFill="1" applyBorder="1" applyAlignment="1">
      <alignment horizontal="center" vertical="center"/>
    </xf>
    <xf numFmtId="0" fontId="47" fillId="0" borderId="0" xfId="11" applyAlignment="1">
      <alignment horizontal="center"/>
    </xf>
    <xf numFmtId="0" fontId="13" fillId="20" borderId="10" xfId="11" applyFont="1" applyFill="1" applyBorder="1" applyAlignment="1">
      <alignment horizontal="center" vertical="center"/>
    </xf>
    <xf numFmtId="0" fontId="13" fillId="21" borderId="50" xfId="11" applyFont="1" applyFill="1" applyBorder="1" applyAlignment="1">
      <alignment horizontal="center"/>
    </xf>
    <xf numFmtId="0" fontId="13" fillId="21" borderId="51" xfId="11" applyFont="1" applyFill="1" applyBorder="1" applyAlignment="1">
      <alignment horizontal="center"/>
    </xf>
    <xf numFmtId="0" fontId="13" fillId="21" borderId="52" xfId="11" applyFont="1" applyFill="1" applyBorder="1" applyAlignment="1">
      <alignment horizontal="center"/>
    </xf>
    <xf numFmtId="0" fontId="13" fillId="22" borderId="10" xfId="11" applyFont="1" applyFill="1" applyBorder="1" applyAlignment="1">
      <alignment horizontal="center" vertical="center"/>
    </xf>
    <xf numFmtId="1" fontId="13" fillId="23" borderId="10" xfId="11" applyNumberFormat="1" applyFont="1" applyFill="1" applyBorder="1" applyAlignment="1">
      <alignment horizontal="center" vertical="center" wrapText="1"/>
    </xf>
    <xf numFmtId="0" fontId="13" fillId="23" borderId="10" xfId="11" applyFont="1" applyFill="1" applyBorder="1" applyAlignment="1">
      <alignment horizontal="center" vertical="center"/>
    </xf>
    <xf numFmtId="2" fontId="2" fillId="16" borderId="42" xfId="11" applyNumberFormat="1" applyFont="1" applyFill="1" applyBorder="1" applyAlignment="1">
      <alignment horizontal="center"/>
    </xf>
    <xf numFmtId="2" fontId="2" fillId="16" borderId="43" xfId="11" applyNumberFormat="1" applyFont="1" applyFill="1" applyBorder="1" applyAlignment="1">
      <alignment horizontal="center"/>
    </xf>
    <xf numFmtId="0" fontId="50" fillId="16" borderId="43" xfId="11" applyFont="1" applyFill="1" applyBorder="1" applyAlignment="1">
      <alignment horizontal="center"/>
    </xf>
    <xf numFmtId="0" fontId="50" fillId="16" borderId="44" xfId="11" applyFont="1" applyFill="1" applyBorder="1" applyAlignment="1">
      <alignment horizontal="center"/>
    </xf>
    <xf numFmtId="167" fontId="52" fillId="17" borderId="42" xfId="11" applyNumberFormat="1" applyFont="1" applyFill="1" applyBorder="1" applyAlignment="1">
      <alignment horizontal="center" vertical="center"/>
    </xf>
    <xf numFmtId="167" fontId="52" fillId="17" borderId="43" xfId="11" applyNumberFormat="1" applyFont="1" applyFill="1" applyBorder="1" applyAlignment="1">
      <alignment horizontal="center" vertical="center"/>
    </xf>
    <xf numFmtId="2" fontId="2" fillId="17" borderId="43" xfId="11" applyNumberFormat="1" applyFont="1" applyFill="1" applyBorder="1" applyAlignment="1">
      <alignment horizontal="center" vertical="center"/>
    </xf>
    <xf numFmtId="2" fontId="2" fillId="17" borderId="45" xfId="11" applyNumberFormat="1" applyFont="1" applyFill="1" applyBorder="1" applyAlignment="1">
      <alignment horizontal="center" vertical="center"/>
    </xf>
    <xf numFmtId="0" fontId="50" fillId="17" borderId="31" xfId="11" applyFont="1" applyFill="1" applyBorder="1" applyAlignment="1">
      <alignment horizontal="center" vertical="center"/>
    </xf>
    <xf numFmtId="0" fontId="50" fillId="17" borderId="32" xfId="11" applyFont="1" applyFill="1" applyBorder="1" applyAlignment="1">
      <alignment horizontal="center" vertical="center"/>
    </xf>
    <xf numFmtId="0" fontId="50" fillId="17" borderId="46" xfId="11" applyFont="1" applyFill="1" applyBorder="1" applyAlignment="1">
      <alignment horizontal="center" vertical="center"/>
    </xf>
    <xf numFmtId="0" fontId="50" fillId="17" borderId="47" xfId="11" applyFont="1" applyFill="1" applyBorder="1" applyAlignment="1">
      <alignment horizontal="center" vertical="center"/>
    </xf>
    <xf numFmtId="0" fontId="51" fillId="17" borderId="32" xfId="11" applyFont="1" applyFill="1" applyBorder="1" applyAlignment="1">
      <alignment horizontal="center" vertical="center"/>
    </xf>
    <xf numFmtId="0" fontId="51" fillId="17" borderId="33" xfId="11" applyFont="1" applyFill="1" applyBorder="1" applyAlignment="1">
      <alignment horizontal="center" vertical="center"/>
    </xf>
    <xf numFmtId="0" fontId="51" fillId="17" borderId="47" xfId="11" applyFont="1" applyFill="1" applyBorder="1" applyAlignment="1">
      <alignment horizontal="center" vertical="center"/>
    </xf>
    <xf numFmtId="0" fontId="51" fillId="17" borderId="48" xfId="11" applyFont="1" applyFill="1" applyBorder="1" applyAlignment="1">
      <alignment horizontal="center" vertical="center"/>
    </xf>
    <xf numFmtId="0" fontId="50" fillId="14" borderId="35" xfId="11" applyFont="1" applyFill="1" applyBorder="1" applyAlignment="1" applyProtection="1">
      <alignment horizontal="center" wrapText="1"/>
      <protection hidden="1"/>
    </xf>
    <xf numFmtId="0" fontId="50" fillId="14" borderId="36" xfId="11" applyFont="1" applyFill="1" applyBorder="1" applyAlignment="1" applyProtection="1">
      <alignment horizontal="center"/>
      <protection hidden="1"/>
    </xf>
    <xf numFmtId="0" fontId="50" fillId="14" borderId="37" xfId="11" applyFont="1" applyFill="1" applyBorder="1" applyAlignment="1" applyProtection="1">
      <alignment horizontal="center"/>
      <protection hidden="1"/>
    </xf>
    <xf numFmtId="0" fontId="50" fillId="0" borderId="39" xfId="11" applyFont="1" applyBorder="1" applyAlignment="1" applyProtection="1">
      <alignment horizontal="center"/>
      <protection locked="0"/>
    </xf>
    <xf numFmtId="0" fontId="50" fillId="0" borderId="40" xfId="11" applyFont="1" applyBorder="1" applyAlignment="1" applyProtection="1">
      <alignment horizontal="center"/>
      <protection locked="0"/>
    </xf>
    <xf numFmtId="0" fontId="50" fillId="0" borderId="41" xfId="11" applyFont="1" applyBorder="1" applyAlignment="1" applyProtection="1">
      <alignment horizontal="center"/>
      <protection locked="0"/>
    </xf>
    <xf numFmtId="0" fontId="49" fillId="13" borderId="30" xfId="11" applyFont="1" applyFill="1" applyBorder="1" applyAlignment="1" applyProtection="1">
      <alignment horizontal="center" vertical="center"/>
      <protection hidden="1"/>
    </xf>
    <xf numFmtId="0" fontId="50" fillId="14" borderId="31" xfId="11" applyFont="1" applyFill="1" applyBorder="1" applyAlignment="1" applyProtection="1">
      <alignment horizontal="center" wrapText="1"/>
      <protection hidden="1"/>
    </xf>
    <xf numFmtId="0" fontId="50" fillId="14" borderId="32" xfId="11" applyFont="1" applyFill="1" applyBorder="1" applyAlignment="1" applyProtection="1">
      <alignment horizontal="center"/>
      <protection hidden="1"/>
    </xf>
    <xf numFmtId="0" fontId="50" fillId="14" borderId="35" xfId="11" applyFont="1" applyFill="1" applyBorder="1" applyAlignment="1" applyProtection="1">
      <alignment horizontal="center"/>
      <protection hidden="1"/>
    </xf>
    <xf numFmtId="0" fontId="50" fillId="14" borderId="32" xfId="11" applyFont="1" applyFill="1" applyBorder="1" applyAlignment="1" applyProtection="1">
      <alignment horizontal="center" wrapText="1"/>
      <protection hidden="1"/>
    </xf>
    <xf numFmtId="0" fontId="50" fillId="14" borderId="32" xfId="11" applyFont="1" applyFill="1" applyBorder="1" applyAlignment="1" applyProtection="1">
      <alignment horizontal="center" vertical="center" wrapText="1"/>
      <protection hidden="1"/>
    </xf>
    <xf numFmtId="0" fontId="50" fillId="14" borderId="32" xfId="11" applyFont="1" applyFill="1" applyBorder="1" applyAlignment="1" applyProtection="1">
      <alignment horizontal="center" vertical="center"/>
      <protection hidden="1"/>
    </xf>
    <xf numFmtId="0" fontId="50" fillId="14" borderId="36" xfId="11" applyFont="1" applyFill="1" applyBorder="1" applyAlignment="1" applyProtection="1">
      <alignment horizontal="center" vertical="center"/>
      <protection hidden="1"/>
    </xf>
    <xf numFmtId="0" fontId="50" fillId="14" borderId="33" xfId="11" applyFont="1" applyFill="1" applyBorder="1" applyAlignment="1" applyProtection="1">
      <alignment horizontal="center"/>
      <protection hidden="1"/>
    </xf>
    <xf numFmtId="0" fontId="50" fillId="14" borderId="34" xfId="11" applyFont="1" applyFill="1" applyBorder="1" applyAlignment="1" applyProtection="1">
      <alignment horizontal="center" vertical="center" wrapText="1"/>
      <protection hidden="1"/>
    </xf>
    <xf numFmtId="0" fontId="50" fillId="14" borderId="38" xfId="11" applyFont="1" applyFill="1" applyBorder="1" applyAlignment="1" applyProtection="1">
      <alignment horizontal="center" vertical="center"/>
      <protection hidden="1"/>
    </xf>
    <xf numFmtId="0" fontId="50" fillId="17" borderId="42" xfId="11" applyFont="1" applyFill="1" applyBorder="1" applyAlignment="1">
      <alignment horizontal="center" vertical="center"/>
    </xf>
    <xf numFmtId="0" fontId="50" fillId="17" borderId="43" xfId="11" applyFont="1" applyFill="1" applyBorder="1" applyAlignment="1">
      <alignment horizontal="center" vertical="center"/>
    </xf>
    <xf numFmtId="2" fontId="50" fillId="0" borderId="39" xfId="11" applyNumberFormat="1" applyFont="1" applyBorder="1" applyAlignment="1" applyProtection="1">
      <alignment horizontal="center"/>
      <protection locked="0"/>
    </xf>
    <xf numFmtId="2" fontId="50" fillId="0" borderId="40" xfId="11" applyNumberFormat="1" applyFont="1" applyBorder="1" applyAlignment="1" applyProtection="1">
      <alignment horizontal="center"/>
      <protection locked="0"/>
    </xf>
    <xf numFmtId="0" fontId="49" fillId="19" borderId="30" xfId="11" applyFont="1" applyFill="1" applyBorder="1" applyAlignment="1" applyProtection="1">
      <alignment horizontal="center" vertical="center"/>
      <protection hidden="1"/>
    </xf>
    <xf numFmtId="0" fontId="50" fillId="16" borderId="43" xfId="11" quotePrefix="1" applyFont="1" applyFill="1" applyBorder="1" applyAlignment="1">
      <alignment horizontal="left"/>
    </xf>
    <xf numFmtId="0" fontId="50" fillId="16" borderId="43" xfId="11" applyFont="1" applyFill="1" applyBorder="1" applyAlignment="1">
      <alignment horizontal="left"/>
    </xf>
    <xf numFmtId="0" fontId="50" fillId="16" borderId="44" xfId="11" applyFont="1" applyFill="1" applyBorder="1" applyAlignment="1">
      <alignment horizontal="left"/>
    </xf>
    <xf numFmtId="0" fontId="46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3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43" fontId="0" fillId="0" borderId="0" xfId="0" applyNumberFormat="1"/>
    <xf numFmtId="2" fontId="67" fillId="0" borderId="10" xfId="0" applyNumberFormat="1" applyFont="1" applyBorder="1" applyAlignment="1">
      <alignment vertical="center"/>
    </xf>
    <xf numFmtId="43" fontId="67" fillId="0" borderId="24" xfId="4" applyFont="1" applyFill="1" applyBorder="1" applyAlignment="1">
      <alignment vertical="center"/>
    </xf>
    <xf numFmtId="4" fontId="56" fillId="0" borderId="10" xfId="0" applyNumberFormat="1" applyFont="1" applyBorder="1" applyAlignment="1">
      <alignment vertical="center"/>
    </xf>
    <xf numFmtId="4" fontId="56" fillId="0" borderId="26" xfId="0" applyNumberFormat="1" applyFont="1" applyBorder="1" applyAlignment="1">
      <alignment vertical="center"/>
    </xf>
    <xf numFmtId="43" fontId="67" fillId="0" borderId="27" xfId="4" applyFont="1" applyFill="1" applyBorder="1" applyAlignment="1">
      <alignment vertical="center"/>
    </xf>
    <xf numFmtId="0" fontId="68" fillId="0" borderId="0" xfId="33"/>
    <xf numFmtId="4" fontId="69" fillId="0" borderId="10" xfId="0" applyNumberFormat="1" applyFont="1" applyBorder="1" applyAlignment="1">
      <alignment vertical="center"/>
    </xf>
    <xf numFmtId="4" fontId="69" fillId="0" borderId="60" xfId="0" applyNumberFormat="1" applyFont="1" applyBorder="1" applyAlignment="1">
      <alignment vertical="center"/>
    </xf>
    <xf numFmtId="2" fontId="0" fillId="0" borderId="0" xfId="0" applyNumberFormat="1"/>
    <xf numFmtId="4" fontId="14" fillId="0" borderId="10" xfId="0" applyNumberFormat="1" applyFont="1" applyBorder="1" applyAlignment="1">
      <alignment horizontal="left" vertical="center" wrapText="1"/>
    </xf>
    <xf numFmtId="4" fontId="15" fillId="0" borderId="10" xfId="4" applyNumberFormat="1" applyFont="1" applyBorder="1" applyAlignment="1">
      <alignment vertical="center"/>
    </xf>
    <xf numFmtId="169" fontId="0" fillId="0" borderId="10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1" fontId="0" fillId="9" borderId="0" xfId="0" applyNumberFormat="1" applyFill="1"/>
    <xf numFmtId="0" fontId="70" fillId="0" borderId="0" xfId="0" applyFont="1" applyAlignment="1">
      <alignment vertical="center"/>
    </xf>
    <xf numFmtId="169" fontId="0" fillId="0" borderId="0" xfId="0" applyNumberFormat="1"/>
    <xf numFmtId="0" fontId="71" fillId="0" borderId="0" xfId="0" applyFont="1"/>
    <xf numFmtId="171" fontId="71" fillId="0" borderId="0" xfId="1" applyNumberFormat="1" applyFont="1"/>
    <xf numFmtId="171" fontId="0" fillId="0" borderId="0" xfId="1" applyNumberFormat="1" applyFont="1"/>
    <xf numFmtId="0" fontId="9" fillId="0" borderId="0" xfId="0" applyFont="1"/>
    <xf numFmtId="171" fontId="9" fillId="0" borderId="0" xfId="1" applyNumberFormat="1" applyFont="1"/>
    <xf numFmtId="169" fontId="25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171" fontId="71" fillId="0" borderId="0" xfId="1" applyNumberFormat="1" applyFont="1" applyAlignment="1">
      <alignment vertical="center"/>
    </xf>
    <xf numFmtId="171" fontId="9" fillId="0" borderId="0" xfId="1" applyNumberFormat="1" applyFont="1" applyAlignment="1">
      <alignment vertical="center"/>
    </xf>
    <xf numFmtId="171" fontId="0" fillId="0" borderId="0" xfId="1" applyNumberFormat="1" applyFont="1" applyAlignment="1">
      <alignment vertical="center"/>
    </xf>
    <xf numFmtId="171" fontId="11" fillId="0" borderId="0" xfId="1" applyNumberFormat="1" applyFont="1" applyAlignment="1">
      <alignment vertical="center"/>
    </xf>
    <xf numFmtId="169" fontId="0" fillId="9" borderId="10" xfId="0" applyNumberFormat="1" applyFill="1" applyBorder="1" applyAlignment="1">
      <alignment horizontal="right" vertical="center"/>
    </xf>
    <xf numFmtId="4" fontId="5" fillId="9" borderId="60" xfId="0" applyNumberFormat="1" applyFont="1" applyFill="1" applyBorder="1" applyAlignment="1">
      <alignment vertical="center"/>
    </xf>
    <xf numFmtId="172" fontId="0" fillId="0" borderId="0" xfId="0" applyNumberFormat="1" applyAlignment="1">
      <alignment vertical="center"/>
    </xf>
    <xf numFmtId="172" fontId="72" fillId="0" borderId="0" xfId="0" applyNumberFormat="1" applyFont="1" applyAlignment="1">
      <alignment vertical="center"/>
    </xf>
    <xf numFmtId="171" fontId="0" fillId="0" borderId="0" xfId="0" applyNumberFormat="1"/>
    <xf numFmtId="9" fontId="0" fillId="0" borderId="0" xfId="3" applyFont="1"/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171" fontId="11" fillId="0" borderId="0" xfId="0" applyNumberFormat="1" applyFont="1" applyAlignment="1">
      <alignment vertical="center"/>
    </xf>
    <xf numFmtId="169" fontId="71" fillId="0" borderId="0" xfId="1" applyNumberFormat="1" applyFont="1" applyAlignment="1">
      <alignment vertical="center"/>
    </xf>
    <xf numFmtId="169" fontId="9" fillId="0" borderId="0" xfId="1" applyNumberFormat="1" applyFont="1" applyAlignment="1">
      <alignment vertical="center"/>
    </xf>
    <xf numFmtId="169" fontId="0" fillId="0" borderId="0" xfId="1" applyNumberFormat="1" applyFont="1" applyAlignment="1">
      <alignment vertical="center"/>
    </xf>
    <xf numFmtId="166" fontId="0" fillId="0" borderId="0" xfId="1" applyNumberFormat="1" applyFont="1" applyAlignment="1">
      <alignment vertical="center"/>
    </xf>
    <xf numFmtId="173" fontId="0" fillId="0" borderId="0" xfId="3" applyNumberFormat="1" applyFont="1" applyAlignment="1">
      <alignment vertical="center"/>
    </xf>
    <xf numFmtId="0" fontId="73" fillId="0" borderId="0" xfId="0" applyFont="1"/>
    <xf numFmtId="171" fontId="73" fillId="0" borderId="0" xfId="1" applyNumberFormat="1" applyFont="1" applyAlignment="1">
      <alignment vertical="center"/>
    </xf>
    <xf numFmtId="171" fontId="73" fillId="0" borderId="0" xfId="1" applyNumberFormat="1" applyFont="1"/>
    <xf numFmtId="2" fontId="73" fillId="0" borderId="0" xfId="0" applyNumberFormat="1" applyFont="1" applyAlignment="1">
      <alignment horizontal="center"/>
    </xf>
    <xf numFmtId="171" fontId="0" fillId="0" borderId="0" xfId="0" applyNumberFormat="1" applyAlignment="1">
      <alignment vertical="center"/>
    </xf>
    <xf numFmtId="0" fontId="7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3" fillId="0" borderId="10" xfId="0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34">
    <cellStyle name="Comma" xfId="1" builtinId="3"/>
    <cellStyle name="Comma 10" xfId="8" xr:uid="{A68795E0-094B-4758-9B3D-3F1238467AFC}"/>
    <cellStyle name="Comma 10 2" xfId="23" xr:uid="{FEE0CE50-7C40-462B-BE95-A1D0B6A4324D}"/>
    <cellStyle name="Comma 2" xfId="4" xr:uid="{FB6128E5-CA31-43FD-BE07-1BC772974722}"/>
    <cellStyle name="Comma 2 2" xfId="13" xr:uid="{7127D76B-0F45-4118-8473-B0AE7374280B}"/>
    <cellStyle name="Comma 2 3" xfId="31" xr:uid="{90214CAF-CDED-4692-8188-DACC63D7FC7A}"/>
    <cellStyle name="Comma 3" xfId="12" xr:uid="{5D4443C9-CDCB-43BD-8DEE-6BE0E8F22FA1}"/>
    <cellStyle name="Comma 3 2" xfId="24" xr:uid="{9BC7609F-7D6C-49C6-8B47-52BA76834F83}"/>
    <cellStyle name="Comma 4" xfId="28" xr:uid="{31974BE4-BD1D-4F5B-A121-CC636317980D}"/>
    <cellStyle name="Comma 5" xfId="5" xr:uid="{5474C357-7C2B-4131-BC57-CE60B60307A5}"/>
    <cellStyle name="Hyperlink" xfId="33" builtinId="8"/>
    <cellStyle name="Normal" xfId="0" builtinId="0"/>
    <cellStyle name="Normal 14" xfId="10" xr:uid="{31FE4113-3869-4617-A001-FB3968C68AE8}"/>
    <cellStyle name="Normal 14 2" xfId="22" xr:uid="{FD0537BA-854F-4A96-9361-6785E832A130}"/>
    <cellStyle name="Normal 2" xfId="2" xr:uid="{00000000-0005-0000-0000-00002F000000}"/>
    <cellStyle name="Normal 2 2" xfId="9" xr:uid="{CF26B67A-722C-4D3E-BFAA-234E68B59689}"/>
    <cellStyle name="Normal 2 2 2" xfId="20" xr:uid="{B400B208-AC35-45F0-9195-DAF82DAA184B}"/>
    <cellStyle name="Normal 2 3" xfId="17" xr:uid="{7FBB12AC-ACB5-4B24-B7DC-1656C0FF6D59}"/>
    <cellStyle name="Normal 2 3 2" xfId="26" xr:uid="{E25E077F-4CA3-4D73-948A-98A0CB1C96BA}"/>
    <cellStyle name="Normal 2 4" xfId="29" xr:uid="{5B475903-3320-4BC0-A93F-3023E0E0E388}"/>
    <cellStyle name="Normal 2 5" xfId="18" xr:uid="{CA18F7D8-3476-4BD5-B930-71E35BF857B3}"/>
    <cellStyle name="Normal 3" xfId="11" xr:uid="{D52EFD7C-5AEC-4FB7-8C57-119EC2722376}"/>
    <cellStyle name="Normal 3 2" xfId="27" xr:uid="{E3A356AC-46C3-4527-B71C-A9F2224BCA8E}"/>
    <cellStyle name="Normal 35" xfId="19" xr:uid="{C0443903-9A86-4445-847C-03B5715D2F64}"/>
    <cellStyle name="Normal 4 6" xfId="30" xr:uid="{ECC1BC3B-FDDA-4948-A8DB-619295330873}"/>
    <cellStyle name="Normal 5" xfId="14" xr:uid="{7C3E0EF0-985A-47BD-AF1E-B2A6A24E9635}"/>
    <cellStyle name="Normal 5 2" xfId="16" xr:uid="{A6BB0278-4030-4162-8972-7D695EF9660B}"/>
    <cellStyle name="Normal 5 3" xfId="21" xr:uid="{81E72D47-7D36-42DE-9394-79A2F360EFB0}"/>
    <cellStyle name="Normal 5 4" xfId="7" xr:uid="{DF936A80-09CC-4620-BFAD-1711207BF651}"/>
    <cellStyle name="Normal 6" xfId="6" xr:uid="{E0ADF991-6BD4-4D21-80E3-0464069648A2}"/>
    <cellStyle name="Normal 6 3" xfId="32" xr:uid="{9B1511D5-4BEC-45E9-AD6A-3359E2026946}"/>
    <cellStyle name="Percent" xfId="3" builtinId="5"/>
    <cellStyle name="Percent 2" xfId="15" xr:uid="{0BE99190-F4BC-40BC-ABAB-BECEF42E8707}"/>
    <cellStyle name="Percent 6 2" xfId="25" xr:uid="{51C96504-ECA7-4B28-9B86-44AD2B87D5F0}"/>
  </cellStyles>
  <dxfs count="0"/>
  <tableStyles count="0" defaultTableStyle="TableStyleMedium2" defaultPivotStyle="PivotStyleLight16"/>
  <colors>
    <mruColors>
      <color rgb="FF000099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"/>
  <sheetViews>
    <sheetView workbookViewId="0"/>
  </sheetViews>
  <sheetFormatPr defaultRowHeight="15"/>
  <sheetData>
    <row r="2" spans="2:2">
      <c r="B2" s="2" t="s">
        <v>0</v>
      </c>
    </row>
    <row r="3" spans="2:2">
      <c r="B3" s="2" t="s">
        <v>1</v>
      </c>
    </row>
    <row r="4" spans="2:2">
      <c r="B4" s="2" t="s">
        <v>2</v>
      </c>
    </row>
    <row r="5" spans="2:2">
      <c r="B5" s="2" t="s">
        <v>3</v>
      </c>
    </row>
    <row r="6" spans="2:2">
      <c r="B6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54"/>
  <sheetViews>
    <sheetView topLeftCell="B1" workbookViewId="0">
      <selection activeCell="Y4" sqref="Y4"/>
    </sheetView>
  </sheetViews>
  <sheetFormatPr defaultRowHeight="15"/>
  <sheetData>
    <row r="1" spans="1:30">
      <c r="A1" s="303" t="s">
        <v>5</v>
      </c>
      <c r="B1" s="304"/>
      <c r="C1" s="304"/>
      <c r="D1" s="304"/>
      <c r="E1" s="304"/>
      <c r="F1" s="304"/>
      <c r="G1" s="304"/>
      <c r="H1" s="304"/>
      <c r="I1" s="304"/>
      <c r="J1" s="305"/>
      <c r="L1" s="306" t="s">
        <v>6</v>
      </c>
      <c r="M1" s="307"/>
      <c r="N1" s="307"/>
      <c r="O1" s="307"/>
      <c r="P1" s="307"/>
      <c r="Q1" s="307"/>
      <c r="R1" s="307"/>
      <c r="S1" s="308"/>
      <c r="U1" s="309" t="s">
        <v>7</v>
      </c>
      <c r="V1" s="310"/>
      <c r="W1" s="310"/>
      <c r="X1" s="310"/>
      <c r="Y1" s="310"/>
      <c r="Z1" s="310"/>
      <c r="AA1" s="310"/>
      <c r="AB1" s="310"/>
      <c r="AC1" s="310"/>
      <c r="AD1" s="311"/>
    </row>
    <row r="2" spans="1:30" ht="75">
      <c r="A2" s="302" t="s">
        <v>8</v>
      </c>
      <c r="B2" s="302"/>
      <c r="C2" s="302"/>
      <c r="D2" s="159" t="s">
        <v>9</v>
      </c>
      <c r="E2" s="312"/>
      <c r="F2" s="160"/>
      <c r="G2" s="302" t="s">
        <v>10</v>
      </c>
      <c r="H2" s="302"/>
      <c r="I2" s="302"/>
      <c r="J2" s="161">
        <v>3.9893290732619779</v>
      </c>
      <c r="L2" s="302" t="s">
        <v>8</v>
      </c>
      <c r="M2" s="302"/>
      <c r="N2" s="302"/>
      <c r="O2" s="159" t="s">
        <v>9</v>
      </c>
      <c r="P2" s="312"/>
      <c r="Q2" s="160"/>
      <c r="R2" s="162" t="s">
        <v>11</v>
      </c>
      <c r="S2" s="163">
        <f>AVERAGE(S4:S2253)</f>
        <v>8.878637777779268</v>
      </c>
      <c r="U2" s="302" t="s">
        <v>8</v>
      </c>
      <c r="V2" s="302"/>
      <c r="W2" s="302"/>
      <c r="X2" s="159" t="s">
        <v>9</v>
      </c>
      <c r="Y2" s="312"/>
      <c r="Z2" s="160"/>
      <c r="AA2" s="302" t="s">
        <v>10</v>
      </c>
      <c r="AB2" s="302"/>
      <c r="AC2" s="302"/>
      <c r="AD2" s="164">
        <v>6.6505613790702354</v>
      </c>
    </row>
    <row r="3" spans="1:30" ht="90">
      <c r="A3" s="162" t="s">
        <v>12</v>
      </c>
      <c r="B3" s="162" t="s">
        <v>13</v>
      </c>
      <c r="C3" s="159" t="s">
        <v>14</v>
      </c>
      <c r="D3" s="162" t="s">
        <v>12</v>
      </c>
      <c r="E3" s="159" t="s">
        <v>15</v>
      </c>
      <c r="F3" s="162" t="s">
        <v>12</v>
      </c>
      <c r="G3" s="160" t="s">
        <v>12</v>
      </c>
      <c r="H3" s="162" t="s">
        <v>16</v>
      </c>
      <c r="I3" s="162" t="s">
        <v>17</v>
      </c>
      <c r="J3" s="165" t="s">
        <v>18</v>
      </c>
      <c r="L3" s="162" t="s">
        <v>12</v>
      </c>
      <c r="M3" s="162" t="s">
        <v>13</v>
      </c>
      <c r="N3" s="159" t="s">
        <v>14</v>
      </c>
      <c r="O3" s="162" t="s">
        <v>12</v>
      </c>
      <c r="P3" s="162" t="s">
        <v>15</v>
      </c>
      <c r="Q3" s="160" t="s">
        <v>12</v>
      </c>
      <c r="R3" s="160" t="s">
        <v>12</v>
      </c>
      <c r="S3" s="162" t="s">
        <v>18</v>
      </c>
      <c r="U3" s="162" t="s">
        <v>12</v>
      </c>
      <c r="V3" s="162" t="s">
        <v>13</v>
      </c>
      <c r="W3" s="159" t="s">
        <v>14</v>
      </c>
      <c r="X3" s="162" t="s">
        <v>12</v>
      </c>
      <c r="Y3" s="162" t="s">
        <v>15</v>
      </c>
      <c r="Z3" s="159" t="s">
        <v>12</v>
      </c>
      <c r="AA3" s="162" t="s">
        <v>12</v>
      </c>
      <c r="AB3" s="160" t="s">
        <v>16</v>
      </c>
      <c r="AC3" s="162" t="s">
        <v>17</v>
      </c>
      <c r="AD3" s="165" t="s">
        <v>18</v>
      </c>
    </row>
    <row r="4" spans="1:30">
      <c r="A4" s="166">
        <v>408</v>
      </c>
      <c r="B4" s="166">
        <v>45</v>
      </c>
      <c r="C4" s="167">
        <v>4.2</v>
      </c>
      <c r="D4" s="166">
        <v>408</v>
      </c>
      <c r="E4" s="168" t="e">
        <f t="shared" ref="E4:E67" si="0">VLOOKUP(D4,THONGSOHO_BK,2,1)+(VLOOKUP(D4+1,THONGSOHO_BK,2,1)-VLOOKUP(D4,THONGSOHO_BK,2,1))/1*(D4-VLOOKUP(D4,THONGSOHO_BK,1,1))-48.55</f>
        <v>#NAME?</v>
      </c>
      <c r="F4" s="169">
        <v>408</v>
      </c>
      <c r="G4" s="170">
        <v>410</v>
      </c>
      <c r="H4" s="169">
        <v>7.5150642857142866</v>
      </c>
      <c r="I4" s="166">
        <v>1885.5</v>
      </c>
      <c r="J4" s="169">
        <f>H4/I4*10^3</f>
        <v>3.9857142857142862</v>
      </c>
      <c r="L4" s="166">
        <v>427</v>
      </c>
      <c r="M4" s="166">
        <v>0</v>
      </c>
      <c r="N4" s="167">
        <v>0</v>
      </c>
      <c r="O4" s="166">
        <v>464.5</v>
      </c>
      <c r="P4" s="169" t="e">
        <f t="shared" ref="P4:P67" si="1">VLOOKUP(O4,THONGSOHO_BTS,2,1)+(VLOOKUP(O4+5,THONGSOHO_BTS,2,1)-VLOOKUP(O4,THONGSOHO_BTS,2,1))/5*(O4-VLOOKUP(O4,THONGSOHO_BTS,1,1))-264.29</f>
        <v>#NAME?</v>
      </c>
      <c r="Q4" s="171">
        <v>464.5</v>
      </c>
      <c r="R4" s="172">
        <v>465.01</v>
      </c>
      <c r="S4" s="169">
        <v>11.379200000000001</v>
      </c>
      <c r="U4" s="166">
        <v>256</v>
      </c>
      <c r="V4" s="166">
        <v>43.850999999999999</v>
      </c>
      <c r="W4" s="167">
        <v>5.6289999999999996</v>
      </c>
      <c r="X4" s="169">
        <v>267</v>
      </c>
      <c r="Y4" s="169" t="e">
        <f>VLOOKUP(X4,THONGSOHO_SP3,2,1)+(VLOOKUP(X4+2,THONGSOHO_SP3,2,1)-VLOOKUP(X4,THONGSOHO_SP3,2,1))/2*(X4-VLOOKUP(X4,THONGSOHO_SP3,1,1))-156.13</f>
        <v>#NAME?</v>
      </c>
      <c r="Z4" s="173">
        <v>267</v>
      </c>
      <c r="AA4" s="166">
        <v>271.01</v>
      </c>
      <c r="AB4" s="171">
        <v>8.488900000000001</v>
      </c>
      <c r="AC4" s="166">
        <v>1273.0999999999999</v>
      </c>
      <c r="AD4" s="169">
        <f>AB4/AC4*10^3</f>
        <v>6.6678972586599645</v>
      </c>
    </row>
    <row r="5" spans="1:30">
      <c r="A5" s="166">
        <v>409</v>
      </c>
      <c r="B5" s="166">
        <v>48.55</v>
      </c>
      <c r="C5" s="167">
        <v>4.51</v>
      </c>
      <c r="D5" s="166">
        <v>408.01</v>
      </c>
      <c r="E5" s="168" t="e">
        <f t="shared" si="0"/>
        <v>#NAME?</v>
      </c>
      <c r="F5" s="169">
        <v>408.01</v>
      </c>
      <c r="G5" s="170">
        <v>409.52</v>
      </c>
      <c r="H5" s="169">
        <v>6.4010571428571428</v>
      </c>
      <c r="I5" s="166">
        <v>1606</v>
      </c>
      <c r="J5" s="169">
        <f t="shared" ref="J5:J68" si="2">H5/I5*10^3</f>
        <v>3.9857142857142862</v>
      </c>
      <c r="L5" s="166">
        <v>430</v>
      </c>
      <c r="M5" s="166">
        <v>0.77</v>
      </c>
      <c r="N5" s="167">
        <v>0.77</v>
      </c>
      <c r="O5" s="166">
        <v>464.51</v>
      </c>
      <c r="P5" s="169" t="e">
        <f t="shared" si="1"/>
        <v>#NAME?</v>
      </c>
      <c r="Q5" s="171">
        <v>464.51</v>
      </c>
      <c r="R5" s="172">
        <v>465.02</v>
      </c>
      <c r="S5" s="169">
        <v>11.378400000000003</v>
      </c>
      <c r="U5" s="166">
        <v>258</v>
      </c>
      <c r="V5" s="166">
        <v>56.118000000000002</v>
      </c>
      <c r="W5" s="167">
        <v>6.6520000000000001</v>
      </c>
      <c r="X5" s="166">
        <v>267.01</v>
      </c>
      <c r="Y5" s="169" t="e">
        <f t="shared" ref="Y5:Y67" si="3">VLOOKUP(X5,THONGSOHO_SP3,2,1)+(VLOOKUP(X5+2,THONGSOHO_SP3,2,1)-VLOOKUP(X5,THONGSOHO_SP3,2,1))/2*(X5-VLOOKUP(X5,THONGSOHO_SP3,1,1))-156.13</f>
        <v>#NAME?</v>
      </c>
      <c r="Z5" s="173">
        <v>267.01</v>
      </c>
      <c r="AA5" s="166">
        <v>270.96100000000001</v>
      </c>
      <c r="AB5" s="171">
        <v>11.7974</v>
      </c>
      <c r="AC5" s="166">
        <v>1726.8</v>
      </c>
      <c r="AD5" s="169">
        <f>AB5/AC5*10^3</f>
        <v>6.83194347926801</v>
      </c>
    </row>
    <row r="6" spans="1:30">
      <c r="A6" s="166">
        <v>410</v>
      </c>
      <c r="B6" s="166">
        <v>53.15</v>
      </c>
      <c r="C6" s="167">
        <v>4.71</v>
      </c>
      <c r="D6" s="166">
        <v>408.02</v>
      </c>
      <c r="E6" s="168" t="e">
        <f t="shared" si="0"/>
        <v>#NAME?</v>
      </c>
      <c r="F6" s="169">
        <v>408.02</v>
      </c>
      <c r="G6" s="170">
        <v>409.46</v>
      </c>
      <c r="H6" s="169">
        <v>4.4954871428572369</v>
      </c>
      <c r="I6" s="166">
        <v>1127.9000000000233</v>
      </c>
      <c r="J6" s="169">
        <f t="shared" si="2"/>
        <v>3.9857142857142867</v>
      </c>
      <c r="L6" s="166">
        <v>435</v>
      </c>
      <c r="M6" s="166">
        <v>7.13</v>
      </c>
      <c r="N6" s="167">
        <v>1.85</v>
      </c>
      <c r="O6" s="166">
        <v>464.52</v>
      </c>
      <c r="P6" s="169" t="e">
        <f t="shared" si="1"/>
        <v>#NAME?</v>
      </c>
      <c r="Q6" s="171">
        <v>464.52</v>
      </c>
      <c r="R6" s="172">
        <v>465.03</v>
      </c>
      <c r="S6" s="169">
        <v>11.377600000000003</v>
      </c>
      <c r="U6" s="166">
        <v>260</v>
      </c>
      <c r="V6" s="166">
        <v>70.677999999999997</v>
      </c>
      <c r="W6" s="167">
        <v>7.9269999999999996</v>
      </c>
      <c r="X6" s="166">
        <v>267.02</v>
      </c>
      <c r="Y6" s="169" t="e">
        <f t="shared" si="3"/>
        <v>#NAME?</v>
      </c>
      <c r="Z6" s="173">
        <v>267.02</v>
      </c>
      <c r="AA6" s="166">
        <v>270.59199999999998</v>
      </c>
      <c r="AB6" s="171">
        <v>13.8096</v>
      </c>
      <c r="AC6" s="166">
        <v>2076</v>
      </c>
      <c r="AD6" s="169">
        <f t="shared" ref="AD6:AD69" si="4">AB6/AC6*10^3</f>
        <v>6.6520231213872831</v>
      </c>
    </row>
    <row r="7" spans="1:30">
      <c r="A7" s="166">
        <v>411</v>
      </c>
      <c r="B7" s="166">
        <v>57.98</v>
      </c>
      <c r="C7" s="167">
        <v>4.95</v>
      </c>
      <c r="D7" s="166">
        <v>408.03</v>
      </c>
      <c r="E7" s="168" t="e">
        <f t="shared" si="0"/>
        <v>#NAME?</v>
      </c>
      <c r="F7" s="169">
        <v>408.03</v>
      </c>
      <c r="G7" s="170">
        <v>409.78</v>
      </c>
      <c r="H7" s="169">
        <v>4.1961599999999537</v>
      </c>
      <c r="I7" s="166">
        <v>1052.7999999999884</v>
      </c>
      <c r="J7" s="169">
        <f t="shared" si="2"/>
        <v>3.9857142857142862</v>
      </c>
      <c r="L7" s="166">
        <v>440</v>
      </c>
      <c r="M7" s="166">
        <v>21.75</v>
      </c>
      <c r="N7" s="167">
        <v>4.1500000000000004</v>
      </c>
      <c r="O7" s="166">
        <v>464.53</v>
      </c>
      <c r="P7" s="169" t="e">
        <f t="shared" si="1"/>
        <v>#NAME?</v>
      </c>
      <c r="Q7" s="171">
        <v>464.53</v>
      </c>
      <c r="R7" s="172">
        <v>465.04</v>
      </c>
      <c r="S7" s="169">
        <v>11.376799999999999</v>
      </c>
      <c r="U7" s="166">
        <v>262</v>
      </c>
      <c r="V7" s="166">
        <v>87.896000000000001</v>
      </c>
      <c r="W7" s="167">
        <v>9.3089999999999993</v>
      </c>
      <c r="X7" s="166">
        <v>267.02999999999997</v>
      </c>
      <c r="Y7" s="169" t="e">
        <f t="shared" si="3"/>
        <v>#NAME?</v>
      </c>
      <c r="Z7" s="173">
        <v>267.02999999999997</v>
      </c>
      <c r="AA7" s="166">
        <v>270.14999999999998</v>
      </c>
      <c r="AB7" s="171">
        <v>13.5379</v>
      </c>
      <c r="AC7" s="166">
        <v>1986.3</v>
      </c>
      <c r="AD7" s="169">
        <f t="shared" si="4"/>
        <v>6.8156371142324925</v>
      </c>
    </row>
    <row r="8" spans="1:30">
      <c r="A8" s="166">
        <v>412</v>
      </c>
      <c r="B8" s="166">
        <v>63.24</v>
      </c>
      <c r="C8" s="167">
        <v>5.57</v>
      </c>
      <c r="D8" s="166">
        <v>408.04</v>
      </c>
      <c r="E8" s="168" t="e">
        <f t="shared" si="0"/>
        <v>#NAME?</v>
      </c>
      <c r="F8" s="169">
        <v>408.04</v>
      </c>
      <c r="G8" s="170">
        <v>409.48</v>
      </c>
      <c r="H8" s="169">
        <v>5.9163942857141469</v>
      </c>
      <c r="I8" s="166">
        <v>1484.3999999999651</v>
      </c>
      <c r="J8" s="169">
        <f t="shared" si="2"/>
        <v>3.9857142857142862</v>
      </c>
      <c r="L8" s="166">
        <v>445</v>
      </c>
      <c r="M8" s="166">
        <v>49.47</v>
      </c>
      <c r="N8" s="167">
        <v>7.07</v>
      </c>
      <c r="O8" s="166">
        <v>464.54</v>
      </c>
      <c r="P8" s="169" t="e">
        <f t="shared" si="1"/>
        <v>#NAME?</v>
      </c>
      <c r="Q8" s="171">
        <v>464.54</v>
      </c>
      <c r="R8" s="172">
        <v>465.05</v>
      </c>
      <c r="S8" s="169">
        <v>11.375999999999999</v>
      </c>
      <c r="U8" s="166">
        <v>264</v>
      </c>
      <c r="V8" s="166">
        <v>107.91</v>
      </c>
      <c r="W8" s="167">
        <v>10.723000000000001</v>
      </c>
      <c r="X8" s="166">
        <v>267.04000000000002</v>
      </c>
      <c r="Y8" s="169" t="e">
        <f t="shared" si="3"/>
        <v>#NAME?</v>
      </c>
      <c r="Z8" s="173">
        <v>267.04000000000002</v>
      </c>
      <c r="AA8" s="166">
        <v>270.14</v>
      </c>
      <c r="AB8" s="171">
        <v>6.2751999999999999</v>
      </c>
      <c r="AC8" s="166">
        <v>949.1</v>
      </c>
      <c r="AD8" s="169">
        <f t="shared" si="4"/>
        <v>6.6117374354651774</v>
      </c>
    </row>
    <row r="9" spans="1:30">
      <c r="A9" s="166">
        <v>413</v>
      </c>
      <c r="B9" s="166">
        <v>69.430000000000007</v>
      </c>
      <c r="C9" s="167">
        <v>6.82</v>
      </c>
      <c r="D9" s="166">
        <v>408.05</v>
      </c>
      <c r="E9" s="168" t="e">
        <f t="shared" si="0"/>
        <v>#NAME?</v>
      </c>
      <c r="F9" s="169">
        <v>408.05</v>
      </c>
      <c r="G9" s="170">
        <v>409.57</v>
      </c>
      <c r="H9" s="169">
        <v>3.7178742857142404</v>
      </c>
      <c r="I9" s="166">
        <v>932.79999999998836</v>
      </c>
      <c r="J9" s="169">
        <f t="shared" si="2"/>
        <v>3.9857142857142867</v>
      </c>
      <c r="L9" s="166">
        <v>450</v>
      </c>
      <c r="M9" s="166">
        <v>89.3</v>
      </c>
      <c r="N9" s="167">
        <v>8.89</v>
      </c>
      <c r="O9" s="166">
        <v>464.55</v>
      </c>
      <c r="P9" s="169" t="e">
        <f t="shared" si="1"/>
        <v>#NAME?</v>
      </c>
      <c r="Q9" s="171">
        <v>464.55</v>
      </c>
      <c r="R9" s="172">
        <v>465.06</v>
      </c>
      <c r="S9" s="169">
        <v>11.375200000000001</v>
      </c>
      <c r="U9" s="166">
        <v>266</v>
      </c>
      <c r="V9" s="166">
        <v>130.53</v>
      </c>
      <c r="W9" s="167">
        <v>11.907</v>
      </c>
      <c r="X9" s="166">
        <v>267.05</v>
      </c>
      <c r="Y9" s="169" t="e">
        <f t="shared" si="3"/>
        <v>#NAME?</v>
      </c>
      <c r="Z9" s="173">
        <v>267.05</v>
      </c>
      <c r="AA9" s="166">
        <v>270.11500000000001</v>
      </c>
      <c r="AB9" s="171">
        <v>9.3725999999999985</v>
      </c>
      <c r="AC9" s="166">
        <v>1405</v>
      </c>
      <c r="AD9" s="169">
        <f t="shared" si="4"/>
        <v>6.6708896797153017</v>
      </c>
    </row>
    <row r="10" spans="1:30">
      <c r="A10" s="166">
        <v>414</v>
      </c>
      <c r="B10" s="166">
        <v>78.489999999999995</v>
      </c>
      <c r="C10" s="167">
        <v>11.52</v>
      </c>
      <c r="D10" s="166">
        <v>408.06</v>
      </c>
      <c r="E10" s="168" t="e">
        <f t="shared" si="0"/>
        <v>#NAME?</v>
      </c>
      <c r="F10" s="169">
        <v>408.06</v>
      </c>
      <c r="G10" s="170">
        <v>410.69</v>
      </c>
      <c r="H10" s="169">
        <v>0.58829142857156791</v>
      </c>
      <c r="I10" s="166">
        <v>147.60000000003492</v>
      </c>
      <c r="J10" s="169">
        <f t="shared" si="2"/>
        <v>3.9857142857142867</v>
      </c>
      <c r="L10" s="166">
        <v>455</v>
      </c>
      <c r="M10" s="166">
        <v>138.22999999999999</v>
      </c>
      <c r="N10" s="167">
        <v>10.71</v>
      </c>
      <c r="O10" s="166">
        <v>464.56</v>
      </c>
      <c r="P10" s="169" t="e">
        <f t="shared" si="1"/>
        <v>#NAME?</v>
      </c>
      <c r="Q10" s="171">
        <v>464.56</v>
      </c>
      <c r="R10" s="172">
        <v>465.07</v>
      </c>
      <c r="S10" s="169">
        <v>11.374400000000001</v>
      </c>
      <c r="U10" s="166">
        <v>268</v>
      </c>
      <c r="V10" s="166">
        <v>156.13</v>
      </c>
      <c r="W10" s="167">
        <v>13.715999999999999</v>
      </c>
      <c r="X10" s="166">
        <v>267.06</v>
      </c>
      <c r="Y10" s="169" t="e">
        <f t="shared" si="3"/>
        <v>#NAME?</v>
      </c>
      <c r="Z10" s="173">
        <v>267.06</v>
      </c>
      <c r="AA10" s="166">
        <v>270.25400000000002</v>
      </c>
      <c r="AB10" s="171">
        <v>2.6944999999999997</v>
      </c>
      <c r="AC10" s="166">
        <v>407.7</v>
      </c>
      <c r="AD10" s="169">
        <f t="shared" si="4"/>
        <v>6.6090262447878336</v>
      </c>
    </row>
    <row r="11" spans="1:30">
      <c r="A11" s="166">
        <v>415</v>
      </c>
      <c r="B11" s="166">
        <v>95.710000000000363</v>
      </c>
      <c r="C11" s="167">
        <v>23.629999999999907</v>
      </c>
      <c r="D11" s="166">
        <v>408.07</v>
      </c>
      <c r="E11" s="168" t="e">
        <f t="shared" si="0"/>
        <v>#NAME?</v>
      </c>
      <c r="F11" s="169">
        <v>408.07</v>
      </c>
      <c r="G11" s="170">
        <v>410.91</v>
      </c>
      <c r="H11" s="169">
        <v>2.6070557142858539</v>
      </c>
      <c r="I11" s="166">
        <v>654.10000000003492</v>
      </c>
      <c r="J11" s="169">
        <f t="shared" si="2"/>
        <v>3.9857142857142862</v>
      </c>
      <c r="L11" s="166">
        <v>460</v>
      </c>
      <c r="M11" s="166">
        <v>196.24</v>
      </c>
      <c r="N11" s="167">
        <v>12.52</v>
      </c>
      <c r="O11" s="166">
        <v>464.57</v>
      </c>
      <c r="P11" s="169" t="e">
        <f t="shared" si="1"/>
        <v>#NAME?</v>
      </c>
      <c r="Q11" s="171">
        <v>464.57</v>
      </c>
      <c r="R11" s="172">
        <v>465.08</v>
      </c>
      <c r="S11" s="169">
        <v>11.373600000000001</v>
      </c>
      <c r="U11" s="166">
        <v>270</v>
      </c>
      <c r="V11" s="166">
        <v>185.58</v>
      </c>
      <c r="W11" s="167">
        <v>15.750999999999999</v>
      </c>
      <c r="X11" s="166">
        <v>267.07</v>
      </c>
      <c r="Y11" s="169" t="e">
        <f t="shared" si="3"/>
        <v>#NAME?</v>
      </c>
      <c r="Z11" s="173">
        <v>267.07</v>
      </c>
      <c r="AA11" s="166">
        <v>270.39</v>
      </c>
      <c r="AB11" s="171">
        <v>1.1000000000000001</v>
      </c>
      <c r="AC11" s="166">
        <v>157.69999999999999</v>
      </c>
      <c r="AD11" s="169">
        <f t="shared" si="4"/>
        <v>6.9752694990488271</v>
      </c>
    </row>
    <row r="12" spans="1:30">
      <c r="D12" s="166">
        <v>408.08</v>
      </c>
      <c r="E12" s="168" t="e">
        <f t="shared" si="0"/>
        <v>#NAME?</v>
      </c>
      <c r="F12" s="169">
        <v>408.08</v>
      </c>
      <c r="G12" s="170">
        <v>411.26</v>
      </c>
      <c r="H12" s="169">
        <v>2.8115228571427187</v>
      </c>
      <c r="I12" s="166">
        <v>705.39999999996508</v>
      </c>
      <c r="J12" s="169">
        <f t="shared" si="2"/>
        <v>3.9857142857142867</v>
      </c>
      <c r="L12" s="166">
        <v>465</v>
      </c>
      <c r="M12" s="166">
        <v>264.29000000000002</v>
      </c>
      <c r="N12" s="167">
        <v>14.73</v>
      </c>
      <c r="O12" s="166">
        <v>464.58</v>
      </c>
      <c r="P12" s="169" t="e">
        <f t="shared" si="1"/>
        <v>#NAME?</v>
      </c>
      <c r="Q12" s="171">
        <v>464.58</v>
      </c>
      <c r="R12" s="172">
        <v>465.09</v>
      </c>
      <c r="S12" s="169">
        <v>11.372800000000003</v>
      </c>
      <c r="U12" s="166">
        <v>272</v>
      </c>
      <c r="V12" s="166">
        <v>218.99</v>
      </c>
      <c r="W12" s="167">
        <v>17.675999999999998</v>
      </c>
      <c r="X12" s="166">
        <v>267.08</v>
      </c>
      <c r="Y12" s="169" t="e">
        <f t="shared" si="3"/>
        <v>#NAME?</v>
      </c>
      <c r="Z12" s="173">
        <v>267.08</v>
      </c>
      <c r="AA12" s="166">
        <v>270.52199999999999</v>
      </c>
      <c r="AB12" s="171">
        <v>1.9666999999999999</v>
      </c>
      <c r="AC12" s="166">
        <v>294.60000000000002</v>
      </c>
      <c r="AD12" s="169">
        <f t="shared" si="4"/>
        <v>6.6758316361167678</v>
      </c>
    </row>
    <row r="13" spans="1:30">
      <c r="D13" s="166">
        <v>408.09</v>
      </c>
      <c r="E13" s="168" t="e">
        <f t="shared" si="0"/>
        <v>#NAME?</v>
      </c>
      <c r="F13" s="169">
        <v>408.09</v>
      </c>
      <c r="G13" s="170">
        <v>411.35</v>
      </c>
      <c r="H13" s="169">
        <v>3.8031685714286176</v>
      </c>
      <c r="I13" s="166">
        <v>954.20000000001164</v>
      </c>
      <c r="J13" s="169">
        <f t="shared" si="2"/>
        <v>3.9857142857142853</v>
      </c>
      <c r="L13" s="166">
        <v>470</v>
      </c>
      <c r="M13" s="166">
        <v>344.25</v>
      </c>
      <c r="N13" s="167">
        <v>17.29</v>
      </c>
      <c r="O13" s="166">
        <v>464.59</v>
      </c>
      <c r="P13" s="169" t="e">
        <f t="shared" si="1"/>
        <v>#NAME?</v>
      </c>
      <c r="Q13" s="171">
        <v>464.59</v>
      </c>
      <c r="R13" s="172">
        <v>465.1</v>
      </c>
      <c r="S13" s="169">
        <v>11.371999999999998</v>
      </c>
      <c r="U13" s="166">
        <v>274</v>
      </c>
      <c r="V13" s="166">
        <v>256.19</v>
      </c>
      <c r="W13" s="167">
        <v>19.54</v>
      </c>
      <c r="X13" s="166">
        <v>267.08999999999997</v>
      </c>
      <c r="Y13" s="169" t="e">
        <f t="shared" si="3"/>
        <v>#NAME?</v>
      </c>
      <c r="Z13" s="173">
        <v>267.08999999999997</v>
      </c>
      <c r="AA13" s="166">
        <v>270.55900000000003</v>
      </c>
      <c r="AB13" s="171">
        <v>4.4146999999999998</v>
      </c>
      <c r="AC13" s="166">
        <v>630.79999999999995</v>
      </c>
      <c r="AD13" s="169">
        <f t="shared" si="4"/>
        <v>6.9985732403297405</v>
      </c>
    </row>
    <row r="14" spans="1:30">
      <c r="D14" s="166">
        <v>408.1</v>
      </c>
      <c r="E14" s="168" t="e">
        <f t="shared" si="0"/>
        <v>#NAME?</v>
      </c>
      <c r="F14" s="169">
        <v>408.1</v>
      </c>
      <c r="G14" s="170">
        <v>411.47</v>
      </c>
      <c r="H14" s="169">
        <v>3.1084585714284318</v>
      </c>
      <c r="I14" s="166">
        <v>779.89999999996508</v>
      </c>
      <c r="J14" s="169">
        <f t="shared" si="2"/>
        <v>3.9857142857142853</v>
      </c>
      <c r="L14" s="166">
        <v>475</v>
      </c>
      <c r="M14" s="166">
        <v>437.34</v>
      </c>
      <c r="N14" s="167">
        <v>19.97</v>
      </c>
      <c r="O14" s="166">
        <v>464.6</v>
      </c>
      <c r="P14" s="169" t="e">
        <f t="shared" si="1"/>
        <v>#NAME?</v>
      </c>
      <c r="Q14" s="171">
        <v>464.6</v>
      </c>
      <c r="R14" s="172">
        <v>465.11</v>
      </c>
      <c r="S14" s="169">
        <v>11.3712</v>
      </c>
      <c r="U14" s="166">
        <v>276</v>
      </c>
      <c r="V14" s="166">
        <v>297.3</v>
      </c>
      <c r="W14" s="167">
        <v>21.596</v>
      </c>
      <c r="X14" s="166">
        <v>267.10000000000002</v>
      </c>
      <c r="Y14" s="169" t="e">
        <f t="shared" si="3"/>
        <v>#NAME?</v>
      </c>
      <c r="Z14" s="173">
        <v>267.10000000000002</v>
      </c>
      <c r="AA14" s="166">
        <v>270.69900000000001</v>
      </c>
      <c r="AB14" s="171">
        <v>3.3619000000000003</v>
      </c>
      <c r="AC14" s="166">
        <v>657.8</v>
      </c>
      <c r="AD14" s="169">
        <f t="shared" si="4"/>
        <v>5.1108239586500464</v>
      </c>
    </row>
    <row r="15" spans="1:30">
      <c r="D15" s="166">
        <v>408.11</v>
      </c>
      <c r="E15" s="168" t="e">
        <f t="shared" si="0"/>
        <v>#NAME?</v>
      </c>
      <c r="F15" s="169">
        <v>408.11</v>
      </c>
      <c r="G15" s="170">
        <v>411.42</v>
      </c>
      <c r="H15" s="169">
        <v>3.7294328571429038</v>
      </c>
      <c r="I15" s="166">
        <v>935.70000000001164</v>
      </c>
      <c r="J15" s="169">
        <f t="shared" si="2"/>
        <v>3.9857142857142862</v>
      </c>
      <c r="L15" s="166">
        <v>480</v>
      </c>
      <c r="M15" s="166">
        <v>550.11</v>
      </c>
      <c r="N15" s="167">
        <v>25.24</v>
      </c>
      <c r="O15" s="166">
        <v>464.61</v>
      </c>
      <c r="P15" s="169" t="e">
        <f t="shared" si="1"/>
        <v>#NAME?</v>
      </c>
      <c r="Q15" s="171">
        <v>464.61</v>
      </c>
      <c r="R15" s="172">
        <v>465.12</v>
      </c>
      <c r="S15" s="169">
        <v>11.3704</v>
      </c>
      <c r="U15" s="166">
        <v>278</v>
      </c>
      <c r="V15" s="166">
        <v>342.66</v>
      </c>
      <c r="W15" s="167">
        <v>23.774999999999999</v>
      </c>
      <c r="X15" s="166">
        <v>267.11</v>
      </c>
      <c r="Y15" s="169" t="e">
        <f t="shared" si="3"/>
        <v>#NAME?</v>
      </c>
      <c r="Z15" s="173">
        <v>267.11</v>
      </c>
      <c r="AA15" s="166">
        <v>270.80799999999999</v>
      </c>
      <c r="AB15" s="171">
        <v>3.9559000000000006</v>
      </c>
      <c r="AC15" s="166">
        <v>588.5</v>
      </c>
      <c r="AD15" s="169">
        <f t="shared" si="4"/>
        <v>6.7220050977060328</v>
      </c>
    </row>
    <row r="16" spans="1:30">
      <c r="D16" s="166">
        <v>408.12</v>
      </c>
      <c r="E16" s="168" t="e">
        <f t="shared" si="0"/>
        <v>#NAME?</v>
      </c>
      <c r="F16" s="169">
        <v>408.12</v>
      </c>
      <c r="G16" s="170">
        <v>411.38</v>
      </c>
      <c r="H16" s="169">
        <v>3.3515871428570034</v>
      </c>
      <c r="I16" s="166">
        <v>840.89999999996508</v>
      </c>
      <c r="J16" s="169">
        <f t="shared" si="2"/>
        <v>3.9857142857142853</v>
      </c>
      <c r="L16" s="166">
        <v>485</v>
      </c>
      <c r="M16" s="166">
        <v>694.31</v>
      </c>
      <c r="N16" s="167">
        <v>32.590000000000003</v>
      </c>
      <c r="O16" s="166">
        <v>464.62</v>
      </c>
      <c r="P16" s="169" t="e">
        <f t="shared" si="1"/>
        <v>#NAME?</v>
      </c>
      <c r="Q16" s="171">
        <v>464.62</v>
      </c>
      <c r="R16" s="172">
        <v>465.13</v>
      </c>
      <c r="S16" s="169">
        <v>11.369600000000002</v>
      </c>
      <c r="U16" s="166">
        <v>280</v>
      </c>
      <c r="V16" s="166">
        <v>392.64</v>
      </c>
      <c r="W16" s="167">
        <v>26.228999999999999</v>
      </c>
      <c r="X16" s="166">
        <v>267.12</v>
      </c>
      <c r="Y16" s="169" t="e">
        <f t="shared" si="3"/>
        <v>#NAME?</v>
      </c>
      <c r="Z16" s="173">
        <v>267.12</v>
      </c>
      <c r="AA16" s="166">
        <v>270.899</v>
      </c>
      <c r="AB16" s="171">
        <v>4.1534079999999998</v>
      </c>
      <c r="AC16" s="166">
        <v>587.70000000000005</v>
      </c>
      <c r="AD16" s="169">
        <f t="shared" si="4"/>
        <v>7.0672247745448349</v>
      </c>
    </row>
    <row r="17" spans="4:30">
      <c r="D17" s="166">
        <v>408.13</v>
      </c>
      <c r="E17" s="168" t="e">
        <f t="shared" si="0"/>
        <v>#NAME?</v>
      </c>
      <c r="F17" s="169">
        <v>408.13</v>
      </c>
      <c r="G17" s="170">
        <v>411.68</v>
      </c>
      <c r="H17" s="169">
        <v>2.6700300000000925</v>
      </c>
      <c r="I17" s="166">
        <v>669.90000000002328</v>
      </c>
      <c r="J17" s="169">
        <f t="shared" si="2"/>
        <v>3.9857142857142853</v>
      </c>
      <c r="L17" s="166">
        <v>490</v>
      </c>
      <c r="M17" s="166">
        <v>879.43</v>
      </c>
      <c r="N17" s="167">
        <v>41.64</v>
      </c>
      <c r="O17" s="166">
        <v>464.63</v>
      </c>
      <c r="P17" s="169" t="e">
        <f t="shared" si="1"/>
        <v>#NAME?</v>
      </c>
      <c r="Q17" s="171">
        <v>464.63</v>
      </c>
      <c r="R17" s="172">
        <v>465.14</v>
      </c>
      <c r="S17" s="169">
        <v>11.368800000000002</v>
      </c>
      <c r="X17" s="166">
        <v>267.13</v>
      </c>
      <c r="Y17" s="169" t="e">
        <f t="shared" si="3"/>
        <v>#NAME?</v>
      </c>
      <c r="Z17" s="173">
        <v>267.13</v>
      </c>
      <c r="AA17" s="166">
        <v>270.93799999999999</v>
      </c>
      <c r="AB17" s="171">
        <v>5.2407000000000012</v>
      </c>
      <c r="AC17" s="166">
        <v>778.9</v>
      </c>
      <c r="AD17" s="169">
        <f t="shared" si="4"/>
        <v>6.7283348311721678</v>
      </c>
    </row>
    <row r="18" spans="4:30">
      <c r="D18" s="166">
        <v>408.14</v>
      </c>
      <c r="E18" s="168" t="e">
        <f t="shared" si="0"/>
        <v>#NAME?</v>
      </c>
      <c r="F18" s="169">
        <v>408.14</v>
      </c>
      <c r="G18" s="170">
        <v>411.7</v>
      </c>
      <c r="H18" s="169">
        <v>3.8119371428572353</v>
      </c>
      <c r="I18" s="166">
        <v>956.40000000002328</v>
      </c>
      <c r="J18" s="169">
        <f t="shared" si="2"/>
        <v>3.9857142857142853</v>
      </c>
      <c r="L18" s="166">
        <v>495</v>
      </c>
      <c r="M18" s="166">
        <v>1114.1500000000001</v>
      </c>
      <c r="N18" s="167">
        <v>52.46</v>
      </c>
      <c r="O18" s="166">
        <v>464.64</v>
      </c>
      <c r="P18" s="169" t="e">
        <f t="shared" si="1"/>
        <v>#NAME?</v>
      </c>
      <c r="Q18" s="171">
        <v>464.64</v>
      </c>
      <c r="R18" s="172">
        <v>465.15</v>
      </c>
      <c r="S18" s="169">
        <v>11.368000000000002</v>
      </c>
      <c r="X18" s="166">
        <v>267.14</v>
      </c>
      <c r="Y18" s="169" t="e">
        <f t="shared" si="3"/>
        <v>#NAME?</v>
      </c>
      <c r="Z18" s="173">
        <v>267.14</v>
      </c>
      <c r="AA18" s="166">
        <v>270.93799999999999</v>
      </c>
      <c r="AB18" s="171">
        <v>5.2407000000000012</v>
      </c>
      <c r="AC18" s="166">
        <v>778.9</v>
      </c>
      <c r="AD18" s="169">
        <f t="shared" si="4"/>
        <v>6.7283348311721678</v>
      </c>
    </row>
    <row r="19" spans="4:30">
      <c r="D19" s="166">
        <v>408.15</v>
      </c>
      <c r="E19" s="168" t="e">
        <f t="shared" si="0"/>
        <v>#NAME?</v>
      </c>
      <c r="F19" s="169">
        <v>408.15</v>
      </c>
      <c r="G19" s="170">
        <v>411.5</v>
      </c>
      <c r="H19" s="169">
        <v>3.663668571428385</v>
      </c>
      <c r="I19" s="166">
        <v>919.19999999995343</v>
      </c>
      <c r="J19" s="169">
        <f t="shared" si="2"/>
        <v>3.9857142857142853</v>
      </c>
      <c r="L19" s="166">
        <v>500</v>
      </c>
      <c r="M19" s="166">
        <v>1406.4</v>
      </c>
      <c r="N19" s="167">
        <v>64.650000000000006</v>
      </c>
      <c r="O19" s="166">
        <v>464.65</v>
      </c>
      <c r="P19" s="169" t="e">
        <f t="shared" si="1"/>
        <v>#NAME?</v>
      </c>
      <c r="Q19" s="171">
        <v>464.65</v>
      </c>
      <c r="R19" s="172">
        <v>465.16</v>
      </c>
      <c r="S19" s="169">
        <v>11.367199999999999</v>
      </c>
      <c r="X19" s="166">
        <v>267.14999999999998</v>
      </c>
      <c r="Y19" s="169" t="e">
        <f t="shared" si="3"/>
        <v>#NAME?</v>
      </c>
      <c r="Z19" s="173">
        <v>267.14999999999998</v>
      </c>
      <c r="AA19" s="166">
        <v>271.33199999999999</v>
      </c>
      <c r="AB19" s="171">
        <v>4.1899999999999995</v>
      </c>
      <c r="AC19" s="166">
        <v>649</v>
      </c>
      <c r="AD19" s="169">
        <f t="shared" si="4"/>
        <v>6.4560862865947604</v>
      </c>
    </row>
    <row r="20" spans="4:30">
      <c r="D20" s="166">
        <v>408.16</v>
      </c>
      <c r="E20" s="168" t="e">
        <f t="shared" si="0"/>
        <v>#NAME?</v>
      </c>
      <c r="F20" s="169">
        <v>408.16</v>
      </c>
      <c r="G20" s="170">
        <v>411.58</v>
      </c>
      <c r="H20" s="169">
        <v>3.7688914285715684</v>
      </c>
      <c r="I20" s="166">
        <v>945.60000000003492</v>
      </c>
      <c r="J20" s="169">
        <f t="shared" si="2"/>
        <v>3.9857142857142862</v>
      </c>
      <c r="O20" s="166">
        <v>464.66</v>
      </c>
      <c r="P20" s="169" t="e">
        <f t="shared" si="1"/>
        <v>#NAME?</v>
      </c>
      <c r="Q20" s="171">
        <v>464.66</v>
      </c>
      <c r="R20" s="172">
        <v>465.17</v>
      </c>
      <c r="S20" s="169">
        <v>11.366399999999999</v>
      </c>
      <c r="X20" s="166">
        <v>267.16000000000003</v>
      </c>
      <c r="Y20" s="169" t="e">
        <f t="shared" si="3"/>
        <v>#NAME?</v>
      </c>
      <c r="Z20" s="173">
        <v>267.16000000000003</v>
      </c>
      <c r="AA20" s="166">
        <v>271.11279999999999</v>
      </c>
      <c r="AB20" s="171">
        <v>7.8856000000000019</v>
      </c>
      <c r="AC20" s="166">
        <v>1185.7</v>
      </c>
      <c r="AD20" s="169">
        <f t="shared" si="4"/>
        <v>6.6505861516403826</v>
      </c>
    </row>
    <row r="21" spans="4:30">
      <c r="D21" s="166">
        <v>408.17</v>
      </c>
      <c r="E21" s="168" t="e">
        <f t="shared" si="0"/>
        <v>#NAME?</v>
      </c>
      <c r="F21" s="169">
        <v>408.17</v>
      </c>
      <c r="G21" s="170">
        <v>411.5</v>
      </c>
      <c r="H21" s="169">
        <v>4.2053271428570502</v>
      </c>
      <c r="I21" s="166">
        <v>1055.0999999999767</v>
      </c>
      <c r="J21" s="169">
        <f t="shared" si="2"/>
        <v>3.9857142857142862</v>
      </c>
      <c r="O21" s="166">
        <v>464.67</v>
      </c>
      <c r="P21" s="169" t="e">
        <f t="shared" si="1"/>
        <v>#NAME?</v>
      </c>
      <c r="Q21" s="171">
        <v>464.67</v>
      </c>
      <c r="R21" s="172">
        <v>465.18</v>
      </c>
      <c r="S21" s="169">
        <v>11.365600000000001</v>
      </c>
      <c r="X21" s="166">
        <v>267.17</v>
      </c>
      <c r="Y21" s="169" t="e">
        <f t="shared" si="3"/>
        <v>#NAME?</v>
      </c>
      <c r="Z21" s="173">
        <v>267.17</v>
      </c>
      <c r="AA21" s="166">
        <v>271.197</v>
      </c>
      <c r="AB21" s="171">
        <v>6.3777000000000008</v>
      </c>
      <c r="AC21" s="166">
        <v>954.8</v>
      </c>
      <c r="AD21" s="169">
        <f t="shared" si="4"/>
        <v>6.6796187683284467</v>
      </c>
    </row>
    <row r="22" spans="4:30">
      <c r="D22" s="166">
        <v>408.18</v>
      </c>
      <c r="E22" s="168" t="e">
        <f t="shared" si="0"/>
        <v>#NAME?</v>
      </c>
      <c r="F22" s="169">
        <v>408.18</v>
      </c>
      <c r="G22" s="170">
        <v>411.94</v>
      </c>
      <c r="H22" s="169">
        <v>1.7373728571429499</v>
      </c>
      <c r="I22" s="166">
        <v>435.90000000002328</v>
      </c>
      <c r="J22" s="169">
        <f t="shared" si="2"/>
        <v>3.9857142857142853</v>
      </c>
      <c r="O22" s="166">
        <v>464.68</v>
      </c>
      <c r="P22" s="169" t="e">
        <f t="shared" si="1"/>
        <v>#NAME?</v>
      </c>
      <c r="Q22" s="171">
        <v>464.68</v>
      </c>
      <c r="R22" s="172">
        <v>465.19</v>
      </c>
      <c r="S22" s="169">
        <v>11.364800000000001</v>
      </c>
      <c r="X22" s="166">
        <v>267.18</v>
      </c>
      <c r="Y22" s="169" t="e">
        <f t="shared" si="3"/>
        <v>#NAME?</v>
      </c>
      <c r="Z22" s="173">
        <v>267.18</v>
      </c>
      <c r="AA22" s="166">
        <v>271.16199999999998</v>
      </c>
      <c r="AB22" s="171">
        <v>4.8697999999999997</v>
      </c>
      <c r="AC22" s="166">
        <v>727.6</v>
      </c>
      <c r="AD22" s="169">
        <f t="shared" si="4"/>
        <v>6.6929631665750406</v>
      </c>
    </row>
    <row r="23" spans="4:30">
      <c r="D23" s="166">
        <v>408.19</v>
      </c>
      <c r="E23" s="168" t="e">
        <f t="shared" si="0"/>
        <v>#NAME?</v>
      </c>
      <c r="F23" s="169">
        <v>408.19</v>
      </c>
      <c r="G23" s="170">
        <v>410.88</v>
      </c>
      <c r="H23" s="169">
        <v>9.7231500000000004</v>
      </c>
      <c r="I23" s="166">
        <v>2439.5</v>
      </c>
      <c r="J23" s="169">
        <f t="shared" si="2"/>
        <v>3.9857142857142862</v>
      </c>
      <c r="O23" s="166">
        <v>464.69</v>
      </c>
      <c r="P23" s="169" t="e">
        <f t="shared" si="1"/>
        <v>#NAME?</v>
      </c>
      <c r="Q23" s="171">
        <v>464.69</v>
      </c>
      <c r="R23" s="172">
        <v>465.2</v>
      </c>
      <c r="S23" s="169">
        <v>11.364000000000003</v>
      </c>
      <c r="X23" s="166">
        <v>267.19</v>
      </c>
      <c r="Y23" s="169" t="e">
        <f t="shared" si="3"/>
        <v>#NAME?</v>
      </c>
      <c r="Z23" s="173">
        <v>267.19</v>
      </c>
      <c r="AA23" s="166">
        <v>271.09800000000001</v>
      </c>
      <c r="AB23" s="171">
        <v>5.3148</v>
      </c>
      <c r="AC23" s="166">
        <v>785.7</v>
      </c>
      <c r="AD23" s="169">
        <f t="shared" si="4"/>
        <v>6.7644138984345163</v>
      </c>
    </row>
    <row r="24" spans="4:30">
      <c r="D24" s="166">
        <v>408.2</v>
      </c>
      <c r="E24" s="168" t="e">
        <f t="shared" si="0"/>
        <v>#NAME?</v>
      </c>
      <c r="F24" s="169">
        <v>408.2</v>
      </c>
      <c r="G24" s="170">
        <v>411.33</v>
      </c>
      <c r="H24" s="169">
        <v>2.0936957142856678</v>
      </c>
      <c r="I24" s="166">
        <v>525.29999999998836</v>
      </c>
      <c r="J24" s="169">
        <f t="shared" si="2"/>
        <v>3.9857142857142853</v>
      </c>
      <c r="O24" s="166">
        <v>464.7</v>
      </c>
      <c r="P24" s="169" t="e">
        <f t="shared" si="1"/>
        <v>#NAME?</v>
      </c>
      <c r="Q24" s="171">
        <v>464.7</v>
      </c>
      <c r="R24" s="172">
        <v>465.21</v>
      </c>
      <c r="S24" s="169">
        <v>11.363200000000003</v>
      </c>
      <c r="X24" s="166">
        <v>267.2</v>
      </c>
      <c r="Y24" s="169" t="e">
        <f t="shared" si="3"/>
        <v>#NAME?</v>
      </c>
      <c r="Z24" s="173">
        <v>267.2</v>
      </c>
      <c r="AA24" s="166">
        <v>271.19600000000003</v>
      </c>
      <c r="AB24" s="171">
        <v>9.5667000000000009</v>
      </c>
      <c r="AC24" s="166">
        <v>1424.7</v>
      </c>
      <c r="AD24" s="169">
        <f t="shared" si="4"/>
        <v>6.7148873447041488</v>
      </c>
    </row>
    <row r="25" spans="4:30">
      <c r="D25" s="166">
        <v>408.21</v>
      </c>
      <c r="E25" s="168" t="e">
        <f t="shared" si="0"/>
        <v>#NAME?</v>
      </c>
      <c r="F25" s="169">
        <v>408.21</v>
      </c>
      <c r="G25" s="170">
        <v>411.57</v>
      </c>
      <c r="H25" s="169">
        <v>3.6509142857142849</v>
      </c>
      <c r="I25" s="166">
        <v>916</v>
      </c>
      <c r="J25" s="169">
        <f t="shared" si="2"/>
        <v>3.9857142857142853</v>
      </c>
      <c r="O25" s="166">
        <v>464.71</v>
      </c>
      <c r="P25" s="169" t="e">
        <f t="shared" si="1"/>
        <v>#NAME?</v>
      </c>
      <c r="Q25" s="171">
        <v>464.71</v>
      </c>
      <c r="R25" s="172">
        <v>465.22</v>
      </c>
      <c r="S25" s="169">
        <v>11.362399999999999</v>
      </c>
      <c r="X25" s="166">
        <v>267.20999999999998</v>
      </c>
      <c r="Y25" s="169" t="e">
        <f t="shared" si="3"/>
        <v>#NAME?</v>
      </c>
      <c r="Z25" s="173">
        <v>267.20999999999998</v>
      </c>
      <c r="AA25" s="166">
        <v>270.702</v>
      </c>
      <c r="AB25" s="171">
        <v>13.807700000000001</v>
      </c>
      <c r="AC25" s="166">
        <v>2066.4</v>
      </c>
      <c r="AD25" s="169">
        <f t="shared" si="4"/>
        <v>6.6820073557878441</v>
      </c>
    </row>
    <row r="26" spans="4:30">
      <c r="D26" s="166">
        <v>408.22</v>
      </c>
      <c r="E26" s="168" t="e">
        <f t="shared" si="0"/>
        <v>#NAME?</v>
      </c>
      <c r="F26" s="169">
        <v>408.22</v>
      </c>
      <c r="G26" s="170">
        <v>411.73</v>
      </c>
      <c r="H26" s="169">
        <v>3.1048714285714283</v>
      </c>
      <c r="I26" s="166">
        <v>779</v>
      </c>
      <c r="J26" s="169">
        <f t="shared" si="2"/>
        <v>3.9857142857142853</v>
      </c>
      <c r="O26" s="166">
        <v>464.72</v>
      </c>
      <c r="P26" s="169" t="e">
        <f t="shared" si="1"/>
        <v>#NAME?</v>
      </c>
      <c r="Q26" s="171">
        <v>464.72</v>
      </c>
      <c r="R26" s="172">
        <v>465.23</v>
      </c>
      <c r="S26" s="169">
        <v>11.361599999999999</v>
      </c>
      <c r="X26" s="166">
        <v>267.22000000000003</v>
      </c>
      <c r="Y26" s="169" t="e">
        <f t="shared" si="3"/>
        <v>#NAME?</v>
      </c>
      <c r="Z26" s="173">
        <v>267.22000000000003</v>
      </c>
      <c r="AA26" s="166">
        <v>270.791</v>
      </c>
      <c r="AB26" s="171">
        <v>3.9923000000000002</v>
      </c>
      <c r="AC26" s="166">
        <v>594</v>
      </c>
      <c r="AD26" s="169">
        <f t="shared" si="4"/>
        <v>6.7210437710437718</v>
      </c>
    </row>
    <row r="27" spans="4:30">
      <c r="D27" s="166">
        <v>408.23</v>
      </c>
      <c r="E27" s="168" t="e">
        <f t="shared" si="0"/>
        <v>#NAME?</v>
      </c>
      <c r="F27" s="169">
        <v>408.23</v>
      </c>
      <c r="G27" s="170">
        <v>411.59</v>
      </c>
      <c r="H27" s="169">
        <v>4.3878728571429493</v>
      </c>
      <c r="I27" s="166">
        <v>1100.9000000000233</v>
      </c>
      <c r="J27" s="169">
        <f t="shared" si="2"/>
        <v>3.9857142857142853</v>
      </c>
      <c r="O27" s="166">
        <v>464.73</v>
      </c>
      <c r="P27" s="169" t="e">
        <f t="shared" si="1"/>
        <v>#NAME?</v>
      </c>
      <c r="Q27" s="171">
        <v>464.73</v>
      </c>
      <c r="R27" s="172">
        <v>465.24</v>
      </c>
      <c r="S27" s="169">
        <v>11.360799999999999</v>
      </c>
      <c r="X27" s="166">
        <v>267.23</v>
      </c>
      <c r="Y27" s="169" t="e">
        <f t="shared" si="3"/>
        <v>#NAME?</v>
      </c>
      <c r="Z27" s="173">
        <v>267.23</v>
      </c>
      <c r="AA27" s="166">
        <v>270.791</v>
      </c>
      <c r="AB27" s="171">
        <v>5.5746000000000002</v>
      </c>
      <c r="AC27" s="166">
        <v>833.3</v>
      </c>
      <c r="AD27" s="169">
        <f t="shared" si="4"/>
        <v>6.6897875915036611</v>
      </c>
    </row>
    <row r="28" spans="4:30">
      <c r="D28" s="166">
        <v>408.24</v>
      </c>
      <c r="E28" s="168" t="e">
        <f t="shared" si="0"/>
        <v>#NAME?</v>
      </c>
      <c r="F28" s="169">
        <v>408.24</v>
      </c>
      <c r="G28" s="170">
        <v>411.18</v>
      </c>
      <c r="H28" s="169">
        <v>6.5808128571427629</v>
      </c>
      <c r="I28" s="166">
        <v>1651.0999999999767</v>
      </c>
      <c r="J28" s="169">
        <f t="shared" si="2"/>
        <v>3.9857142857142853</v>
      </c>
      <c r="O28" s="166">
        <v>464.74</v>
      </c>
      <c r="P28" s="169" t="e">
        <f t="shared" si="1"/>
        <v>#NAME?</v>
      </c>
      <c r="Q28" s="171">
        <v>464.74</v>
      </c>
      <c r="R28" s="172">
        <v>465.25</v>
      </c>
      <c r="S28" s="169">
        <v>11.360000000000001</v>
      </c>
      <c r="X28" s="166">
        <v>267.24</v>
      </c>
      <c r="Y28" s="169" t="e">
        <f t="shared" si="3"/>
        <v>#NAME?</v>
      </c>
      <c r="Z28" s="173">
        <v>267.24</v>
      </c>
      <c r="AA28" s="166">
        <v>270.57799999999997</v>
      </c>
      <c r="AB28" s="171">
        <v>10.048600000000002</v>
      </c>
      <c r="AC28" s="166">
        <v>1497.4</v>
      </c>
      <c r="AD28" s="169">
        <f t="shared" si="4"/>
        <v>6.7106985441431828</v>
      </c>
    </row>
    <row r="29" spans="4:30">
      <c r="D29" s="166">
        <v>408.25</v>
      </c>
      <c r="E29" s="168" t="e">
        <f t="shared" si="0"/>
        <v>#NAME?</v>
      </c>
      <c r="F29" s="169">
        <v>408.25</v>
      </c>
      <c r="G29" s="170">
        <v>411.29</v>
      </c>
      <c r="H29" s="169">
        <v>4.3500085714286634</v>
      </c>
      <c r="I29" s="166">
        <v>1091.4000000000233</v>
      </c>
      <c r="J29" s="169">
        <f t="shared" si="2"/>
        <v>3.9857142857142853</v>
      </c>
      <c r="O29" s="166">
        <v>464.75</v>
      </c>
      <c r="P29" s="169" t="e">
        <f t="shared" si="1"/>
        <v>#NAME?</v>
      </c>
      <c r="Q29" s="171">
        <v>464.75</v>
      </c>
      <c r="R29" s="172">
        <v>465.26</v>
      </c>
      <c r="S29" s="169">
        <v>11.359200000000001</v>
      </c>
      <c r="X29" s="166">
        <v>267.25</v>
      </c>
      <c r="Y29" s="169" t="e">
        <f t="shared" si="3"/>
        <v>#NAME?</v>
      </c>
      <c r="Z29" s="173">
        <v>267.25</v>
      </c>
      <c r="AA29" s="166">
        <v>270.50799999999998</v>
      </c>
      <c r="AB29" s="171">
        <v>7.8609999999999989</v>
      </c>
      <c r="AC29" s="166">
        <v>1188</v>
      </c>
      <c r="AD29" s="169">
        <f t="shared" si="4"/>
        <v>6.6170033670033659</v>
      </c>
    </row>
    <row r="30" spans="4:30">
      <c r="D30" s="166">
        <v>408.26</v>
      </c>
      <c r="E30" s="168" t="e">
        <f t="shared" si="0"/>
        <v>#NAME?</v>
      </c>
      <c r="F30" s="169">
        <v>408.26</v>
      </c>
      <c r="G30" s="170">
        <v>411.34</v>
      </c>
      <c r="H30" s="169">
        <v>4.397438571428756</v>
      </c>
      <c r="I30" s="166">
        <v>1103.3000000000466</v>
      </c>
      <c r="J30" s="169">
        <f t="shared" si="2"/>
        <v>3.9857142857142853</v>
      </c>
      <c r="O30" s="166">
        <v>464.76</v>
      </c>
      <c r="P30" s="169" t="e">
        <f t="shared" si="1"/>
        <v>#NAME?</v>
      </c>
      <c r="Q30" s="171">
        <v>464.76</v>
      </c>
      <c r="R30" s="172">
        <v>465.27</v>
      </c>
      <c r="S30" s="169">
        <v>11.358400000000001</v>
      </c>
      <c r="X30" s="166">
        <v>267.26</v>
      </c>
      <c r="Y30" s="169" t="e">
        <f t="shared" si="3"/>
        <v>#NAME?</v>
      </c>
      <c r="Z30" s="173">
        <v>267.26</v>
      </c>
      <c r="AA30" s="166">
        <v>270.49650000000003</v>
      </c>
      <c r="AB30" s="171">
        <v>10.159900000000002</v>
      </c>
      <c r="AC30" s="166">
        <v>1503.3</v>
      </c>
      <c r="AD30" s="169">
        <f t="shared" si="4"/>
        <v>6.7583981906472443</v>
      </c>
    </row>
    <row r="31" spans="4:30">
      <c r="D31" s="166">
        <v>408.27</v>
      </c>
      <c r="E31" s="168" t="e">
        <f t="shared" si="0"/>
        <v>#NAME?</v>
      </c>
      <c r="F31" s="169">
        <v>408.27</v>
      </c>
      <c r="G31" s="170">
        <v>411.6</v>
      </c>
      <c r="H31" s="169">
        <v>3.5285528571428117</v>
      </c>
      <c r="I31" s="166">
        <v>885.29999999998836</v>
      </c>
      <c r="J31" s="169">
        <f t="shared" si="2"/>
        <v>3.9857142857142867</v>
      </c>
      <c r="O31" s="166">
        <v>464.77</v>
      </c>
      <c r="P31" s="169" t="e">
        <f t="shared" si="1"/>
        <v>#NAME?</v>
      </c>
      <c r="Q31" s="171">
        <v>464.77</v>
      </c>
      <c r="R31" s="172">
        <v>465.28</v>
      </c>
      <c r="S31" s="169">
        <v>11.357600000000003</v>
      </c>
      <c r="X31" s="166">
        <v>267.27</v>
      </c>
      <c r="Y31" s="169" t="e">
        <f t="shared" si="3"/>
        <v>#NAME?</v>
      </c>
      <c r="Z31" s="173">
        <v>267.27</v>
      </c>
      <c r="AA31" s="166">
        <v>270.303</v>
      </c>
      <c r="AB31" s="171">
        <v>11.135899999999998</v>
      </c>
      <c r="AC31" s="166">
        <v>1698.2</v>
      </c>
      <c r="AD31" s="169">
        <f t="shared" si="4"/>
        <v>6.5574726180661855</v>
      </c>
    </row>
    <row r="32" spans="4:30">
      <c r="D32" s="166">
        <v>408.28</v>
      </c>
      <c r="E32" s="168" t="e">
        <f t="shared" si="0"/>
        <v>#NAME?</v>
      </c>
      <c r="F32" s="169">
        <v>408.28</v>
      </c>
      <c r="G32" s="170">
        <v>411.14</v>
      </c>
      <c r="H32" s="169">
        <v>7.3823400000000463</v>
      </c>
      <c r="I32" s="166">
        <v>1852.2000000000116</v>
      </c>
      <c r="J32" s="169">
        <f t="shared" si="2"/>
        <v>3.9857142857142862</v>
      </c>
      <c r="O32" s="166">
        <v>464.78</v>
      </c>
      <c r="P32" s="169" t="e">
        <f t="shared" si="1"/>
        <v>#NAME?</v>
      </c>
      <c r="Q32" s="171">
        <v>464.78</v>
      </c>
      <c r="R32" s="172">
        <v>465.29</v>
      </c>
      <c r="S32" s="169">
        <v>11.3568</v>
      </c>
      <c r="X32" s="166">
        <v>267.27999999999997</v>
      </c>
      <c r="Y32" s="169" t="e">
        <f t="shared" si="3"/>
        <v>#NAME?</v>
      </c>
      <c r="Z32" s="173">
        <v>267.27999999999997</v>
      </c>
      <c r="AA32" s="166">
        <v>270.53699999999998</v>
      </c>
      <c r="AB32" s="171">
        <v>2.8428</v>
      </c>
      <c r="AC32" s="166">
        <v>428.6</v>
      </c>
      <c r="AD32" s="169">
        <f t="shared" si="4"/>
        <v>6.63275781614559</v>
      </c>
    </row>
    <row r="33" spans="4:30">
      <c r="D33" s="166">
        <v>408.29</v>
      </c>
      <c r="E33" s="168" t="e">
        <f t="shared" si="0"/>
        <v>#NAME?</v>
      </c>
      <c r="F33" s="169">
        <v>408.29</v>
      </c>
      <c r="G33" s="170">
        <v>411.92</v>
      </c>
      <c r="H33" s="169">
        <v>1.6652314285713823</v>
      </c>
      <c r="I33" s="166">
        <v>417.79999999998836</v>
      </c>
      <c r="J33" s="169">
        <f t="shared" si="2"/>
        <v>3.9857142857142862</v>
      </c>
      <c r="O33" s="166">
        <v>464.79</v>
      </c>
      <c r="P33" s="169" t="e">
        <f t="shared" si="1"/>
        <v>#NAME?</v>
      </c>
      <c r="Q33" s="171">
        <v>464.79</v>
      </c>
      <c r="R33" s="172">
        <v>465.3</v>
      </c>
      <c r="S33" s="169">
        <v>11.356</v>
      </c>
      <c r="X33" s="166">
        <v>267.29000000000002</v>
      </c>
      <c r="Y33" s="169" t="e">
        <f t="shared" si="3"/>
        <v>#NAME?</v>
      </c>
      <c r="Z33" s="173">
        <v>267.29000000000002</v>
      </c>
      <c r="AA33" s="166">
        <v>270.57400000000001</v>
      </c>
      <c r="AB33" s="171">
        <v>9.6479000000000017</v>
      </c>
      <c r="AC33" s="166">
        <v>1440.3</v>
      </c>
      <c r="AD33" s="169">
        <f t="shared" si="4"/>
        <v>6.6985350274248434</v>
      </c>
    </row>
    <row r="34" spans="4:30">
      <c r="D34" s="166">
        <v>408.3</v>
      </c>
      <c r="E34" s="168" t="e">
        <f t="shared" si="0"/>
        <v>#NAME?</v>
      </c>
      <c r="F34" s="169">
        <v>408.3</v>
      </c>
      <c r="G34" s="170">
        <v>411.45</v>
      </c>
      <c r="H34" s="169">
        <v>6.2444185714286187</v>
      </c>
      <c r="I34" s="166">
        <v>1566.7000000000116</v>
      </c>
      <c r="J34" s="169">
        <f t="shared" si="2"/>
        <v>3.9857142857142862</v>
      </c>
      <c r="O34" s="166">
        <v>464.8</v>
      </c>
      <c r="P34" s="169" t="e">
        <f t="shared" si="1"/>
        <v>#NAME?</v>
      </c>
      <c r="Q34" s="171">
        <v>464.8</v>
      </c>
      <c r="R34" s="172">
        <v>465.31</v>
      </c>
      <c r="S34" s="169">
        <v>11.3552</v>
      </c>
      <c r="X34" s="166">
        <v>267.3</v>
      </c>
      <c r="Y34" s="169" t="e">
        <f t="shared" si="3"/>
        <v>#NAME?</v>
      </c>
      <c r="Z34" s="173">
        <v>267.3</v>
      </c>
      <c r="AA34" s="166">
        <v>270.7604</v>
      </c>
      <c r="AB34" s="171">
        <v>0.88990000000000025</v>
      </c>
      <c r="AC34" s="166">
        <v>128.69999999999999</v>
      </c>
      <c r="AD34" s="169">
        <f t="shared" si="4"/>
        <v>6.9145299145299175</v>
      </c>
    </row>
    <row r="35" spans="4:30">
      <c r="D35" s="166">
        <v>408.31</v>
      </c>
      <c r="E35" s="168" t="e">
        <f t="shared" si="0"/>
        <v>#NAME?</v>
      </c>
      <c r="F35" s="169">
        <v>408.31</v>
      </c>
      <c r="G35" s="170">
        <v>411.84</v>
      </c>
      <c r="H35" s="169">
        <v>3.7668985714284786</v>
      </c>
      <c r="I35" s="166">
        <v>945.09999999997672</v>
      </c>
      <c r="J35" s="169">
        <f t="shared" si="2"/>
        <v>3.9857142857142862</v>
      </c>
      <c r="O35" s="166">
        <v>464.81</v>
      </c>
      <c r="P35" s="169" t="e">
        <f t="shared" si="1"/>
        <v>#NAME?</v>
      </c>
      <c r="Q35" s="171">
        <v>464.81</v>
      </c>
      <c r="R35" s="172">
        <v>465.32</v>
      </c>
      <c r="S35" s="169">
        <v>11.354400000000002</v>
      </c>
      <c r="X35" s="166">
        <v>267.31</v>
      </c>
      <c r="Y35" s="169" t="e">
        <f t="shared" si="3"/>
        <v>#NAME?</v>
      </c>
      <c r="Z35" s="173">
        <v>267.31</v>
      </c>
      <c r="AA35" s="166">
        <v>271.01</v>
      </c>
      <c r="AB35" s="171">
        <v>8.488900000000001</v>
      </c>
      <c r="AC35" s="166">
        <v>1273.0999999999999</v>
      </c>
      <c r="AD35" s="169">
        <f t="shared" si="4"/>
        <v>6.6678972586599645</v>
      </c>
    </row>
    <row r="36" spans="4:30">
      <c r="D36" s="166">
        <v>408.32</v>
      </c>
      <c r="E36" s="168" t="e">
        <f t="shared" si="0"/>
        <v>#NAME?</v>
      </c>
      <c r="F36" s="169">
        <v>408.32</v>
      </c>
      <c r="G36" s="170">
        <v>411.87</v>
      </c>
      <c r="H36" s="169">
        <v>5.2364314285713824</v>
      </c>
      <c r="I36" s="166">
        <v>1313.7999999999884</v>
      </c>
      <c r="J36" s="169">
        <f t="shared" si="2"/>
        <v>3.9857142857142862</v>
      </c>
      <c r="O36" s="166">
        <v>464.82</v>
      </c>
      <c r="P36" s="169" t="e">
        <f t="shared" si="1"/>
        <v>#NAME?</v>
      </c>
      <c r="Q36" s="171">
        <v>464.82</v>
      </c>
      <c r="R36" s="172">
        <v>465.33</v>
      </c>
      <c r="S36" s="169">
        <v>11.353600000000002</v>
      </c>
      <c r="X36" s="166">
        <v>267.32</v>
      </c>
      <c r="Y36" s="169" t="e">
        <f t="shared" si="3"/>
        <v>#NAME?</v>
      </c>
      <c r="Z36" s="173">
        <v>267.32</v>
      </c>
      <c r="AA36" s="166">
        <v>271.12299999999999</v>
      </c>
      <c r="AB36" s="171">
        <v>9.7272999999999996</v>
      </c>
      <c r="AC36" s="166">
        <v>1450.5</v>
      </c>
      <c r="AD36" s="169">
        <f t="shared" si="4"/>
        <v>6.7061702861082386</v>
      </c>
    </row>
    <row r="37" spans="4:30">
      <c r="D37" s="166">
        <v>408.33</v>
      </c>
      <c r="E37" s="168" t="e">
        <f t="shared" si="0"/>
        <v>#NAME?</v>
      </c>
      <c r="F37" s="169">
        <v>408.33</v>
      </c>
      <c r="G37" s="170">
        <v>411.41</v>
      </c>
      <c r="H37" s="169">
        <v>7.6230771428572828</v>
      </c>
      <c r="I37" s="166">
        <v>1912.6000000000349</v>
      </c>
      <c r="J37" s="169">
        <f t="shared" si="2"/>
        <v>3.9857142857142862</v>
      </c>
      <c r="O37" s="166">
        <v>464.83</v>
      </c>
      <c r="P37" s="169" t="e">
        <f t="shared" si="1"/>
        <v>#NAME?</v>
      </c>
      <c r="Q37" s="171">
        <v>464.83</v>
      </c>
      <c r="R37" s="172">
        <v>465.34</v>
      </c>
      <c r="S37" s="169">
        <v>11.352800000000002</v>
      </c>
      <c r="X37" s="166">
        <v>267.33</v>
      </c>
      <c r="Y37" s="169" t="e">
        <f t="shared" si="3"/>
        <v>#NAME?</v>
      </c>
      <c r="Z37" s="173">
        <v>267.33</v>
      </c>
      <c r="AA37" s="166">
        <v>271.13200000000001</v>
      </c>
      <c r="AB37" s="171">
        <v>7.7001999999999988</v>
      </c>
      <c r="AC37" s="166">
        <v>1147.8</v>
      </c>
      <c r="AD37" s="169">
        <f t="shared" si="4"/>
        <v>6.7086600453040592</v>
      </c>
    </row>
    <row r="38" spans="4:30">
      <c r="D38" s="166">
        <v>408.34</v>
      </c>
      <c r="E38" s="168" t="e">
        <f t="shared" si="0"/>
        <v>#NAME?</v>
      </c>
      <c r="F38" s="169">
        <v>408.34</v>
      </c>
      <c r="G38" s="170">
        <v>410.82</v>
      </c>
      <c r="H38" s="169">
        <v>7.9200128571427619</v>
      </c>
      <c r="I38" s="166">
        <v>1987.0999999999767</v>
      </c>
      <c r="J38" s="169">
        <f t="shared" si="2"/>
        <v>3.9857142857142844</v>
      </c>
      <c r="O38" s="166">
        <v>464.84</v>
      </c>
      <c r="P38" s="169" t="e">
        <f t="shared" si="1"/>
        <v>#NAME?</v>
      </c>
      <c r="Q38" s="171">
        <v>464.84</v>
      </c>
      <c r="R38" s="172">
        <v>465.35</v>
      </c>
      <c r="S38" s="169">
        <v>11.351999999999999</v>
      </c>
      <c r="X38" s="166">
        <v>267.33999999999997</v>
      </c>
      <c r="Y38" s="169" t="e">
        <f t="shared" si="3"/>
        <v>#NAME?</v>
      </c>
      <c r="Z38" s="173">
        <v>267.33999999999997</v>
      </c>
      <c r="AA38" s="166">
        <v>271.24599999999998</v>
      </c>
      <c r="AB38" s="171">
        <v>8.7756000000000007</v>
      </c>
      <c r="AC38" s="166">
        <v>1315.5</v>
      </c>
      <c r="AD38" s="169">
        <f t="shared" si="4"/>
        <v>6.6709236031927031</v>
      </c>
    </row>
    <row r="39" spans="4:30">
      <c r="D39" s="166">
        <v>408.35</v>
      </c>
      <c r="E39" s="168" t="e">
        <f t="shared" si="0"/>
        <v>#NAME?</v>
      </c>
      <c r="F39" s="169">
        <v>408.35</v>
      </c>
      <c r="G39" s="170">
        <v>410.66</v>
      </c>
      <c r="H39" s="169">
        <v>6.8518414285713369</v>
      </c>
      <c r="I39" s="166">
        <v>1719.0999999999767</v>
      </c>
      <c r="J39" s="169">
        <f t="shared" si="2"/>
        <v>3.9857142857142862</v>
      </c>
      <c r="O39" s="166">
        <v>464.85</v>
      </c>
      <c r="P39" s="169" t="e">
        <f t="shared" si="1"/>
        <v>#NAME?</v>
      </c>
      <c r="Q39" s="171">
        <v>464.85</v>
      </c>
      <c r="R39" s="172">
        <v>465.36</v>
      </c>
      <c r="S39" s="169">
        <v>11.3512</v>
      </c>
      <c r="X39" s="166">
        <v>267.35000000000002</v>
      </c>
      <c r="Y39" s="169" t="e">
        <f t="shared" si="3"/>
        <v>#NAME?</v>
      </c>
      <c r="Z39" s="173">
        <v>267.35000000000002</v>
      </c>
      <c r="AA39" s="166">
        <v>271.24599999999998</v>
      </c>
      <c r="AB39" s="171">
        <v>8.7756000000000007</v>
      </c>
      <c r="AC39" s="166">
        <v>1315.5</v>
      </c>
      <c r="AD39" s="169">
        <f t="shared" si="4"/>
        <v>6.6709236031927031</v>
      </c>
    </row>
    <row r="40" spans="4:30">
      <c r="D40" s="166">
        <v>408.36</v>
      </c>
      <c r="E40" s="168" t="e">
        <f t="shared" si="0"/>
        <v>#NAME?</v>
      </c>
      <c r="F40" s="169">
        <v>408.36</v>
      </c>
      <c r="G40" s="170">
        <v>410.28</v>
      </c>
      <c r="H40" s="169">
        <v>7.4536842857144254</v>
      </c>
      <c r="I40" s="166">
        <v>1870.1000000000349</v>
      </c>
      <c r="J40" s="169">
        <f t="shared" si="2"/>
        <v>3.9857142857142862</v>
      </c>
      <c r="O40" s="166">
        <v>464.86</v>
      </c>
      <c r="P40" s="169" t="e">
        <f t="shared" si="1"/>
        <v>#NAME?</v>
      </c>
      <c r="Q40" s="171">
        <v>464.86</v>
      </c>
      <c r="R40" s="172">
        <v>465.37</v>
      </c>
      <c r="S40" s="169">
        <v>11.3504</v>
      </c>
      <c r="X40" s="166">
        <v>267.36</v>
      </c>
      <c r="Y40" s="169" t="e">
        <f t="shared" si="3"/>
        <v>#NAME?</v>
      </c>
      <c r="Z40" s="173">
        <v>267.36</v>
      </c>
      <c r="AA40" s="166">
        <v>271.887</v>
      </c>
      <c r="AB40" s="171">
        <v>9.3565000000000005</v>
      </c>
      <c r="AC40" s="166">
        <v>1372.5</v>
      </c>
      <c r="AD40" s="169">
        <f t="shared" si="4"/>
        <v>6.81712204007286</v>
      </c>
    </row>
    <row r="41" spans="4:30">
      <c r="D41" s="166">
        <v>408.37</v>
      </c>
      <c r="E41" s="168" t="e">
        <f t="shared" si="0"/>
        <v>#NAME?</v>
      </c>
      <c r="F41" s="169">
        <v>408.37</v>
      </c>
      <c r="G41" s="170">
        <v>410.32</v>
      </c>
      <c r="H41" s="169">
        <v>5.8550142857142848</v>
      </c>
      <c r="I41" s="166">
        <v>1469</v>
      </c>
      <c r="J41" s="169">
        <f t="shared" si="2"/>
        <v>3.9857142857142853</v>
      </c>
      <c r="O41" s="166">
        <v>464.87</v>
      </c>
      <c r="P41" s="169" t="e">
        <f t="shared" si="1"/>
        <v>#NAME?</v>
      </c>
      <c r="Q41" s="171">
        <v>464.87</v>
      </c>
      <c r="R41" s="172">
        <v>465.38</v>
      </c>
      <c r="S41" s="169">
        <v>11.349600000000001</v>
      </c>
      <c r="X41" s="166">
        <v>267.37</v>
      </c>
      <c r="Y41" s="169" t="e">
        <f t="shared" si="3"/>
        <v>#NAME?</v>
      </c>
      <c r="Z41" s="173">
        <v>267.37</v>
      </c>
      <c r="AA41" s="166">
        <v>271.9717</v>
      </c>
      <c r="AB41" s="171">
        <v>7.5267999999999997</v>
      </c>
      <c r="AC41" s="166">
        <v>1142.4000000000001</v>
      </c>
      <c r="AD41" s="169">
        <f t="shared" si="4"/>
        <v>6.5885854341736687</v>
      </c>
    </row>
    <row r="42" spans="4:30">
      <c r="D42" s="166">
        <v>408.38</v>
      </c>
      <c r="E42" s="168" t="e">
        <f t="shared" si="0"/>
        <v>#NAME?</v>
      </c>
      <c r="F42" s="169">
        <v>408.38</v>
      </c>
      <c r="G42" s="170">
        <v>410.38</v>
      </c>
      <c r="H42" s="169">
        <v>5.6884114285714746</v>
      </c>
      <c r="I42" s="166">
        <v>1427.2000000000116</v>
      </c>
      <c r="J42" s="169">
        <f t="shared" si="2"/>
        <v>3.9857142857142853</v>
      </c>
      <c r="O42" s="166">
        <v>464.88</v>
      </c>
      <c r="P42" s="169" t="e">
        <f t="shared" si="1"/>
        <v>#NAME?</v>
      </c>
      <c r="Q42" s="171">
        <v>464.88</v>
      </c>
      <c r="R42" s="172">
        <v>465.39</v>
      </c>
      <c r="S42" s="169">
        <v>11.348800000000002</v>
      </c>
      <c r="X42" s="166">
        <v>267.38</v>
      </c>
      <c r="Y42" s="169" t="e">
        <f t="shared" si="3"/>
        <v>#NAME?</v>
      </c>
      <c r="Z42" s="173">
        <v>267.38</v>
      </c>
      <c r="AA42" s="166">
        <v>272.00639999999999</v>
      </c>
      <c r="AB42" s="171">
        <v>10.3428</v>
      </c>
      <c r="AC42" s="166">
        <v>1525.9</v>
      </c>
      <c r="AD42" s="169">
        <f t="shared" si="4"/>
        <v>6.7781637066649187</v>
      </c>
    </row>
    <row r="43" spans="4:30">
      <c r="D43" s="166">
        <v>408.39</v>
      </c>
      <c r="E43" s="168" t="e">
        <f t="shared" si="0"/>
        <v>#NAME?</v>
      </c>
      <c r="F43" s="169">
        <v>408.39</v>
      </c>
      <c r="G43" s="170">
        <v>410.38</v>
      </c>
      <c r="H43" s="169">
        <v>5.6884114285714746</v>
      </c>
      <c r="I43" s="166">
        <v>1427.2000000000116</v>
      </c>
      <c r="J43" s="169">
        <f t="shared" si="2"/>
        <v>3.9857142857142853</v>
      </c>
      <c r="O43" s="166">
        <v>464.89</v>
      </c>
      <c r="P43" s="169" t="e">
        <f t="shared" si="1"/>
        <v>#NAME?</v>
      </c>
      <c r="Q43" s="171">
        <v>464.89</v>
      </c>
      <c r="R43" s="172">
        <v>465.4</v>
      </c>
      <c r="S43" s="169">
        <v>11.348000000000003</v>
      </c>
      <c r="X43" s="166">
        <v>267.39</v>
      </c>
      <c r="Y43" s="169" t="e">
        <f t="shared" si="3"/>
        <v>#NAME?</v>
      </c>
      <c r="Z43" s="173">
        <v>267.39</v>
      </c>
      <c r="AA43" s="166">
        <v>272.00299999999999</v>
      </c>
      <c r="AB43" s="171">
        <v>10.596400000000001</v>
      </c>
      <c r="AC43" s="166">
        <v>1389.4</v>
      </c>
      <c r="AD43" s="169">
        <f t="shared" si="4"/>
        <v>7.6266014106808697</v>
      </c>
    </row>
    <row r="44" spans="4:30">
      <c r="D44" s="166">
        <v>408.4</v>
      </c>
      <c r="E44" s="168" t="e">
        <f t="shared" si="0"/>
        <v>#NAME?</v>
      </c>
      <c r="F44" s="169">
        <v>408.4</v>
      </c>
      <c r="G44" s="170">
        <v>410.89</v>
      </c>
      <c r="H44" s="169">
        <v>5.2655271428570503</v>
      </c>
      <c r="I44" s="166">
        <v>1321.0999999999767</v>
      </c>
      <c r="J44" s="169">
        <f t="shared" si="2"/>
        <v>3.9857142857142862</v>
      </c>
      <c r="O44" s="166">
        <v>464.9</v>
      </c>
      <c r="P44" s="169" t="e">
        <f t="shared" si="1"/>
        <v>#NAME?</v>
      </c>
      <c r="Q44" s="171">
        <v>464.9</v>
      </c>
      <c r="R44" s="172">
        <v>465.41</v>
      </c>
      <c r="S44" s="169">
        <v>11.347199999999999</v>
      </c>
      <c r="X44" s="166">
        <v>267.39999999999998</v>
      </c>
      <c r="Y44" s="169" t="e">
        <f t="shared" si="3"/>
        <v>#NAME?</v>
      </c>
      <c r="Z44" s="173">
        <v>267.39999999999998</v>
      </c>
      <c r="AA44" s="166">
        <v>272.00299999999999</v>
      </c>
      <c r="AB44" s="171">
        <v>10.596400000000001</v>
      </c>
      <c r="AC44" s="166">
        <v>1389.4</v>
      </c>
      <c r="AD44" s="169">
        <f t="shared" si="4"/>
        <v>7.6266014106808697</v>
      </c>
    </row>
    <row r="45" spans="4:30">
      <c r="D45" s="166">
        <v>408.41</v>
      </c>
      <c r="E45" s="168" t="e">
        <f t="shared" si="0"/>
        <v>#NAME?</v>
      </c>
      <c r="F45" s="169">
        <v>408.41</v>
      </c>
      <c r="G45" s="170">
        <v>411.46</v>
      </c>
      <c r="H45" s="169">
        <v>1.353947142857189</v>
      </c>
      <c r="I45" s="166">
        <v>339.70000000001164</v>
      </c>
      <c r="J45" s="169">
        <f t="shared" si="2"/>
        <v>3.9857142857142853</v>
      </c>
      <c r="O45" s="166">
        <v>464.91</v>
      </c>
      <c r="P45" s="169" t="e">
        <f t="shared" si="1"/>
        <v>#NAME?</v>
      </c>
      <c r="Q45" s="171">
        <v>464.91</v>
      </c>
      <c r="R45" s="172">
        <v>465.42</v>
      </c>
      <c r="S45" s="169">
        <v>11.346399999999999</v>
      </c>
      <c r="X45" s="166">
        <v>267.41000000000003</v>
      </c>
      <c r="Y45" s="169" t="e">
        <f t="shared" si="3"/>
        <v>#NAME?</v>
      </c>
      <c r="Z45" s="173">
        <v>267.41000000000003</v>
      </c>
      <c r="AA45" s="166">
        <v>271.67880000000002</v>
      </c>
      <c r="AB45" s="171">
        <v>8.1576000000000004</v>
      </c>
      <c r="AC45" s="166">
        <v>1194.0999999999999</v>
      </c>
      <c r="AD45" s="169">
        <f t="shared" si="4"/>
        <v>6.8315886441671561</v>
      </c>
    </row>
    <row r="46" spans="4:30">
      <c r="D46" s="166">
        <v>408.42</v>
      </c>
      <c r="E46" s="168" t="e">
        <f t="shared" si="0"/>
        <v>#NAME?</v>
      </c>
      <c r="F46" s="169">
        <v>408.42</v>
      </c>
      <c r="G46" s="170">
        <v>411.3</v>
      </c>
      <c r="H46" s="169">
        <v>7.2942557142856215</v>
      </c>
      <c r="I46" s="166">
        <v>1830.0999999999767</v>
      </c>
      <c r="J46" s="169">
        <f t="shared" si="2"/>
        <v>3.9857142857142862</v>
      </c>
      <c r="O46" s="166">
        <v>464.92</v>
      </c>
      <c r="P46" s="169" t="e">
        <f t="shared" si="1"/>
        <v>#NAME?</v>
      </c>
      <c r="Q46" s="171">
        <v>464.92</v>
      </c>
      <c r="R46" s="172">
        <v>465.43</v>
      </c>
      <c r="S46" s="169">
        <v>11.345600000000001</v>
      </c>
      <c r="X46" s="166">
        <v>267.42</v>
      </c>
      <c r="Y46" s="169" t="e">
        <f t="shared" si="3"/>
        <v>#NAME?</v>
      </c>
      <c r="Z46" s="173">
        <v>267.42</v>
      </c>
      <c r="AA46" s="166">
        <v>271.839</v>
      </c>
      <c r="AB46" s="171">
        <v>1.4831999999999999</v>
      </c>
      <c r="AC46" s="166">
        <v>191.9</v>
      </c>
      <c r="AD46" s="169">
        <f t="shared" si="4"/>
        <v>7.7290255341323597</v>
      </c>
    </row>
    <row r="47" spans="4:30">
      <c r="D47" s="166">
        <v>408.43</v>
      </c>
      <c r="E47" s="168" t="e">
        <f t="shared" si="0"/>
        <v>#NAME?</v>
      </c>
      <c r="F47" s="169">
        <v>408.43</v>
      </c>
      <c r="G47" s="170">
        <v>411.08</v>
      </c>
      <c r="H47" s="169">
        <v>8.9610814285713829</v>
      </c>
      <c r="I47" s="166">
        <v>2248.2999999999884</v>
      </c>
      <c r="J47" s="169">
        <f t="shared" si="2"/>
        <v>3.9857142857142862</v>
      </c>
      <c r="O47" s="166">
        <v>464.93</v>
      </c>
      <c r="P47" s="169" t="e">
        <f t="shared" si="1"/>
        <v>#NAME?</v>
      </c>
      <c r="Q47" s="171">
        <v>464.93</v>
      </c>
      <c r="R47" s="172">
        <v>465.44</v>
      </c>
      <c r="S47" s="169">
        <v>11.344800000000001</v>
      </c>
      <c r="X47" s="166">
        <v>267.43</v>
      </c>
      <c r="Y47" s="169" t="e">
        <f t="shared" si="3"/>
        <v>#NAME?</v>
      </c>
      <c r="Z47" s="173">
        <v>267.43</v>
      </c>
      <c r="AA47" s="166">
        <v>271.67200000000003</v>
      </c>
      <c r="AB47" s="171">
        <v>12.307499999999999</v>
      </c>
      <c r="AC47" s="166">
        <v>1852.1</v>
      </c>
      <c r="AD47" s="169">
        <f t="shared" si="4"/>
        <v>6.6451595486204846</v>
      </c>
    </row>
    <row r="48" spans="4:30">
      <c r="D48" s="166">
        <v>408.44</v>
      </c>
      <c r="E48" s="168" t="e">
        <f t="shared" si="0"/>
        <v>#NAME?</v>
      </c>
      <c r="F48" s="169">
        <v>408.44</v>
      </c>
      <c r="G48" s="170">
        <v>411.01</v>
      </c>
      <c r="H48" s="169">
        <v>9.0802542857141013</v>
      </c>
      <c r="I48" s="166">
        <v>2278.1999999999534</v>
      </c>
      <c r="J48" s="169">
        <f t="shared" si="2"/>
        <v>3.9857142857142862</v>
      </c>
      <c r="O48" s="166">
        <v>464.94</v>
      </c>
      <c r="P48" s="169" t="e">
        <f t="shared" si="1"/>
        <v>#NAME?</v>
      </c>
      <c r="Q48" s="171">
        <v>464.94</v>
      </c>
      <c r="R48" s="172">
        <v>465.45</v>
      </c>
      <c r="S48" s="169">
        <v>11.344000000000001</v>
      </c>
      <c r="X48" s="166">
        <v>267.44</v>
      </c>
      <c r="Y48" s="169" t="e">
        <f t="shared" si="3"/>
        <v>#NAME?</v>
      </c>
      <c r="Z48" s="173">
        <v>267.44</v>
      </c>
      <c r="AA48" s="166">
        <v>271.19600000000003</v>
      </c>
      <c r="AB48" s="171">
        <v>18.013400000000001</v>
      </c>
      <c r="AC48" s="166">
        <v>2692.5</v>
      </c>
      <c r="AD48" s="169">
        <f t="shared" si="4"/>
        <v>6.6902135561745588</v>
      </c>
    </row>
    <row r="49" spans="4:30">
      <c r="D49" s="166">
        <v>408.45</v>
      </c>
      <c r="E49" s="168" t="e">
        <f t="shared" si="0"/>
        <v>#NAME?</v>
      </c>
      <c r="F49" s="169">
        <v>408.45</v>
      </c>
      <c r="G49" s="170">
        <v>411.44</v>
      </c>
      <c r="H49" s="169">
        <v>6.1459714285716602</v>
      </c>
      <c r="I49" s="166">
        <v>1542.0000000000582</v>
      </c>
      <c r="J49" s="169">
        <f t="shared" si="2"/>
        <v>3.9857142857142853</v>
      </c>
      <c r="O49" s="166">
        <v>464.95</v>
      </c>
      <c r="P49" s="169" t="e">
        <f t="shared" si="1"/>
        <v>#NAME?</v>
      </c>
      <c r="Q49" s="171">
        <v>464.95</v>
      </c>
      <c r="R49" s="172">
        <v>465.46</v>
      </c>
      <c r="S49" s="169">
        <v>11.343200000000003</v>
      </c>
      <c r="X49" s="166">
        <v>267.45</v>
      </c>
      <c r="Y49" s="169" t="e">
        <f t="shared" si="3"/>
        <v>#NAME?</v>
      </c>
      <c r="Z49" s="173">
        <v>267.45</v>
      </c>
      <c r="AA49" s="166">
        <v>271.15499999999997</v>
      </c>
      <c r="AB49" s="171">
        <v>15.054000000000002</v>
      </c>
      <c r="AC49" s="166">
        <v>2239.1</v>
      </c>
      <c r="AD49" s="169">
        <f t="shared" si="4"/>
        <v>6.7232370148720477</v>
      </c>
    </row>
    <row r="50" spans="4:30">
      <c r="D50" s="166">
        <v>408.46</v>
      </c>
      <c r="E50" s="168" t="e">
        <f t="shared" si="0"/>
        <v>#NAME?</v>
      </c>
      <c r="F50" s="169">
        <v>408.46</v>
      </c>
      <c r="G50" s="170">
        <v>411.81</v>
      </c>
      <c r="H50" s="169">
        <v>4.4835300000000933</v>
      </c>
      <c r="I50" s="166">
        <v>1124.9000000000233</v>
      </c>
      <c r="J50" s="169">
        <f t="shared" si="2"/>
        <v>3.9857142857142862</v>
      </c>
      <c r="O50" s="166">
        <v>464.96</v>
      </c>
      <c r="P50" s="169" t="e">
        <f t="shared" si="1"/>
        <v>#NAME?</v>
      </c>
      <c r="Q50" s="171">
        <v>464.96</v>
      </c>
      <c r="R50" s="172">
        <v>465.47</v>
      </c>
      <c r="S50" s="169">
        <v>11.342399999999998</v>
      </c>
      <c r="X50" s="166">
        <v>267.45999999999998</v>
      </c>
      <c r="Y50" s="169" t="e">
        <f t="shared" si="3"/>
        <v>#NAME?</v>
      </c>
      <c r="Z50" s="173">
        <v>267.45999999999998</v>
      </c>
      <c r="AA50" s="166">
        <v>271.04899999999998</v>
      </c>
      <c r="AB50" s="171">
        <v>10.790200000000002</v>
      </c>
      <c r="AC50" s="166">
        <v>1526</v>
      </c>
      <c r="AD50" s="169">
        <f t="shared" si="4"/>
        <v>7.0709043250327666</v>
      </c>
    </row>
    <row r="51" spans="4:30">
      <c r="D51" s="166">
        <v>408.47</v>
      </c>
      <c r="E51" s="168" t="e">
        <f t="shared" si="0"/>
        <v>#NAME?</v>
      </c>
      <c r="F51" s="169">
        <v>408.47</v>
      </c>
      <c r="G51" s="170">
        <v>411.67</v>
      </c>
      <c r="H51" s="169">
        <v>7.4449157142855746</v>
      </c>
      <c r="I51" s="166">
        <v>1867.8999999999651</v>
      </c>
      <c r="J51" s="169">
        <f t="shared" si="2"/>
        <v>3.9857142857142853</v>
      </c>
      <c r="O51" s="166">
        <v>464.97</v>
      </c>
      <c r="P51" s="169" t="e">
        <f t="shared" si="1"/>
        <v>#NAME?</v>
      </c>
      <c r="Q51" s="171">
        <v>464.97</v>
      </c>
      <c r="R51" s="172">
        <v>465.48</v>
      </c>
      <c r="S51" s="169">
        <v>11.3416</v>
      </c>
      <c r="X51" s="166">
        <v>267.47000000000003</v>
      </c>
      <c r="Y51" s="169" t="e">
        <f t="shared" si="3"/>
        <v>#NAME?</v>
      </c>
      <c r="Z51" s="173">
        <v>267.47000000000003</v>
      </c>
      <c r="AA51" s="166">
        <v>271.18900000000002</v>
      </c>
      <c r="AB51" s="171">
        <v>6.3148</v>
      </c>
      <c r="AC51" s="166">
        <v>950.2</v>
      </c>
      <c r="AD51" s="169">
        <f t="shared" si="4"/>
        <v>6.6457587876236577</v>
      </c>
    </row>
    <row r="52" spans="4:30">
      <c r="D52" s="166">
        <v>408.48</v>
      </c>
      <c r="E52" s="168" t="e">
        <f t="shared" si="0"/>
        <v>#NAME?</v>
      </c>
      <c r="F52" s="169">
        <v>408.48</v>
      </c>
      <c r="G52" s="170">
        <v>411.65</v>
      </c>
      <c r="H52" s="169">
        <v>6.3819257142857602</v>
      </c>
      <c r="I52" s="166">
        <v>1601.2000000000116</v>
      </c>
      <c r="J52" s="169">
        <f t="shared" si="2"/>
        <v>3.9857142857142853</v>
      </c>
      <c r="O52" s="166">
        <v>464.98</v>
      </c>
      <c r="P52" s="169" t="e">
        <f t="shared" si="1"/>
        <v>#NAME?</v>
      </c>
      <c r="Q52" s="171">
        <v>464.98</v>
      </c>
      <c r="R52" s="172">
        <v>465.49</v>
      </c>
      <c r="S52" s="169">
        <v>11.3408</v>
      </c>
      <c r="X52" s="166">
        <v>267.48</v>
      </c>
      <c r="Y52" s="169" t="e">
        <f t="shared" si="3"/>
        <v>#NAME?</v>
      </c>
      <c r="Z52" s="173">
        <v>267.48</v>
      </c>
      <c r="AA52" s="166">
        <v>271.45999999999998</v>
      </c>
      <c r="AB52" s="171">
        <v>6.6126000000000014</v>
      </c>
      <c r="AC52" s="166">
        <v>988.4</v>
      </c>
      <c r="AD52" s="169">
        <f t="shared" si="4"/>
        <v>6.6902063941724013</v>
      </c>
    </row>
    <row r="53" spans="4:30">
      <c r="D53" s="166">
        <v>408.49</v>
      </c>
      <c r="E53" s="168" t="e">
        <f t="shared" si="0"/>
        <v>#NAME?</v>
      </c>
      <c r="F53" s="169">
        <v>408.49</v>
      </c>
      <c r="G53" s="170">
        <v>410.82</v>
      </c>
      <c r="H53" s="169">
        <v>9.3971185714283862</v>
      </c>
      <c r="I53" s="166">
        <v>2357.6999999999534</v>
      </c>
      <c r="J53" s="169">
        <f t="shared" si="2"/>
        <v>3.9857142857142862</v>
      </c>
      <c r="O53" s="166">
        <v>464.99</v>
      </c>
      <c r="P53" s="169" t="e">
        <f t="shared" si="1"/>
        <v>#NAME?</v>
      </c>
      <c r="Q53" s="171">
        <v>464.99</v>
      </c>
      <c r="R53" s="172">
        <v>465.5</v>
      </c>
      <c r="S53" s="169">
        <v>11.34</v>
      </c>
      <c r="X53" s="166">
        <v>267.49</v>
      </c>
      <c r="Y53" s="169" t="e">
        <f t="shared" si="3"/>
        <v>#NAME?</v>
      </c>
      <c r="Z53" s="173">
        <v>267.49</v>
      </c>
      <c r="AA53" s="166">
        <v>271.75900000000001</v>
      </c>
      <c r="AB53" s="171">
        <v>3.5134000000000003</v>
      </c>
      <c r="AC53" s="166">
        <v>535.29999999999995</v>
      </c>
      <c r="AD53" s="169">
        <f t="shared" si="4"/>
        <v>6.563422379973848</v>
      </c>
    </row>
    <row r="54" spans="4:30">
      <c r="D54" s="166">
        <v>408.5</v>
      </c>
      <c r="E54" s="168" t="e">
        <f t="shared" si="0"/>
        <v>#NAME?</v>
      </c>
      <c r="F54" s="169">
        <v>408.5</v>
      </c>
      <c r="G54" s="170">
        <v>409.32</v>
      </c>
      <c r="H54" s="169">
        <v>12.934440000000045</v>
      </c>
      <c r="I54" s="166">
        <v>3245.2000000000116</v>
      </c>
      <c r="J54" s="169">
        <f t="shared" si="2"/>
        <v>3.9857142857142853</v>
      </c>
      <c r="O54" s="166">
        <v>465</v>
      </c>
      <c r="P54" s="169" t="e">
        <f t="shared" si="1"/>
        <v>#NAME?</v>
      </c>
      <c r="Q54" s="171">
        <v>465</v>
      </c>
      <c r="R54" s="172">
        <v>465.51</v>
      </c>
      <c r="S54" s="169">
        <v>11.339200000000002</v>
      </c>
      <c r="X54" s="166">
        <v>267.5</v>
      </c>
      <c r="Y54" s="169" t="e">
        <f t="shared" si="3"/>
        <v>#NAME?</v>
      </c>
      <c r="Z54" s="173">
        <v>267.5</v>
      </c>
      <c r="AA54" s="166">
        <v>271.61</v>
      </c>
      <c r="AB54" s="171">
        <v>14.166499999999999</v>
      </c>
      <c r="AC54" s="166">
        <v>2114.5</v>
      </c>
      <c r="AD54" s="169">
        <f t="shared" si="4"/>
        <v>6.699692598723102</v>
      </c>
    </row>
    <row r="55" spans="4:30">
      <c r="D55" s="166">
        <v>408.51</v>
      </c>
      <c r="E55" s="168" t="e">
        <f t="shared" si="0"/>
        <v>#NAME?</v>
      </c>
      <c r="F55" s="169">
        <v>408.51</v>
      </c>
      <c r="G55" s="170">
        <v>409</v>
      </c>
      <c r="H55" s="169">
        <v>7.0439528571430428</v>
      </c>
      <c r="I55" s="166">
        <v>1767.3000000000466</v>
      </c>
      <c r="J55" s="169">
        <f t="shared" si="2"/>
        <v>3.9857142857142862</v>
      </c>
      <c r="O55" s="166">
        <v>465.01</v>
      </c>
      <c r="P55" s="169" t="e">
        <f t="shared" si="1"/>
        <v>#NAME?</v>
      </c>
      <c r="Q55" s="171">
        <v>465.01</v>
      </c>
      <c r="R55" s="172">
        <v>465.52</v>
      </c>
      <c r="S55" s="169">
        <v>11.338400000000002</v>
      </c>
      <c r="X55" s="166">
        <v>267.51</v>
      </c>
      <c r="Y55" s="169" t="e">
        <f t="shared" si="3"/>
        <v>#NAME?</v>
      </c>
      <c r="Z55" s="173">
        <v>267.51</v>
      </c>
      <c r="AA55" s="166">
        <v>271.57400000000001</v>
      </c>
      <c r="AB55" s="171">
        <v>16.766100000000002</v>
      </c>
      <c r="AC55" s="166">
        <v>2500.3000000000002</v>
      </c>
      <c r="AD55" s="169">
        <f t="shared" si="4"/>
        <v>6.7056353237611486</v>
      </c>
    </row>
    <row r="56" spans="4:30">
      <c r="D56" s="166">
        <v>408.52</v>
      </c>
      <c r="E56" s="168" t="e">
        <f t="shared" si="0"/>
        <v>#NAME?</v>
      </c>
      <c r="F56" s="169">
        <v>408.52</v>
      </c>
      <c r="G56" s="170">
        <v>409.42</v>
      </c>
      <c r="H56" s="169">
        <v>2.5815471428571883</v>
      </c>
      <c r="I56" s="166">
        <v>642.30000000004657</v>
      </c>
      <c r="J56" s="169">
        <f t="shared" si="2"/>
        <v>4.0192233268830782</v>
      </c>
      <c r="O56" s="166">
        <v>465.02</v>
      </c>
      <c r="P56" s="169" t="e">
        <f t="shared" si="1"/>
        <v>#NAME?</v>
      </c>
      <c r="Q56" s="171">
        <v>465.02</v>
      </c>
      <c r="R56" s="172">
        <v>465.53</v>
      </c>
      <c r="S56" s="169">
        <v>11.337600000000004</v>
      </c>
      <c r="X56" s="166">
        <v>267.52</v>
      </c>
      <c r="Y56" s="169" t="e">
        <f t="shared" si="3"/>
        <v>#NAME?</v>
      </c>
      <c r="Z56" s="173">
        <v>267.52</v>
      </c>
      <c r="AA56" s="166">
        <v>271.05099999999999</v>
      </c>
      <c r="AB56" s="171">
        <v>20.447200000000002</v>
      </c>
      <c r="AC56" s="166">
        <v>2926.6</v>
      </c>
      <c r="AD56" s="169">
        <f t="shared" si="4"/>
        <v>6.9866739561265643</v>
      </c>
    </row>
    <row r="57" spans="4:30">
      <c r="D57" s="166">
        <v>408.53</v>
      </c>
      <c r="E57" s="168" t="e">
        <f t="shared" si="0"/>
        <v>#NAME?</v>
      </c>
      <c r="F57" s="169">
        <v>408.53</v>
      </c>
      <c r="G57" s="170">
        <v>410.3</v>
      </c>
      <c r="H57" s="169">
        <v>2.6636528571428109</v>
      </c>
      <c r="I57" s="166">
        <v>668.29999999998836</v>
      </c>
      <c r="J57" s="169">
        <f t="shared" si="2"/>
        <v>3.9857142857142862</v>
      </c>
      <c r="O57" s="166">
        <v>465.03</v>
      </c>
      <c r="P57" s="169" t="e">
        <f t="shared" si="1"/>
        <v>#NAME?</v>
      </c>
      <c r="Q57" s="171">
        <v>465.03</v>
      </c>
      <c r="R57" s="172">
        <v>465.54</v>
      </c>
      <c r="S57" s="169">
        <v>11.336799999999998</v>
      </c>
      <c r="X57" s="166">
        <v>267.52999999999997</v>
      </c>
      <c r="Y57" s="169" t="e">
        <f t="shared" si="3"/>
        <v>#NAME?</v>
      </c>
      <c r="Z57" s="173">
        <v>267.52999999999997</v>
      </c>
      <c r="AA57" s="166">
        <v>270.40199999999999</v>
      </c>
      <c r="AB57" s="171">
        <v>18.261300000000006</v>
      </c>
      <c r="AC57" s="166">
        <v>2588.4</v>
      </c>
      <c r="AD57" s="169">
        <f t="shared" si="4"/>
        <v>7.0550533147890606</v>
      </c>
    </row>
    <row r="58" spans="4:30">
      <c r="D58" s="166">
        <v>408.54</v>
      </c>
      <c r="E58" s="168" t="e">
        <f t="shared" si="0"/>
        <v>#NAME?</v>
      </c>
      <c r="F58" s="169">
        <v>408.54</v>
      </c>
      <c r="G58" s="170">
        <v>410.73</v>
      </c>
      <c r="H58" s="169">
        <v>3.3826757142857611</v>
      </c>
      <c r="I58" s="166">
        <v>848.70000000001164</v>
      </c>
      <c r="J58" s="169">
        <f t="shared" si="2"/>
        <v>3.9857142857142862</v>
      </c>
      <c r="O58" s="166">
        <v>465.04</v>
      </c>
      <c r="P58" s="169" t="e">
        <f t="shared" si="1"/>
        <v>#NAME?</v>
      </c>
      <c r="Q58" s="171">
        <v>465.04</v>
      </c>
      <c r="R58" s="172">
        <v>465.54999999999899</v>
      </c>
      <c r="S58" s="169">
        <v>11.336000000000082</v>
      </c>
      <c r="X58" s="166">
        <v>267.54000000000002</v>
      </c>
      <c r="Y58" s="169" t="e">
        <f t="shared" si="3"/>
        <v>#NAME?</v>
      </c>
      <c r="Z58" s="173">
        <v>267.54000000000002</v>
      </c>
      <c r="AA58" s="166">
        <v>270.32600000000002</v>
      </c>
      <c r="AB58" s="171">
        <v>6.6997999999999998</v>
      </c>
      <c r="AC58" s="166">
        <v>1004</v>
      </c>
      <c r="AD58" s="169">
        <f t="shared" si="4"/>
        <v>6.6731075697211146</v>
      </c>
    </row>
    <row r="59" spans="4:30">
      <c r="D59" s="166">
        <v>408.54999999999899</v>
      </c>
      <c r="E59" s="168" t="e">
        <f t="shared" si="0"/>
        <v>#NAME?</v>
      </c>
      <c r="F59" s="169">
        <v>408.54999999999899</v>
      </c>
      <c r="G59" s="170">
        <v>411.51</v>
      </c>
      <c r="H59" s="169">
        <v>0.35393142857138227</v>
      </c>
      <c r="I59" s="166">
        <v>88.799999999988358</v>
      </c>
      <c r="J59" s="169">
        <f t="shared" si="2"/>
        <v>3.9857142857142867</v>
      </c>
      <c r="O59" s="166">
        <v>465.04999999999899</v>
      </c>
      <c r="P59" s="169" t="e">
        <f t="shared" si="1"/>
        <v>#NAME?</v>
      </c>
      <c r="Q59" s="171">
        <v>465.04999999999899</v>
      </c>
      <c r="R59" s="172">
        <v>465.55999999999898</v>
      </c>
      <c r="S59" s="169">
        <v>11.335200000000082</v>
      </c>
      <c r="X59" s="166">
        <v>267.54999999999899</v>
      </c>
      <c r="Y59" s="169" t="e">
        <f t="shared" si="3"/>
        <v>#NAME?</v>
      </c>
      <c r="Z59" s="173">
        <v>267.54999999999899</v>
      </c>
      <c r="AA59" s="166">
        <v>270.32100000000003</v>
      </c>
      <c r="AB59" s="171">
        <v>5.5249000000000024</v>
      </c>
      <c r="AC59" s="166">
        <v>823.4</v>
      </c>
      <c r="AD59" s="169">
        <f t="shared" si="4"/>
        <v>6.7098615496720946</v>
      </c>
    </row>
    <row r="60" spans="4:30">
      <c r="D60" s="166">
        <v>408.55999999999898</v>
      </c>
      <c r="E60" s="168" t="e">
        <f t="shared" si="0"/>
        <v>#NAME?</v>
      </c>
      <c r="F60" s="169">
        <v>408.55999999999898</v>
      </c>
      <c r="G60" s="170">
        <v>411.17</v>
      </c>
      <c r="H60" s="169">
        <v>9.0997842857141915</v>
      </c>
      <c r="I60" s="166">
        <v>2283.0999999999767</v>
      </c>
      <c r="J60" s="169">
        <f t="shared" si="2"/>
        <v>3.9857142857142853</v>
      </c>
      <c r="O60" s="166">
        <v>465.05999999999898</v>
      </c>
      <c r="P60" s="169" t="e">
        <f t="shared" si="1"/>
        <v>#NAME?</v>
      </c>
      <c r="Q60" s="171">
        <v>465.05999999999898</v>
      </c>
      <c r="R60" s="172">
        <v>465.56999999999903</v>
      </c>
      <c r="S60" s="169">
        <v>11.334400000000079</v>
      </c>
      <c r="X60" s="166">
        <v>267.55999999999898</v>
      </c>
      <c r="Y60" s="169" t="e">
        <f t="shared" si="3"/>
        <v>#NAME?</v>
      </c>
      <c r="Z60" s="173">
        <v>267.55999999999898</v>
      </c>
      <c r="AA60" s="166">
        <v>271.01</v>
      </c>
      <c r="AB60" s="171">
        <v>8.488900000000001</v>
      </c>
      <c r="AC60" s="166">
        <v>1273.0999999999999</v>
      </c>
      <c r="AD60" s="169">
        <f t="shared" si="4"/>
        <v>6.6678972586599645</v>
      </c>
    </row>
    <row r="61" spans="4:30">
      <c r="D61" s="166">
        <v>408.56999999999903</v>
      </c>
      <c r="E61" s="168" t="e">
        <f t="shared" si="0"/>
        <v>#NAME?</v>
      </c>
      <c r="F61" s="169">
        <v>408.56999999999903</v>
      </c>
      <c r="G61" s="170">
        <v>410.16</v>
      </c>
      <c r="H61" s="169">
        <v>11.729159999999956</v>
      </c>
      <c r="I61" s="166">
        <v>2942.7999999999884</v>
      </c>
      <c r="J61" s="169">
        <f t="shared" si="2"/>
        <v>3.9857142857142867</v>
      </c>
      <c r="O61" s="166">
        <v>465.06999999999903</v>
      </c>
      <c r="P61" s="169" t="e">
        <f t="shared" si="1"/>
        <v>#NAME?</v>
      </c>
      <c r="Q61" s="171">
        <v>465.06999999999903</v>
      </c>
      <c r="R61" s="172">
        <v>465.57999999999902</v>
      </c>
      <c r="S61" s="169">
        <v>11.333600000000079</v>
      </c>
      <c r="X61" s="166">
        <v>267.56999999999903</v>
      </c>
      <c r="Y61" s="169" t="e">
        <f t="shared" si="3"/>
        <v>#NAME?</v>
      </c>
      <c r="Z61" s="173">
        <v>267.56999999999903</v>
      </c>
      <c r="AA61" s="166">
        <v>270.49900000000002</v>
      </c>
      <c r="AB61" s="171">
        <v>11.1981</v>
      </c>
      <c r="AC61" s="166">
        <v>1668.7</v>
      </c>
      <c r="AD61" s="169">
        <f t="shared" si="4"/>
        <v>6.7106729789656621</v>
      </c>
    </row>
    <row r="62" spans="4:30">
      <c r="D62" s="166">
        <v>408.57999999999902</v>
      </c>
      <c r="E62" s="168" t="e">
        <f t="shared" si="0"/>
        <v>#NAME?</v>
      </c>
      <c r="F62" s="169">
        <v>408.57999999999902</v>
      </c>
      <c r="G62" s="170">
        <v>410.44</v>
      </c>
      <c r="H62" s="169">
        <v>5.7143185714286178</v>
      </c>
      <c r="I62" s="166">
        <v>1433.7000000000116</v>
      </c>
      <c r="J62" s="169">
        <f t="shared" si="2"/>
        <v>3.9857142857142862</v>
      </c>
      <c r="O62" s="166">
        <v>465.07999999999902</v>
      </c>
      <c r="P62" s="169" t="e">
        <f t="shared" si="1"/>
        <v>#NAME?</v>
      </c>
      <c r="Q62" s="171">
        <v>465.07999999999902</v>
      </c>
      <c r="R62" s="172">
        <v>465.58999999999901</v>
      </c>
      <c r="S62" s="169">
        <v>11.332800000000081</v>
      </c>
      <c r="X62" s="166">
        <v>267.57999999999902</v>
      </c>
      <c r="Y62" s="169" t="e">
        <f t="shared" si="3"/>
        <v>#NAME?</v>
      </c>
      <c r="Z62" s="173">
        <v>267.57999999999902</v>
      </c>
      <c r="AA62" s="166">
        <v>270.64499999999998</v>
      </c>
      <c r="AB62" s="171">
        <v>12.6905</v>
      </c>
      <c r="AC62" s="166">
        <v>1903.5</v>
      </c>
      <c r="AD62" s="169">
        <f t="shared" si="4"/>
        <v>6.6669293406882062</v>
      </c>
    </row>
    <row r="63" spans="4:30">
      <c r="D63" s="166">
        <v>408.58999999999901</v>
      </c>
      <c r="E63" s="168" t="e">
        <f t="shared" si="0"/>
        <v>#NAME?</v>
      </c>
      <c r="F63" s="169">
        <v>408.58999999999901</v>
      </c>
      <c r="G63" s="170">
        <v>411.06</v>
      </c>
      <c r="H63" s="169">
        <v>4.4580214285714286</v>
      </c>
      <c r="I63" s="166">
        <v>1118.5</v>
      </c>
      <c r="J63" s="169">
        <f t="shared" si="2"/>
        <v>3.9857142857142862</v>
      </c>
      <c r="O63" s="166">
        <v>465.08999999999901</v>
      </c>
      <c r="P63" s="169" t="e">
        <f t="shared" si="1"/>
        <v>#NAME?</v>
      </c>
      <c r="Q63" s="171">
        <v>465.08999999999901</v>
      </c>
      <c r="R63" s="172">
        <v>465.599999999999</v>
      </c>
      <c r="S63" s="169">
        <v>11.332000000000081</v>
      </c>
      <c r="X63" s="166">
        <v>267.58999999999901</v>
      </c>
      <c r="Y63" s="169" t="e">
        <f t="shared" si="3"/>
        <v>#NAME?</v>
      </c>
      <c r="Z63" s="173">
        <v>267.58999999999901</v>
      </c>
      <c r="AA63" s="166">
        <v>270.685</v>
      </c>
      <c r="AB63" s="171">
        <v>8.3131000000000004</v>
      </c>
      <c r="AC63" s="166">
        <v>1239.9000000000001</v>
      </c>
      <c r="AD63" s="169">
        <f t="shared" si="4"/>
        <v>6.7046536010968625</v>
      </c>
    </row>
    <row r="64" spans="4:30">
      <c r="D64" s="166">
        <v>408.599999999999</v>
      </c>
      <c r="E64" s="168" t="e">
        <f t="shared" si="0"/>
        <v>#NAME?</v>
      </c>
      <c r="F64" s="169">
        <v>408.599999999999</v>
      </c>
      <c r="G64" s="170">
        <v>411.56</v>
      </c>
      <c r="H64" s="169">
        <v>5.3942657142858064</v>
      </c>
      <c r="I64" s="166">
        <v>1353.4000000000233</v>
      </c>
      <c r="J64" s="169">
        <f t="shared" si="2"/>
        <v>3.9857142857142853</v>
      </c>
      <c r="O64" s="166">
        <v>465.099999999999</v>
      </c>
      <c r="P64" s="169" t="e">
        <f t="shared" si="1"/>
        <v>#NAME?</v>
      </c>
      <c r="Q64" s="171">
        <v>465.099999999999</v>
      </c>
      <c r="R64" s="172">
        <v>465.60999999999899</v>
      </c>
      <c r="S64" s="169">
        <v>11.331200000000081</v>
      </c>
      <c r="X64" s="166">
        <v>267.599999999999</v>
      </c>
      <c r="Y64" s="169" t="e">
        <f t="shared" si="3"/>
        <v>#NAME?</v>
      </c>
      <c r="Z64" s="173">
        <v>267.599999999999</v>
      </c>
      <c r="AA64" s="166">
        <v>270.88</v>
      </c>
      <c r="AB64" s="171">
        <v>8.083400000000001</v>
      </c>
      <c r="AC64" s="166">
        <v>1198.0999999999999</v>
      </c>
      <c r="AD64" s="169">
        <f t="shared" si="4"/>
        <v>6.7468491778649549</v>
      </c>
    </row>
    <row r="65" spans="4:30">
      <c r="D65" s="166">
        <v>408.60999999999899</v>
      </c>
      <c r="E65" s="168" t="e">
        <f t="shared" si="0"/>
        <v>#NAME?</v>
      </c>
      <c r="F65" s="169">
        <v>408.60999999999899</v>
      </c>
      <c r="G65" s="170">
        <v>411.83</v>
      </c>
      <c r="H65" s="169">
        <v>7.0893900000000469</v>
      </c>
      <c r="I65" s="166">
        <v>1778.7000000000116</v>
      </c>
      <c r="J65" s="169">
        <f t="shared" si="2"/>
        <v>3.9857142857142862</v>
      </c>
      <c r="O65" s="166">
        <v>465.10999999999899</v>
      </c>
      <c r="P65" s="169" t="e">
        <f t="shared" si="1"/>
        <v>#NAME?</v>
      </c>
      <c r="Q65" s="171">
        <v>465.10999999999899</v>
      </c>
      <c r="R65" s="172">
        <v>465.61999999999898</v>
      </c>
      <c r="S65" s="169">
        <v>11.330400000000083</v>
      </c>
      <c r="X65" s="166">
        <v>267.60999999999899</v>
      </c>
      <c r="Y65" s="169" t="e">
        <f t="shared" si="3"/>
        <v>#NAME?</v>
      </c>
      <c r="Z65" s="173">
        <v>267.60999999999899</v>
      </c>
      <c r="AA65" s="166">
        <v>271.01100000000002</v>
      </c>
      <c r="AB65" s="171">
        <v>6.3901000000000012</v>
      </c>
      <c r="AC65" s="166">
        <v>957.4</v>
      </c>
      <c r="AD65" s="169">
        <f t="shared" si="4"/>
        <v>6.6744307499477769</v>
      </c>
    </row>
    <row r="66" spans="4:30">
      <c r="D66" s="166">
        <v>408.61999999999898</v>
      </c>
      <c r="E66" s="168" t="e">
        <f t="shared" si="0"/>
        <v>#NAME?</v>
      </c>
      <c r="F66" s="169">
        <v>408.61999999999898</v>
      </c>
      <c r="G66" s="170">
        <v>411.81</v>
      </c>
      <c r="H66" s="169">
        <v>6.676469999999906</v>
      </c>
      <c r="I66" s="166">
        <v>1675.0999999999767</v>
      </c>
      <c r="J66" s="169">
        <f t="shared" si="2"/>
        <v>3.9857142857142853</v>
      </c>
      <c r="O66" s="166">
        <v>465.11999999999898</v>
      </c>
      <c r="P66" s="169" t="e">
        <f t="shared" si="1"/>
        <v>#NAME?</v>
      </c>
      <c r="Q66" s="171">
        <v>465.11999999999898</v>
      </c>
      <c r="R66" s="172">
        <v>465.62999999999897</v>
      </c>
      <c r="S66" s="169">
        <v>11.329600000000083</v>
      </c>
      <c r="X66" s="166">
        <v>267.61999999999898</v>
      </c>
      <c r="Y66" s="169" t="e">
        <f t="shared" si="3"/>
        <v>#NAME?</v>
      </c>
      <c r="Z66" s="173">
        <v>267.61999999999898</v>
      </c>
      <c r="AA66" s="166">
        <v>271.50900000000001</v>
      </c>
      <c r="AB66" s="171">
        <v>4.774</v>
      </c>
      <c r="AC66" s="166">
        <v>692.4</v>
      </c>
      <c r="AD66" s="169">
        <f t="shared" si="4"/>
        <v>6.8948584633160026</v>
      </c>
    </row>
    <row r="67" spans="4:30">
      <c r="D67" s="166">
        <v>408.62999999999897</v>
      </c>
      <c r="E67" s="168" t="e">
        <f t="shared" si="0"/>
        <v>#NAME?</v>
      </c>
      <c r="F67" s="169">
        <v>408.62999999999897</v>
      </c>
      <c r="G67" s="170">
        <v>411.13</v>
      </c>
      <c r="H67" s="169">
        <v>8.6358471428571892</v>
      </c>
      <c r="I67" s="166">
        <v>2166.7000000000116</v>
      </c>
      <c r="J67" s="169">
        <f t="shared" si="2"/>
        <v>3.9857142857142862</v>
      </c>
      <c r="O67" s="166">
        <v>465.12999999999897</v>
      </c>
      <c r="P67" s="169" t="e">
        <f t="shared" si="1"/>
        <v>#NAME?</v>
      </c>
      <c r="Q67" s="171">
        <v>465.12999999999897</v>
      </c>
      <c r="R67" s="172">
        <v>465.63999999999902</v>
      </c>
      <c r="S67" s="169">
        <v>11.328800000000079</v>
      </c>
      <c r="X67" s="166">
        <v>267.62999999999897</v>
      </c>
      <c r="Y67" s="169" t="e">
        <f t="shared" si="3"/>
        <v>#NAME?</v>
      </c>
      <c r="Z67" s="173">
        <v>267.62999999999897</v>
      </c>
      <c r="AA67" s="166">
        <v>272.012</v>
      </c>
      <c r="AB67" s="171">
        <v>0.67280000000000006</v>
      </c>
      <c r="AC67" s="166">
        <v>100.6</v>
      </c>
      <c r="AD67" s="169">
        <f t="shared" si="4"/>
        <v>6.6878727634194837</v>
      </c>
    </row>
    <row r="68" spans="4:30">
      <c r="D68" s="166">
        <v>408.63999999999902</v>
      </c>
      <c r="E68" s="168" t="e">
        <f t="shared" ref="E68:E131" si="5">VLOOKUP(D68,THONGSOHO_BK,2,1)+(VLOOKUP(D68+1,THONGSOHO_BK,2,1)-VLOOKUP(D68,THONGSOHO_BK,2,1))/1*(D68-VLOOKUP(D68,THONGSOHO_BK,1,1))-48.55</f>
        <v>#NAME?</v>
      </c>
      <c r="F68" s="169">
        <v>408.63999999999902</v>
      </c>
      <c r="G68" s="170">
        <v>411.51</v>
      </c>
      <c r="H68" s="169">
        <v>6.8673857142857129</v>
      </c>
      <c r="I68" s="166">
        <v>1723</v>
      </c>
      <c r="J68" s="169">
        <f t="shared" si="2"/>
        <v>3.9857142857142853</v>
      </c>
      <c r="O68" s="166">
        <v>465.13999999999902</v>
      </c>
      <c r="P68" s="169" t="e">
        <f t="shared" ref="P68:P131" si="6">VLOOKUP(O68,THONGSOHO_BTS,2,1)+(VLOOKUP(O68+5,THONGSOHO_BTS,2,1)-VLOOKUP(O68,THONGSOHO_BTS,2,1))/5*(O68-VLOOKUP(O68,THONGSOHO_BTS,1,1))-264.29</f>
        <v>#NAME?</v>
      </c>
      <c r="Q68" s="171">
        <v>465.13999999999902</v>
      </c>
      <c r="R68" s="172">
        <v>465.64999999999901</v>
      </c>
      <c r="S68" s="169">
        <v>11.328000000000079</v>
      </c>
      <c r="X68" s="166">
        <v>267.63999999999902</v>
      </c>
      <c r="Y68" s="169" t="e">
        <f t="shared" ref="Y68:Y131" si="7">VLOOKUP(X68,THONGSOHO_SP3,2,1)+(VLOOKUP(X68+2,THONGSOHO_SP3,2,1)-VLOOKUP(X68,THONGSOHO_SP3,2,1))/2*(X68-VLOOKUP(X68,THONGSOHO_SP3,1,1))-156.13</f>
        <v>#NAME?</v>
      </c>
      <c r="Z68" s="173">
        <v>267.63999999999902</v>
      </c>
      <c r="AA68" s="166">
        <v>272.04000000000002</v>
      </c>
      <c r="AB68" s="171">
        <v>15.9084</v>
      </c>
      <c r="AC68" s="166">
        <v>2435.6999999999998</v>
      </c>
      <c r="AD68" s="169">
        <f t="shared" si="4"/>
        <v>6.5313462249045457</v>
      </c>
    </row>
    <row r="69" spans="4:30">
      <c r="D69" s="166">
        <v>408.64999999999901</v>
      </c>
      <c r="E69" s="168" t="e">
        <f t="shared" si="5"/>
        <v>#NAME?</v>
      </c>
      <c r="F69" s="169">
        <v>408.64999999999901</v>
      </c>
      <c r="G69" s="170">
        <v>411.6</v>
      </c>
      <c r="H69" s="169">
        <v>8.2089771428570497</v>
      </c>
      <c r="I69" s="166">
        <v>2059.5999999999767</v>
      </c>
      <c r="J69" s="169">
        <f t="shared" ref="J69:J132" si="8">H69/I69*10^3</f>
        <v>3.9857142857142853</v>
      </c>
      <c r="O69" s="166">
        <v>465.14999999999901</v>
      </c>
      <c r="P69" s="169" t="e">
        <f t="shared" si="6"/>
        <v>#NAME?</v>
      </c>
      <c r="Q69" s="171">
        <v>465.14999999999901</v>
      </c>
      <c r="R69" s="172">
        <v>465.659999999999</v>
      </c>
      <c r="S69" s="169">
        <v>11.327200000000081</v>
      </c>
      <c r="X69" s="166">
        <v>267.64999999999901</v>
      </c>
      <c r="Y69" s="169" t="e">
        <f t="shared" si="7"/>
        <v>#NAME?</v>
      </c>
      <c r="Z69" s="173">
        <v>267.64999999999901</v>
      </c>
      <c r="AA69" s="166">
        <v>271.745</v>
      </c>
      <c r="AB69" s="171">
        <v>26.214300000000001</v>
      </c>
      <c r="AC69" s="166">
        <v>3946.6</v>
      </c>
      <c r="AD69" s="169">
        <f t="shared" si="4"/>
        <v>6.6422490244767651</v>
      </c>
    </row>
    <row r="70" spans="4:30">
      <c r="D70" s="166">
        <v>408.659999999999</v>
      </c>
      <c r="E70" s="168" t="e">
        <f t="shared" si="5"/>
        <v>#NAME?</v>
      </c>
      <c r="F70" s="169">
        <v>408.659999999999</v>
      </c>
      <c r="G70" s="170">
        <v>411.33</v>
      </c>
      <c r="H70" s="169">
        <v>9.3803785714285706</v>
      </c>
      <c r="I70" s="166">
        <v>2353.5</v>
      </c>
      <c r="J70" s="169">
        <f t="shared" si="8"/>
        <v>3.9857142857142853</v>
      </c>
      <c r="O70" s="166">
        <v>465.159999999999</v>
      </c>
      <c r="P70" s="169" t="e">
        <f t="shared" si="6"/>
        <v>#NAME?</v>
      </c>
      <c r="Q70" s="171">
        <v>465.159999999999</v>
      </c>
      <c r="R70" s="172">
        <v>465.66999999999899</v>
      </c>
      <c r="S70" s="169">
        <v>11.326400000000081</v>
      </c>
      <c r="X70" s="166">
        <v>267.659999999999</v>
      </c>
      <c r="Y70" s="169" t="e">
        <f t="shared" si="7"/>
        <v>#NAME?</v>
      </c>
      <c r="Z70" s="173">
        <v>267.659999999999</v>
      </c>
      <c r="AA70" s="166">
        <v>271.1739</v>
      </c>
      <c r="AB70" s="171">
        <v>25.635200000000001</v>
      </c>
      <c r="AC70" s="166">
        <v>3840</v>
      </c>
      <c r="AD70" s="169">
        <f t="shared" ref="AD70:AD133" si="9">AB70/AC70*10^3</f>
        <v>6.6758333333333342</v>
      </c>
    </row>
    <row r="71" spans="4:30">
      <c r="D71" s="166">
        <v>408.66999999999899</v>
      </c>
      <c r="E71" s="168" t="e">
        <f t="shared" si="5"/>
        <v>#NAME?</v>
      </c>
      <c r="F71" s="169">
        <v>408.66999999999899</v>
      </c>
      <c r="G71" s="170">
        <v>410.51</v>
      </c>
      <c r="H71" s="169">
        <v>11.788148571428712</v>
      </c>
      <c r="I71" s="166">
        <v>2957.6000000000349</v>
      </c>
      <c r="J71" s="169">
        <f t="shared" si="8"/>
        <v>3.9857142857142862</v>
      </c>
      <c r="O71" s="166">
        <v>465.16999999999899</v>
      </c>
      <c r="P71" s="169" t="e">
        <f t="shared" si="6"/>
        <v>#NAME?</v>
      </c>
      <c r="Q71" s="171">
        <v>465.16999999999899</v>
      </c>
      <c r="R71" s="172">
        <v>465.67999999999898</v>
      </c>
      <c r="S71" s="169">
        <v>11.325600000000081</v>
      </c>
      <c r="X71" s="166">
        <v>267.66999999999899</v>
      </c>
      <c r="Y71" s="169" t="e">
        <f t="shared" si="7"/>
        <v>#NAME?</v>
      </c>
      <c r="Z71" s="173">
        <v>267.66999999999899</v>
      </c>
      <c r="AA71" s="166">
        <v>270.86500000000001</v>
      </c>
      <c r="AB71" s="171">
        <v>25.239600000000003</v>
      </c>
      <c r="AC71" s="166">
        <v>3784.4</v>
      </c>
      <c r="AD71" s="169">
        <f t="shared" si="9"/>
        <v>6.6693795581862387</v>
      </c>
    </row>
    <row r="72" spans="4:30">
      <c r="D72" s="166">
        <v>408.67999999999898</v>
      </c>
      <c r="E72" s="168" t="e">
        <f t="shared" si="5"/>
        <v>#NAME?</v>
      </c>
      <c r="F72" s="169">
        <v>408.67999999999898</v>
      </c>
      <c r="G72" s="170">
        <v>409.63</v>
      </c>
      <c r="H72" s="169">
        <v>12.354518571428384</v>
      </c>
      <c r="I72" s="166">
        <v>3099.6999999999534</v>
      </c>
      <c r="J72" s="169">
        <f t="shared" si="8"/>
        <v>3.9857142857142853</v>
      </c>
      <c r="O72" s="166">
        <v>465.17999999999898</v>
      </c>
      <c r="P72" s="169" t="e">
        <f t="shared" si="6"/>
        <v>#NAME?</v>
      </c>
      <c r="Q72" s="171">
        <v>465.17999999999898</v>
      </c>
      <c r="R72" s="172">
        <v>465.68999999999897</v>
      </c>
      <c r="S72" s="169">
        <v>11.324800000000083</v>
      </c>
      <c r="X72" s="166">
        <v>267.67999999999898</v>
      </c>
      <c r="Y72" s="169" t="e">
        <f t="shared" si="7"/>
        <v>#NAME?</v>
      </c>
      <c r="Z72" s="173">
        <v>267.67999999999898</v>
      </c>
      <c r="AA72" s="166">
        <v>271.09899999999999</v>
      </c>
      <c r="AB72" s="171">
        <v>12.879100000000001</v>
      </c>
      <c r="AC72" s="166">
        <v>1922.3</v>
      </c>
      <c r="AD72" s="169">
        <f t="shared" si="9"/>
        <v>6.6998387348488793</v>
      </c>
    </row>
    <row r="73" spans="4:30">
      <c r="D73" s="166">
        <v>408.68999999999897</v>
      </c>
      <c r="E73" s="168" t="e">
        <f t="shared" si="5"/>
        <v>#NAME?</v>
      </c>
      <c r="F73" s="169">
        <v>408.68999999999897</v>
      </c>
      <c r="G73" s="170">
        <v>409.8</v>
      </c>
      <c r="H73" s="169">
        <v>8.2057885714285259</v>
      </c>
      <c r="I73" s="166">
        <v>2058.7999999999884</v>
      </c>
      <c r="J73" s="169">
        <f t="shared" si="8"/>
        <v>3.9857142857142862</v>
      </c>
      <c r="O73" s="166">
        <v>465.18999999999897</v>
      </c>
      <c r="P73" s="169" t="e">
        <f t="shared" si="6"/>
        <v>#NAME?</v>
      </c>
      <c r="Q73" s="171">
        <v>465.18999999999897</v>
      </c>
      <c r="R73" s="172">
        <v>465.69999999999902</v>
      </c>
      <c r="S73" s="169">
        <v>11.32400000000008</v>
      </c>
      <c r="X73" s="166">
        <v>267.68999999999897</v>
      </c>
      <c r="Y73" s="169" t="e">
        <f t="shared" si="7"/>
        <v>#NAME?</v>
      </c>
      <c r="Z73" s="173">
        <v>267.68999999999897</v>
      </c>
      <c r="AA73" s="166">
        <v>271.25119999999998</v>
      </c>
      <c r="AB73" s="171">
        <v>15.091500000000003</v>
      </c>
      <c r="AC73" s="166">
        <v>2265.1999999999998</v>
      </c>
      <c r="AD73" s="169">
        <f t="shared" si="9"/>
        <v>6.6623256224615943</v>
      </c>
    </row>
    <row r="74" spans="4:30">
      <c r="D74" s="166">
        <v>408.69999999999902</v>
      </c>
      <c r="E74" s="168" t="e">
        <f t="shared" si="5"/>
        <v>#NAME?</v>
      </c>
      <c r="F74" s="169">
        <v>408.69999999999902</v>
      </c>
      <c r="G74" s="170">
        <v>409.44</v>
      </c>
      <c r="H74" s="169">
        <v>8.5565314285716134</v>
      </c>
      <c r="I74" s="166">
        <v>2146.8000000000466</v>
      </c>
      <c r="J74" s="169">
        <f t="shared" si="8"/>
        <v>3.9857142857142853</v>
      </c>
      <c r="O74" s="166">
        <v>465.19999999999902</v>
      </c>
      <c r="P74" s="169" t="e">
        <f t="shared" si="6"/>
        <v>#NAME?</v>
      </c>
      <c r="Q74" s="171">
        <v>465.19999999999902</v>
      </c>
      <c r="R74" s="172">
        <v>465.70999999999901</v>
      </c>
      <c r="S74" s="169">
        <v>11.32320000000008</v>
      </c>
      <c r="X74" s="166">
        <v>267.69999999999902</v>
      </c>
      <c r="Y74" s="169" t="e">
        <f t="shared" si="7"/>
        <v>#NAME?</v>
      </c>
      <c r="Z74" s="173">
        <v>267.69999999999902</v>
      </c>
      <c r="AA74" s="166">
        <v>271.346</v>
      </c>
      <c r="AB74" s="171">
        <v>14.767899999999999</v>
      </c>
      <c r="AC74" s="166">
        <v>2195.1</v>
      </c>
      <c r="AD74" s="169">
        <f t="shared" si="9"/>
        <v>6.7276661655505441</v>
      </c>
    </row>
    <row r="75" spans="4:30">
      <c r="D75" s="166">
        <v>408.70999999999901</v>
      </c>
      <c r="E75" s="168" t="e">
        <f t="shared" si="5"/>
        <v>#NAME?</v>
      </c>
      <c r="F75" s="169">
        <v>408.70999999999901</v>
      </c>
      <c r="G75" s="170">
        <v>409.96</v>
      </c>
      <c r="H75" s="169">
        <v>5.5154314285713824</v>
      </c>
      <c r="I75" s="166">
        <v>1383.7999999999884</v>
      </c>
      <c r="J75" s="169">
        <f t="shared" si="8"/>
        <v>3.9857142857142862</v>
      </c>
      <c r="O75" s="166">
        <v>465.20999999999901</v>
      </c>
      <c r="P75" s="169" t="e">
        <f t="shared" si="6"/>
        <v>#NAME?</v>
      </c>
      <c r="Q75" s="171">
        <v>465.20999999999901</v>
      </c>
      <c r="R75" s="172">
        <v>465.719999999999</v>
      </c>
      <c r="S75" s="169">
        <v>11.32240000000008</v>
      </c>
      <c r="X75" s="166">
        <v>267.70999999999901</v>
      </c>
      <c r="Y75" s="169" t="e">
        <f t="shared" si="7"/>
        <v>#NAME?</v>
      </c>
      <c r="Z75" s="173">
        <v>267.70999999999901</v>
      </c>
      <c r="AA75" s="166">
        <v>271.459</v>
      </c>
      <c r="AB75" s="171">
        <v>11.820800000000002</v>
      </c>
      <c r="AC75" s="166">
        <v>1778.3</v>
      </c>
      <c r="AD75" s="169">
        <f t="shared" si="9"/>
        <v>6.6472473710847444</v>
      </c>
    </row>
    <row r="76" spans="4:30">
      <c r="D76" s="166">
        <v>408.719999999999</v>
      </c>
      <c r="E76" s="168" t="e">
        <f t="shared" si="5"/>
        <v>#NAME?</v>
      </c>
      <c r="F76" s="169">
        <v>408.719999999999</v>
      </c>
      <c r="G76" s="170">
        <v>410.27</v>
      </c>
      <c r="H76" s="169">
        <v>6.8753571428571432</v>
      </c>
      <c r="I76" s="166">
        <v>1725</v>
      </c>
      <c r="J76" s="169">
        <f t="shared" si="8"/>
        <v>3.9857142857142862</v>
      </c>
      <c r="O76" s="166">
        <v>465.219999999999</v>
      </c>
      <c r="P76" s="169" t="e">
        <f t="shared" si="6"/>
        <v>#NAME?</v>
      </c>
      <c r="Q76" s="171">
        <v>465.219999999999</v>
      </c>
      <c r="R76" s="172">
        <v>465.729999999999</v>
      </c>
      <c r="S76" s="169">
        <v>11.321600000000082</v>
      </c>
      <c r="X76" s="166">
        <v>267.719999999999</v>
      </c>
      <c r="Y76" s="169" t="e">
        <f t="shared" si="7"/>
        <v>#NAME?</v>
      </c>
      <c r="Z76" s="173">
        <v>267.719999999999</v>
      </c>
      <c r="AA76" s="166">
        <v>271.53840000000002</v>
      </c>
      <c r="AB76" s="171">
        <v>12.3353</v>
      </c>
      <c r="AC76" s="166">
        <v>1843</v>
      </c>
      <c r="AD76" s="169">
        <f t="shared" si="9"/>
        <v>6.6930548019533376</v>
      </c>
    </row>
    <row r="77" spans="4:30">
      <c r="D77" s="166">
        <v>408.729999999999</v>
      </c>
      <c r="E77" s="168" t="e">
        <f t="shared" si="5"/>
        <v>#NAME?</v>
      </c>
      <c r="F77" s="169">
        <v>408.729999999999</v>
      </c>
      <c r="G77" s="170">
        <v>410.59</v>
      </c>
      <c r="H77" s="169">
        <v>7.8267471428571884</v>
      </c>
      <c r="I77" s="166">
        <v>1963.7000000000116</v>
      </c>
      <c r="J77" s="169">
        <f t="shared" si="8"/>
        <v>3.9857142857142853</v>
      </c>
      <c r="O77" s="166">
        <v>465.229999999999</v>
      </c>
      <c r="P77" s="169" t="e">
        <f t="shared" si="6"/>
        <v>#NAME?</v>
      </c>
      <c r="Q77" s="171">
        <v>465.229999999999</v>
      </c>
      <c r="R77" s="172">
        <v>465.73999999999899</v>
      </c>
      <c r="S77" s="169">
        <v>11.320800000000082</v>
      </c>
      <c r="X77" s="166">
        <v>267.729999999999</v>
      </c>
      <c r="Y77" s="169" t="e">
        <f t="shared" si="7"/>
        <v>#NAME?</v>
      </c>
      <c r="Z77" s="173">
        <v>267.729999999999</v>
      </c>
      <c r="AA77" s="166">
        <v>271.80779999999999</v>
      </c>
      <c r="AB77" s="171">
        <v>9.2009000000000007</v>
      </c>
      <c r="AC77" s="166">
        <v>1386.5</v>
      </c>
      <c r="AD77" s="169">
        <f t="shared" si="9"/>
        <v>6.6360620266858996</v>
      </c>
    </row>
    <row r="78" spans="4:30">
      <c r="D78" s="166">
        <v>408.73999999999899</v>
      </c>
      <c r="E78" s="168" t="e">
        <f t="shared" si="5"/>
        <v>#NAME?</v>
      </c>
      <c r="F78" s="169">
        <v>408.73999999999899</v>
      </c>
      <c r="G78" s="170">
        <v>411.99</v>
      </c>
      <c r="H78" s="169">
        <v>5.2651285714285727</v>
      </c>
      <c r="I78" s="166">
        <v>1321</v>
      </c>
      <c r="J78" s="169">
        <f t="shared" si="8"/>
        <v>3.9857142857142867</v>
      </c>
      <c r="O78" s="166">
        <v>465.23999999999899</v>
      </c>
      <c r="P78" s="169" t="e">
        <f t="shared" si="6"/>
        <v>#NAME?</v>
      </c>
      <c r="Q78" s="171">
        <v>465.23999999999899</v>
      </c>
      <c r="R78" s="172">
        <v>465.74999999999898</v>
      </c>
      <c r="S78" s="169">
        <v>11.320000000000082</v>
      </c>
      <c r="X78" s="166">
        <v>267.73999999999899</v>
      </c>
      <c r="Y78" s="169" t="e">
        <f t="shared" si="7"/>
        <v>#NAME?</v>
      </c>
      <c r="Z78" s="173">
        <v>267.73999999999899</v>
      </c>
      <c r="AA78" s="166">
        <v>271.51600000000002</v>
      </c>
      <c r="AB78" s="171">
        <v>17.930300000000003</v>
      </c>
      <c r="AC78" s="166">
        <v>2674.8</v>
      </c>
      <c r="AD78" s="169">
        <f t="shared" si="9"/>
        <v>6.7034170779123681</v>
      </c>
    </row>
    <row r="79" spans="4:30">
      <c r="D79" s="166">
        <v>408.74999999999898</v>
      </c>
      <c r="E79" s="168" t="e">
        <f t="shared" si="5"/>
        <v>#NAME?</v>
      </c>
      <c r="F79" s="169">
        <v>408.74999999999898</v>
      </c>
      <c r="G79" s="170">
        <v>411.67</v>
      </c>
      <c r="H79" s="169">
        <v>15.429895714285669</v>
      </c>
      <c r="I79" s="166">
        <v>3871.2999999999884</v>
      </c>
      <c r="J79" s="169">
        <f t="shared" si="8"/>
        <v>3.9857142857142862</v>
      </c>
      <c r="O79" s="166">
        <v>465.24999999999898</v>
      </c>
      <c r="P79" s="169" t="e">
        <f t="shared" si="6"/>
        <v>#NAME?</v>
      </c>
      <c r="Q79" s="171">
        <v>465.24999999999898</v>
      </c>
      <c r="R79" s="172">
        <v>465.75999999999902</v>
      </c>
      <c r="S79" s="169">
        <v>11.319200000000079</v>
      </c>
      <c r="X79" s="166">
        <v>267.74999999999898</v>
      </c>
      <c r="Y79" s="169" t="e">
        <f t="shared" si="7"/>
        <v>#NAME?</v>
      </c>
      <c r="Z79" s="173">
        <v>267.74999999999898</v>
      </c>
      <c r="AA79" s="166">
        <v>271.375</v>
      </c>
      <c r="AB79" s="171">
        <v>14.1646</v>
      </c>
      <c r="AC79" s="166">
        <v>2139.9</v>
      </c>
      <c r="AD79" s="169">
        <f t="shared" si="9"/>
        <v>6.6192812748259264</v>
      </c>
    </row>
    <row r="80" spans="4:30">
      <c r="D80" s="166">
        <v>408.75999999999902</v>
      </c>
      <c r="E80" s="168" t="e">
        <f t="shared" si="5"/>
        <v>#NAME?</v>
      </c>
      <c r="F80" s="169">
        <v>408.75999999999902</v>
      </c>
      <c r="G80" s="170">
        <v>411.74</v>
      </c>
      <c r="H80" s="169">
        <v>14.040874285714239</v>
      </c>
      <c r="I80" s="166">
        <v>3522.7999999999884</v>
      </c>
      <c r="J80" s="169">
        <f t="shared" si="8"/>
        <v>3.9857142857142853</v>
      </c>
      <c r="O80" s="166">
        <v>465.25999999999902</v>
      </c>
      <c r="P80" s="169" t="e">
        <f t="shared" si="6"/>
        <v>#NAME?</v>
      </c>
      <c r="Q80" s="171">
        <v>465.25999999999902</v>
      </c>
      <c r="R80" s="172">
        <v>465.76999999999902</v>
      </c>
      <c r="S80" s="169">
        <v>11.318400000000079</v>
      </c>
      <c r="X80" s="166">
        <v>267.75999999999902</v>
      </c>
      <c r="Y80" s="169" t="e">
        <f t="shared" si="7"/>
        <v>#NAME?</v>
      </c>
      <c r="Z80" s="173">
        <v>267.75999999999902</v>
      </c>
      <c r="AA80" s="166">
        <v>271.82100000000003</v>
      </c>
      <c r="AB80" s="171">
        <v>22.433599999999998</v>
      </c>
      <c r="AC80" s="166">
        <v>3367.3780000000002</v>
      </c>
      <c r="AD80" s="169">
        <f t="shared" si="9"/>
        <v>6.6620379416863802</v>
      </c>
    </row>
    <row r="81" spans="4:30">
      <c r="D81" s="166">
        <v>408.76999999999902</v>
      </c>
      <c r="E81" s="168" t="e">
        <f t="shared" si="5"/>
        <v>#NAME?</v>
      </c>
      <c r="F81" s="169">
        <v>408.76999999999902</v>
      </c>
      <c r="G81" s="170">
        <v>410.8</v>
      </c>
      <c r="H81" s="169">
        <v>16.568215714285802</v>
      </c>
      <c r="I81" s="166">
        <v>4156.9000000000233</v>
      </c>
      <c r="J81" s="169">
        <f t="shared" si="8"/>
        <v>3.9857142857142844</v>
      </c>
      <c r="O81" s="166">
        <v>465.26999999999902</v>
      </c>
      <c r="P81" s="169" t="e">
        <f t="shared" si="6"/>
        <v>#NAME?</v>
      </c>
      <c r="Q81" s="171">
        <v>465.26999999999902</v>
      </c>
      <c r="R81" s="172">
        <v>465.77999999999901</v>
      </c>
      <c r="S81" s="169">
        <v>11.31760000000008</v>
      </c>
      <c r="X81" s="166">
        <v>267.76999999999902</v>
      </c>
      <c r="Y81" s="169" t="e">
        <f t="shared" si="7"/>
        <v>#NAME?</v>
      </c>
      <c r="Z81" s="173">
        <v>267.76999999999902</v>
      </c>
      <c r="AA81" s="166">
        <v>271.72000000000003</v>
      </c>
      <c r="AB81" s="171">
        <v>27.652100000000004</v>
      </c>
      <c r="AC81" s="166">
        <v>4221.2</v>
      </c>
      <c r="AD81" s="169">
        <f t="shared" si="9"/>
        <v>6.550767554249977</v>
      </c>
    </row>
    <row r="82" spans="4:30">
      <c r="D82" s="166">
        <v>408.77999999999901</v>
      </c>
      <c r="E82" s="168" t="e">
        <f t="shared" si="5"/>
        <v>#NAME?</v>
      </c>
      <c r="F82" s="169">
        <v>408.77999999999901</v>
      </c>
      <c r="G82" s="170">
        <v>411.32</v>
      </c>
      <c r="H82" s="169">
        <v>12.947592857142856</v>
      </c>
      <c r="I82" s="166">
        <v>3248.5</v>
      </c>
      <c r="J82" s="169">
        <f t="shared" si="8"/>
        <v>3.9857142857142853</v>
      </c>
      <c r="O82" s="166">
        <v>465.27999999999901</v>
      </c>
      <c r="P82" s="169" t="e">
        <f t="shared" si="6"/>
        <v>#NAME?</v>
      </c>
      <c r="Q82" s="171">
        <v>465.27999999999901</v>
      </c>
      <c r="R82" s="172">
        <v>465.789999999999</v>
      </c>
      <c r="S82" s="169">
        <v>11.316800000000081</v>
      </c>
      <c r="X82" s="166">
        <v>267.77999999999901</v>
      </c>
      <c r="Y82" s="169" t="e">
        <f t="shared" si="7"/>
        <v>#NAME?</v>
      </c>
      <c r="Z82" s="173">
        <v>267.77999999999901</v>
      </c>
      <c r="AA82" s="166">
        <v>271.75799999999998</v>
      </c>
      <c r="AB82" s="171">
        <v>30.860099999999996</v>
      </c>
      <c r="AC82" s="166">
        <v>4653.6000000000004</v>
      </c>
      <c r="AD82" s="169">
        <f t="shared" si="9"/>
        <v>6.6314466219700865</v>
      </c>
    </row>
    <row r="83" spans="4:30">
      <c r="D83" s="166">
        <v>408.789999999999</v>
      </c>
      <c r="E83" s="168" t="e">
        <f t="shared" si="5"/>
        <v>#NAME?</v>
      </c>
      <c r="F83" s="169">
        <v>408.789999999999</v>
      </c>
      <c r="G83" s="170">
        <v>410.54</v>
      </c>
      <c r="H83" s="169">
        <v>20.009879999999857</v>
      </c>
      <c r="I83" s="166">
        <v>5020.3999999999651</v>
      </c>
      <c r="J83" s="169">
        <f t="shared" si="8"/>
        <v>3.9857142857142853</v>
      </c>
      <c r="O83" s="166">
        <v>465.289999999999</v>
      </c>
      <c r="P83" s="169" t="e">
        <f t="shared" si="6"/>
        <v>#NAME?</v>
      </c>
      <c r="Q83" s="171">
        <v>465.289999999999</v>
      </c>
      <c r="R83" s="172">
        <v>465.79999999999899</v>
      </c>
      <c r="S83" s="169">
        <v>11.316000000000082</v>
      </c>
      <c r="X83" s="166">
        <v>267.789999999999</v>
      </c>
      <c r="Y83" s="169" t="e">
        <f t="shared" si="7"/>
        <v>#NAME?</v>
      </c>
      <c r="Z83" s="173">
        <v>267.789999999999</v>
      </c>
      <c r="AA83" s="166">
        <v>271.43700000000001</v>
      </c>
      <c r="AB83" s="171">
        <v>28.848700000000001</v>
      </c>
      <c r="AC83" s="166">
        <v>4351.2</v>
      </c>
      <c r="AD83" s="169">
        <f t="shared" si="9"/>
        <v>6.6300560764846477</v>
      </c>
    </row>
    <row r="84" spans="4:30">
      <c r="D84" s="166">
        <v>408.79999999999899</v>
      </c>
      <c r="E84" s="168" t="e">
        <f t="shared" si="5"/>
        <v>#NAME?</v>
      </c>
      <c r="F84" s="169">
        <v>408.79999999999899</v>
      </c>
      <c r="G84" s="170">
        <v>410.99</v>
      </c>
      <c r="H84" s="169">
        <v>14.104645714285668</v>
      </c>
      <c r="I84" s="166">
        <v>3538.7999999999884</v>
      </c>
      <c r="J84" s="169">
        <f t="shared" si="8"/>
        <v>3.9857142857142862</v>
      </c>
      <c r="O84" s="166">
        <v>465.29999999999899</v>
      </c>
      <c r="P84" s="169" t="e">
        <f t="shared" si="6"/>
        <v>#NAME?</v>
      </c>
      <c r="Q84" s="171">
        <v>465.29999999999899</v>
      </c>
      <c r="R84" s="172">
        <v>465.80999999999898</v>
      </c>
      <c r="S84" s="169">
        <v>11.315200000000083</v>
      </c>
      <c r="X84" s="166">
        <v>267.79999999999899</v>
      </c>
      <c r="Y84" s="169" t="e">
        <f t="shared" si="7"/>
        <v>#NAME?</v>
      </c>
      <c r="Z84" s="173">
        <v>267.79999999999899</v>
      </c>
      <c r="AA84" s="166">
        <v>271.40699999999998</v>
      </c>
      <c r="AB84" s="171">
        <v>26.6235</v>
      </c>
      <c r="AC84" s="166">
        <v>4024.6</v>
      </c>
      <c r="AD84" s="169">
        <f t="shared" si="9"/>
        <v>6.6151915718332264</v>
      </c>
    </row>
    <row r="85" spans="4:30">
      <c r="D85" s="166">
        <v>408.80999999999898</v>
      </c>
      <c r="E85" s="168" t="e">
        <f t="shared" si="5"/>
        <v>#NAME?</v>
      </c>
      <c r="F85" s="169">
        <v>408.80999999999898</v>
      </c>
      <c r="G85" s="170">
        <v>411.65</v>
      </c>
      <c r="H85" s="169">
        <v>15.600484285714195</v>
      </c>
      <c r="I85" s="166">
        <v>3914.0999999999767</v>
      </c>
      <c r="J85" s="169">
        <f t="shared" si="8"/>
        <v>3.9857142857142862</v>
      </c>
      <c r="O85" s="166">
        <v>465.30999999999898</v>
      </c>
      <c r="P85" s="169" t="e">
        <f t="shared" si="6"/>
        <v>#NAME?</v>
      </c>
      <c r="Q85" s="171">
        <v>465.30999999999898</v>
      </c>
      <c r="R85" s="172">
        <v>465.81999999999903</v>
      </c>
      <c r="S85" s="169">
        <v>11.314400000000079</v>
      </c>
      <c r="X85" s="166">
        <v>267.80999999999898</v>
      </c>
      <c r="Y85" s="169" t="e">
        <f t="shared" si="7"/>
        <v>#NAME?</v>
      </c>
      <c r="Z85" s="173">
        <v>267.80999999999898</v>
      </c>
      <c r="AA85" s="166">
        <v>270.96699999999998</v>
      </c>
      <c r="AB85" s="171">
        <v>29.721600000000002</v>
      </c>
      <c r="AC85" s="166">
        <v>4493.3999999999996</v>
      </c>
      <c r="AD85" s="169">
        <f t="shared" si="9"/>
        <v>6.6145012685271745</v>
      </c>
    </row>
    <row r="86" spans="4:30">
      <c r="D86" s="166">
        <v>408.81999999999903</v>
      </c>
      <c r="E86" s="168" t="e">
        <f t="shared" si="5"/>
        <v>#NAME?</v>
      </c>
      <c r="F86" s="169">
        <v>408.81999999999903</v>
      </c>
      <c r="G86" s="170">
        <v>411.53</v>
      </c>
      <c r="H86" s="169">
        <v>21.363030000000325</v>
      </c>
      <c r="I86" s="166">
        <v>5359.9000000000815</v>
      </c>
      <c r="J86" s="169">
        <f t="shared" si="8"/>
        <v>3.9857142857142862</v>
      </c>
      <c r="O86" s="166">
        <v>465.31999999999903</v>
      </c>
      <c r="P86" s="169" t="e">
        <f t="shared" si="6"/>
        <v>#NAME?</v>
      </c>
      <c r="Q86" s="171">
        <v>465.31999999999903</v>
      </c>
      <c r="R86" s="172">
        <v>465.82999999999902</v>
      </c>
      <c r="S86" s="169">
        <v>11.313600000000079</v>
      </c>
      <c r="X86" s="166">
        <v>267.81999999999903</v>
      </c>
      <c r="Y86" s="169" t="e">
        <f t="shared" si="7"/>
        <v>#NAME?</v>
      </c>
      <c r="Z86" s="173">
        <v>267.81999999999903</v>
      </c>
      <c r="AA86" s="166">
        <v>270.3535</v>
      </c>
      <c r="AB86" s="171">
        <v>33.186600000000006</v>
      </c>
      <c r="AC86" s="166">
        <v>4958.8999999999996</v>
      </c>
      <c r="AD86" s="169">
        <f t="shared" si="9"/>
        <v>6.6923309604952728</v>
      </c>
    </row>
    <row r="87" spans="4:30">
      <c r="D87" s="166">
        <v>408.82999999999902</v>
      </c>
      <c r="E87" s="168" t="e">
        <f t="shared" si="5"/>
        <v>#NAME?</v>
      </c>
      <c r="F87" s="169">
        <v>408.82999999999902</v>
      </c>
      <c r="G87" s="170">
        <v>411.91</v>
      </c>
      <c r="H87" s="169">
        <v>14.065585714285714</v>
      </c>
      <c r="I87" s="166">
        <v>3529</v>
      </c>
      <c r="J87" s="169">
        <f t="shared" si="8"/>
        <v>3.9857142857142853</v>
      </c>
      <c r="O87" s="166">
        <v>465.32999999999902</v>
      </c>
      <c r="P87" s="169" t="e">
        <f t="shared" si="6"/>
        <v>#NAME?</v>
      </c>
      <c r="Q87" s="171">
        <v>465.32999999999902</v>
      </c>
      <c r="R87" s="172">
        <v>465.83999999999901</v>
      </c>
      <c r="S87" s="169">
        <v>11.312800000000079</v>
      </c>
      <c r="X87" s="166">
        <v>267.82999999999902</v>
      </c>
      <c r="Y87" s="169" t="e">
        <f t="shared" si="7"/>
        <v>#NAME?</v>
      </c>
      <c r="Z87" s="173">
        <v>267.82999999999902</v>
      </c>
      <c r="AA87" s="166">
        <v>270.57</v>
      </c>
      <c r="AB87" s="171">
        <v>22.606400000000001</v>
      </c>
      <c r="AC87" s="166">
        <v>3297.2</v>
      </c>
      <c r="AD87" s="169">
        <f t="shared" si="9"/>
        <v>6.8562416595899558</v>
      </c>
    </row>
    <row r="88" spans="4:30">
      <c r="D88" s="166">
        <v>408.83999999999901</v>
      </c>
      <c r="E88" s="168" t="e">
        <f t="shared" si="5"/>
        <v>#NAME?</v>
      </c>
      <c r="F88" s="169">
        <v>408.83999999999901</v>
      </c>
      <c r="G88" s="170">
        <v>410.97</v>
      </c>
      <c r="H88" s="169">
        <v>20.459468571428385</v>
      </c>
      <c r="I88" s="166">
        <v>5133.1999999999534</v>
      </c>
      <c r="J88" s="169">
        <f t="shared" si="8"/>
        <v>3.9857142857142853</v>
      </c>
      <c r="O88" s="166">
        <v>465.33999999999901</v>
      </c>
      <c r="P88" s="169" t="e">
        <f t="shared" si="6"/>
        <v>#NAME?</v>
      </c>
      <c r="Q88" s="171">
        <v>465.33999999999901</v>
      </c>
      <c r="R88" s="172">
        <v>465.849999999999</v>
      </c>
      <c r="S88" s="169">
        <v>11.312000000000081</v>
      </c>
      <c r="X88" s="166">
        <v>267.83999999999901</v>
      </c>
      <c r="Y88" s="169" t="e">
        <f t="shared" si="7"/>
        <v>#NAME?</v>
      </c>
      <c r="Z88" s="173">
        <v>267.83999999999901</v>
      </c>
      <c r="AA88" s="166">
        <v>271.09300000000002</v>
      </c>
      <c r="AB88" s="171">
        <v>12.4466</v>
      </c>
      <c r="AC88" s="166">
        <v>1896.6</v>
      </c>
      <c r="AD88" s="169">
        <f t="shared" si="9"/>
        <v>6.5625856796372455</v>
      </c>
    </row>
    <row r="89" spans="4:30">
      <c r="D89" s="166">
        <v>408.849999999999</v>
      </c>
      <c r="E89" s="168" t="e">
        <f t="shared" si="5"/>
        <v>#NAME?</v>
      </c>
      <c r="F89" s="169">
        <v>408.849999999999</v>
      </c>
      <c r="G89" s="170">
        <v>410.98</v>
      </c>
      <c r="H89" s="169">
        <v>18.945295714285898</v>
      </c>
      <c r="I89" s="166">
        <v>4753.3000000000466</v>
      </c>
      <c r="J89" s="169">
        <f t="shared" si="8"/>
        <v>3.9857142857142853</v>
      </c>
      <c r="O89" s="166">
        <v>465.349999999999</v>
      </c>
      <c r="P89" s="169" t="e">
        <f t="shared" si="6"/>
        <v>#NAME?</v>
      </c>
      <c r="Q89" s="171">
        <v>465.349999999999</v>
      </c>
      <c r="R89" s="172">
        <v>465.85999999999899</v>
      </c>
      <c r="S89" s="169">
        <v>11.311200000000081</v>
      </c>
      <c r="X89" s="166">
        <v>267.849999999999</v>
      </c>
      <c r="Y89" s="169" t="e">
        <f t="shared" si="7"/>
        <v>#NAME?</v>
      </c>
      <c r="Z89" s="173">
        <v>267.849999999999</v>
      </c>
      <c r="AA89" s="166">
        <v>271.28500000000003</v>
      </c>
      <c r="AB89" s="171">
        <v>23.0014</v>
      </c>
      <c r="AC89" s="166">
        <v>3453.9</v>
      </c>
      <c r="AD89" s="169">
        <f t="shared" si="9"/>
        <v>6.6595442832739797</v>
      </c>
    </row>
    <row r="90" spans="4:30">
      <c r="D90" s="166">
        <v>408.85999999999899</v>
      </c>
      <c r="E90" s="168" t="e">
        <f t="shared" si="5"/>
        <v>#NAME?</v>
      </c>
      <c r="F90" s="169">
        <v>408.85999999999899</v>
      </c>
      <c r="G90" s="170">
        <v>410.8</v>
      </c>
      <c r="H90" s="169">
        <v>21.003518571428614</v>
      </c>
      <c r="I90" s="166">
        <v>5269.7000000000116</v>
      </c>
      <c r="J90" s="169">
        <f t="shared" si="8"/>
        <v>3.9857142857142853</v>
      </c>
      <c r="O90" s="166">
        <v>465.35999999999899</v>
      </c>
      <c r="P90" s="169" t="e">
        <f t="shared" si="6"/>
        <v>#NAME?</v>
      </c>
      <c r="Q90" s="171">
        <v>465.35999999999899</v>
      </c>
      <c r="R90" s="172">
        <v>465.86999999999898</v>
      </c>
      <c r="S90" s="169">
        <v>11.310400000000083</v>
      </c>
      <c r="X90" s="166">
        <v>267.85999999999899</v>
      </c>
      <c r="Y90" s="169" t="e">
        <f t="shared" si="7"/>
        <v>#NAME?</v>
      </c>
      <c r="Z90" s="173">
        <v>267.85999999999899</v>
      </c>
      <c r="AA90" s="166">
        <v>271.21899999999999</v>
      </c>
      <c r="AB90" s="171">
        <v>24.5717</v>
      </c>
      <c r="AC90" s="166">
        <v>3704.7</v>
      </c>
      <c r="AD90" s="169">
        <f t="shared" si="9"/>
        <v>6.6325748373687476</v>
      </c>
    </row>
    <row r="91" spans="4:30">
      <c r="D91" s="166">
        <v>408.86999999999898</v>
      </c>
      <c r="E91" s="168" t="e">
        <f t="shared" si="5"/>
        <v>#NAME?</v>
      </c>
      <c r="F91" s="169">
        <v>408.86999999999898</v>
      </c>
      <c r="G91" s="170">
        <v>409.87</v>
      </c>
      <c r="H91" s="169">
        <v>25.306097142856959</v>
      </c>
      <c r="I91" s="166">
        <v>6349.1999999999534</v>
      </c>
      <c r="J91" s="169">
        <f t="shared" si="8"/>
        <v>3.9857142857142862</v>
      </c>
      <c r="O91" s="166">
        <v>465.36999999999898</v>
      </c>
      <c r="P91" s="169" t="e">
        <f t="shared" si="6"/>
        <v>#NAME?</v>
      </c>
      <c r="Q91" s="171">
        <v>465.36999999999898</v>
      </c>
      <c r="R91" s="172">
        <v>465.87999999999897</v>
      </c>
      <c r="S91" s="169">
        <v>11.309600000000083</v>
      </c>
      <c r="X91" s="166">
        <v>267.86999999999898</v>
      </c>
      <c r="Y91" s="169" t="e">
        <f t="shared" si="7"/>
        <v>#NAME?</v>
      </c>
      <c r="Z91" s="173">
        <v>267.86999999999898</v>
      </c>
      <c r="AA91" s="166">
        <v>271.00900000000001</v>
      </c>
      <c r="AB91" s="171">
        <v>29.651700000000005</v>
      </c>
      <c r="AC91" s="166">
        <v>4437.6000000000004</v>
      </c>
      <c r="AD91" s="169">
        <f t="shared" si="9"/>
        <v>6.6819226608977838</v>
      </c>
    </row>
    <row r="92" spans="4:30">
      <c r="D92" s="166">
        <v>408.87999999999897</v>
      </c>
      <c r="E92" s="168" t="e">
        <f t="shared" si="5"/>
        <v>#NAME?</v>
      </c>
      <c r="F92" s="169">
        <v>408.87999999999897</v>
      </c>
      <c r="G92" s="170">
        <v>409.51</v>
      </c>
      <c r="H92" s="169">
        <v>22.257025714285529</v>
      </c>
      <c r="I92" s="166">
        <v>5584.1999999999534</v>
      </c>
      <c r="J92" s="169">
        <f t="shared" si="8"/>
        <v>3.9857142857142862</v>
      </c>
      <c r="O92" s="166">
        <v>465.37999999999897</v>
      </c>
      <c r="P92" s="169" t="e">
        <f t="shared" si="6"/>
        <v>#NAME?</v>
      </c>
      <c r="Q92" s="171">
        <v>465.37999999999897</v>
      </c>
      <c r="R92" s="172">
        <v>465.88999999999902</v>
      </c>
      <c r="S92" s="169">
        <v>11.30880000000008</v>
      </c>
      <c r="X92" s="166">
        <v>267.87999999999897</v>
      </c>
      <c r="Y92" s="169" t="e">
        <f t="shared" si="7"/>
        <v>#NAME?</v>
      </c>
      <c r="Z92" s="173">
        <v>267.87999999999897</v>
      </c>
      <c r="AA92" s="166">
        <v>270.83539999999999</v>
      </c>
      <c r="AB92" s="171">
        <v>34.573199999999986</v>
      </c>
      <c r="AC92" s="166">
        <v>5172.8</v>
      </c>
      <c r="AD92" s="169">
        <f t="shared" si="9"/>
        <v>6.6836529539127714</v>
      </c>
    </row>
    <row r="93" spans="4:30">
      <c r="D93" s="166">
        <v>408.88999999999902</v>
      </c>
      <c r="E93" s="168" t="e">
        <f t="shared" si="5"/>
        <v>#NAME?</v>
      </c>
      <c r="F93" s="169">
        <v>408.88999999999902</v>
      </c>
      <c r="G93" s="170">
        <v>409.33</v>
      </c>
      <c r="H93" s="169">
        <v>21.386147142857421</v>
      </c>
      <c r="I93" s="166">
        <v>5365.7000000000698</v>
      </c>
      <c r="J93" s="169">
        <f t="shared" si="8"/>
        <v>3.9857142857142862</v>
      </c>
      <c r="O93" s="166">
        <v>465.38999999999902</v>
      </c>
      <c r="P93" s="169" t="e">
        <f t="shared" si="6"/>
        <v>#NAME?</v>
      </c>
      <c r="Q93" s="171">
        <v>465.38999999999902</v>
      </c>
      <c r="R93" s="172">
        <v>465.89999999999901</v>
      </c>
      <c r="S93" s="169">
        <v>11.30800000000008</v>
      </c>
      <c r="X93" s="166">
        <v>267.88999999999902</v>
      </c>
      <c r="Y93" s="169" t="e">
        <f t="shared" si="7"/>
        <v>#NAME?</v>
      </c>
      <c r="Z93" s="173">
        <v>267.88999999999902</v>
      </c>
      <c r="AA93" s="166">
        <v>270.71100000000001</v>
      </c>
      <c r="AB93" s="171">
        <v>30.640400000000007</v>
      </c>
      <c r="AC93" s="166">
        <v>4602.3999999999996</v>
      </c>
      <c r="AD93" s="169">
        <f t="shared" si="9"/>
        <v>6.6574830523205302</v>
      </c>
    </row>
    <row r="94" spans="4:30">
      <c r="D94" s="166">
        <v>408.89999999999901</v>
      </c>
      <c r="E94" s="168" t="e">
        <f t="shared" si="5"/>
        <v>#NAME?</v>
      </c>
      <c r="F94" s="169">
        <v>408.89999999999901</v>
      </c>
      <c r="G94" s="170">
        <v>409.8</v>
      </c>
      <c r="H94" s="169">
        <v>17.455037142856771</v>
      </c>
      <c r="I94" s="166">
        <v>4379.3999999999069</v>
      </c>
      <c r="J94" s="169">
        <f t="shared" si="8"/>
        <v>3.9857142857142853</v>
      </c>
      <c r="O94" s="166">
        <v>465.39999999999901</v>
      </c>
      <c r="P94" s="169" t="e">
        <f t="shared" si="6"/>
        <v>#NAME?</v>
      </c>
      <c r="Q94" s="171">
        <v>465.39999999999901</v>
      </c>
      <c r="R94" s="172">
        <v>465.909999999999</v>
      </c>
      <c r="S94" s="169">
        <v>11.30720000000008</v>
      </c>
      <c r="X94" s="166">
        <v>267.89999999999901</v>
      </c>
      <c r="Y94" s="169" t="e">
        <f t="shared" si="7"/>
        <v>#NAME?</v>
      </c>
      <c r="Z94" s="173">
        <v>267.89999999999901</v>
      </c>
      <c r="AA94" s="166">
        <v>270.61500000000001</v>
      </c>
      <c r="AB94" s="171">
        <v>29.169600000000003</v>
      </c>
      <c r="AC94" s="166">
        <v>4330.8</v>
      </c>
      <c r="AD94" s="169">
        <f t="shared" si="9"/>
        <v>6.735383762815184</v>
      </c>
    </row>
    <row r="95" spans="4:30">
      <c r="D95" s="166">
        <v>408.909999999999</v>
      </c>
      <c r="E95" s="168" t="e">
        <f t="shared" si="5"/>
        <v>#NAME?</v>
      </c>
      <c r="F95" s="169">
        <v>408.909999999999</v>
      </c>
      <c r="G95" s="170">
        <v>409.15</v>
      </c>
      <c r="H95" s="169">
        <v>18.54234000000028</v>
      </c>
      <c r="I95" s="166">
        <v>4652.2000000000698</v>
      </c>
      <c r="J95" s="169">
        <f t="shared" si="8"/>
        <v>3.9857142857142862</v>
      </c>
      <c r="O95" s="166">
        <v>465.409999999999</v>
      </c>
      <c r="P95" s="169" t="e">
        <f t="shared" si="6"/>
        <v>#NAME?</v>
      </c>
      <c r="Q95" s="171">
        <v>465.409999999999</v>
      </c>
      <c r="R95" s="172">
        <v>465.91999999999899</v>
      </c>
      <c r="S95" s="169">
        <v>11.306400000000082</v>
      </c>
      <c r="X95" s="166">
        <v>267.909999999999</v>
      </c>
      <c r="Y95" s="169" t="e">
        <f t="shared" si="7"/>
        <v>#NAME?</v>
      </c>
      <c r="Z95" s="173">
        <v>267.909999999999</v>
      </c>
      <c r="AA95" s="166">
        <v>270.62299999999999</v>
      </c>
      <c r="AB95" s="171">
        <v>21.667100000000005</v>
      </c>
      <c r="AC95" s="166">
        <v>3359.3</v>
      </c>
      <c r="AD95" s="169">
        <f t="shared" si="9"/>
        <v>6.4498853927901658</v>
      </c>
    </row>
    <row r="96" spans="4:30">
      <c r="D96" s="166">
        <v>408.91999999999899</v>
      </c>
      <c r="E96" s="168" t="e">
        <f t="shared" si="5"/>
        <v>#NAME?</v>
      </c>
      <c r="F96" s="169">
        <v>408.91999999999899</v>
      </c>
      <c r="G96" s="170">
        <v>410.46</v>
      </c>
      <c r="H96" s="169">
        <v>10.628305714285624</v>
      </c>
      <c r="I96" s="166">
        <v>2666.5999999999767</v>
      </c>
      <c r="J96" s="169">
        <f t="shared" si="8"/>
        <v>3.9857142857142867</v>
      </c>
      <c r="O96" s="166">
        <v>465.41999999999899</v>
      </c>
      <c r="P96" s="169" t="e">
        <f t="shared" si="6"/>
        <v>#NAME?</v>
      </c>
      <c r="Q96" s="171">
        <v>465.41999999999899</v>
      </c>
      <c r="R96" s="172">
        <v>465.92999999999898</v>
      </c>
      <c r="S96" s="169">
        <v>11.305600000000082</v>
      </c>
      <c r="X96" s="166">
        <v>267.91999999999899</v>
      </c>
      <c r="Y96" s="169" t="e">
        <f t="shared" si="7"/>
        <v>#NAME?</v>
      </c>
      <c r="Z96" s="173">
        <v>267.91999999999899</v>
      </c>
      <c r="AA96" s="166">
        <v>270.56650000000002</v>
      </c>
      <c r="AB96" s="171">
        <v>25.375100000000003</v>
      </c>
      <c r="AC96" s="166">
        <v>3774.6</v>
      </c>
      <c r="AD96" s="169">
        <f t="shared" si="9"/>
        <v>6.7225931224500624</v>
      </c>
    </row>
    <row r="97" spans="4:30">
      <c r="D97" s="166">
        <v>408.92999999999898</v>
      </c>
      <c r="E97" s="168" t="e">
        <f t="shared" si="5"/>
        <v>#NAME?</v>
      </c>
      <c r="F97" s="169">
        <v>408.92999999999898</v>
      </c>
      <c r="G97" s="170">
        <v>410.17</v>
      </c>
      <c r="H97" s="169">
        <v>17.503662857142995</v>
      </c>
      <c r="I97" s="166">
        <v>4391.6000000000349</v>
      </c>
      <c r="J97" s="169">
        <f t="shared" si="8"/>
        <v>3.9857142857142853</v>
      </c>
      <c r="O97" s="166">
        <v>465.42999999999898</v>
      </c>
      <c r="P97" s="169" t="e">
        <f t="shared" si="6"/>
        <v>#NAME?</v>
      </c>
      <c r="Q97" s="171">
        <v>465.42999999999898</v>
      </c>
      <c r="R97" s="172">
        <v>465.93999999999897</v>
      </c>
      <c r="S97" s="169">
        <v>11.304800000000082</v>
      </c>
      <c r="X97" s="166">
        <v>267.92999999999898</v>
      </c>
      <c r="Y97" s="169" t="e">
        <f t="shared" si="7"/>
        <v>#NAME?</v>
      </c>
      <c r="Z97" s="173">
        <v>267.92999999999898</v>
      </c>
      <c r="AA97" s="166">
        <v>270.625</v>
      </c>
      <c r="AB97" s="171">
        <v>16.241100000000003</v>
      </c>
      <c r="AC97" s="166">
        <v>2432.8000000000002</v>
      </c>
      <c r="AD97" s="169">
        <f t="shared" si="9"/>
        <v>6.6758878658336078</v>
      </c>
    </row>
    <row r="98" spans="4:30">
      <c r="D98" s="166">
        <v>408.93999999999897</v>
      </c>
      <c r="E98" s="168" t="e">
        <f t="shared" si="5"/>
        <v>#NAME?</v>
      </c>
      <c r="F98" s="169">
        <v>408.93999999999897</v>
      </c>
      <c r="G98" s="170">
        <v>409.86</v>
      </c>
      <c r="H98" s="169">
        <v>16.531148571428243</v>
      </c>
      <c r="I98" s="166">
        <v>4147.5999999999185</v>
      </c>
      <c r="J98" s="169">
        <f t="shared" si="8"/>
        <v>3.9857142857142853</v>
      </c>
      <c r="O98" s="166">
        <v>465.43999999999897</v>
      </c>
      <c r="P98" s="169" t="e">
        <f t="shared" si="6"/>
        <v>#NAME?</v>
      </c>
      <c r="Q98" s="171">
        <v>465.43999999999897</v>
      </c>
      <c r="R98" s="172">
        <v>465.94999999999902</v>
      </c>
      <c r="S98" s="169">
        <v>11.304000000000078</v>
      </c>
      <c r="X98" s="166">
        <v>267.93999999999897</v>
      </c>
      <c r="Y98" s="169" t="e">
        <f t="shared" si="7"/>
        <v>#NAME?</v>
      </c>
      <c r="Z98" s="173">
        <v>267.93999999999897</v>
      </c>
      <c r="AA98" s="166">
        <v>270.64240000000001</v>
      </c>
      <c r="AB98" s="171">
        <v>20.898400000000002</v>
      </c>
      <c r="AC98" s="166">
        <v>3118.6</v>
      </c>
      <c r="AD98" s="169">
        <f t="shared" si="9"/>
        <v>6.7012120823446431</v>
      </c>
    </row>
    <row r="99" spans="4:30">
      <c r="D99" s="166">
        <v>408.94999999999902</v>
      </c>
      <c r="E99" s="168" t="e">
        <f t="shared" si="5"/>
        <v>#NAME?</v>
      </c>
      <c r="F99" s="169">
        <v>408.94999999999902</v>
      </c>
      <c r="G99" s="170">
        <v>409.58</v>
      </c>
      <c r="H99" s="169">
        <v>13.270037142857701</v>
      </c>
      <c r="I99" s="166">
        <v>3329.4000000001397</v>
      </c>
      <c r="J99" s="169">
        <f t="shared" si="8"/>
        <v>3.9857142857142862</v>
      </c>
      <c r="O99" s="166">
        <v>465.44999999999902</v>
      </c>
      <c r="P99" s="169" t="e">
        <f t="shared" si="6"/>
        <v>#NAME?</v>
      </c>
      <c r="Q99" s="171">
        <v>465.44999999999902</v>
      </c>
      <c r="R99" s="172">
        <v>465.95999999999901</v>
      </c>
      <c r="S99" s="169">
        <v>11.30320000000008</v>
      </c>
      <c r="X99" s="166">
        <v>267.94999999999902</v>
      </c>
      <c r="Y99" s="169" t="e">
        <f t="shared" si="7"/>
        <v>#NAME?</v>
      </c>
      <c r="Z99" s="173">
        <v>267.94999999999902</v>
      </c>
      <c r="AA99" s="166">
        <v>270.66800000000001</v>
      </c>
      <c r="AB99" s="171">
        <v>21.766199999999998</v>
      </c>
      <c r="AC99" s="166">
        <v>3262.5</v>
      </c>
      <c r="AD99" s="169">
        <f t="shared" si="9"/>
        <v>6.671632183908045</v>
      </c>
    </row>
    <row r="100" spans="4:30">
      <c r="D100" s="166">
        <v>408.95999999999901</v>
      </c>
      <c r="E100" s="168" t="e">
        <f t="shared" si="5"/>
        <v>#NAME?</v>
      </c>
      <c r="F100" s="169">
        <v>408.95999999999901</v>
      </c>
      <c r="G100" s="170">
        <v>409.37</v>
      </c>
      <c r="H100" s="169">
        <v>8.1404228571424841</v>
      </c>
      <c r="I100" s="166">
        <v>2042.3999999999069</v>
      </c>
      <c r="J100" s="169">
        <f t="shared" si="8"/>
        <v>3.9857142857142853</v>
      </c>
      <c r="O100" s="166">
        <v>465.45999999999901</v>
      </c>
      <c r="P100" s="169" t="e">
        <f t="shared" si="6"/>
        <v>#NAME?</v>
      </c>
      <c r="Q100" s="171">
        <v>465.45999999999901</v>
      </c>
      <c r="R100" s="172">
        <v>465.969999999999</v>
      </c>
      <c r="S100" s="169">
        <v>11.30240000000008</v>
      </c>
      <c r="X100" s="166">
        <v>267.95999999999901</v>
      </c>
      <c r="Y100" s="169" t="e">
        <f t="shared" si="7"/>
        <v>#NAME?</v>
      </c>
      <c r="Z100" s="173">
        <v>267.95999999999901</v>
      </c>
      <c r="AA100" s="166">
        <v>270.89</v>
      </c>
      <c r="AB100" s="171">
        <v>17.107199999999999</v>
      </c>
      <c r="AC100" s="166">
        <v>2575.9</v>
      </c>
      <c r="AD100" s="169">
        <f t="shared" si="9"/>
        <v>6.6412516013820406</v>
      </c>
    </row>
    <row r="101" spans="4:30">
      <c r="D101" s="166">
        <v>408.969999999999</v>
      </c>
      <c r="E101" s="168" t="e">
        <f t="shared" si="5"/>
        <v>#NAME?</v>
      </c>
      <c r="F101" s="169">
        <v>408.969999999999</v>
      </c>
      <c r="G101" s="170">
        <v>410.62</v>
      </c>
      <c r="H101" s="169">
        <v>3.9625971428574212</v>
      </c>
      <c r="I101" s="166">
        <v>994.20000000006985</v>
      </c>
      <c r="J101" s="169">
        <f t="shared" si="8"/>
        <v>3.9857142857142862</v>
      </c>
      <c r="O101" s="166">
        <v>465.469999999999</v>
      </c>
      <c r="P101" s="169" t="e">
        <f t="shared" si="6"/>
        <v>#NAME?</v>
      </c>
      <c r="Q101" s="171">
        <v>465.469999999999</v>
      </c>
      <c r="R101" s="172">
        <v>465.979999999999</v>
      </c>
      <c r="S101" s="169">
        <v>11.30160000000008</v>
      </c>
      <c r="X101" s="166">
        <v>267.969999999999</v>
      </c>
      <c r="Y101" s="169" t="e">
        <f t="shared" si="7"/>
        <v>#NAME?</v>
      </c>
      <c r="Z101" s="173">
        <v>267.969999999999</v>
      </c>
      <c r="AA101" s="166">
        <v>270.77</v>
      </c>
      <c r="AB101" s="171">
        <v>17.262700000000002</v>
      </c>
      <c r="AC101" s="166">
        <v>2607.6</v>
      </c>
      <c r="AD101" s="169">
        <f t="shared" si="9"/>
        <v>6.620148795827582</v>
      </c>
    </row>
    <row r="102" spans="4:30">
      <c r="D102" s="166">
        <v>408.979999999999</v>
      </c>
      <c r="E102" s="168" t="e">
        <f t="shared" si="5"/>
        <v>#NAME?</v>
      </c>
      <c r="F102" s="169">
        <v>408.979999999999</v>
      </c>
      <c r="G102" s="170">
        <v>409.71</v>
      </c>
      <c r="H102" s="169">
        <v>14.904179999999631</v>
      </c>
      <c r="I102" s="166">
        <v>3739.3999999999069</v>
      </c>
      <c r="J102" s="169">
        <f t="shared" si="8"/>
        <v>3.9857142857142862</v>
      </c>
      <c r="O102" s="166">
        <v>465.479999999999</v>
      </c>
      <c r="P102" s="169" t="e">
        <f t="shared" si="6"/>
        <v>#NAME?</v>
      </c>
      <c r="Q102" s="171">
        <v>465.479999999999</v>
      </c>
      <c r="R102" s="172">
        <v>465.98999999999899</v>
      </c>
      <c r="S102" s="169">
        <v>11.300800000000082</v>
      </c>
      <c r="X102" s="166">
        <v>267.979999999999</v>
      </c>
      <c r="Y102" s="169" t="e">
        <f t="shared" si="7"/>
        <v>#NAME?</v>
      </c>
      <c r="Z102" s="173">
        <v>267.979999999999</v>
      </c>
      <c r="AA102" s="166">
        <v>270.68599999999998</v>
      </c>
      <c r="AB102" s="171">
        <v>10.000300000000001</v>
      </c>
      <c r="AC102" s="166">
        <v>1515.6</v>
      </c>
      <c r="AD102" s="169">
        <f t="shared" si="9"/>
        <v>6.598244919503828</v>
      </c>
    </row>
    <row r="103" spans="4:30">
      <c r="D103" s="166">
        <v>408.98999999999899</v>
      </c>
      <c r="E103" s="168" t="e">
        <f t="shared" si="5"/>
        <v>#NAME?</v>
      </c>
      <c r="F103" s="169">
        <v>408.98999999999899</v>
      </c>
      <c r="G103" s="170">
        <v>409.57</v>
      </c>
      <c r="H103" s="169">
        <v>14.969147142857423</v>
      </c>
      <c r="I103" s="166">
        <v>3755.7000000000698</v>
      </c>
      <c r="J103" s="169">
        <f t="shared" si="8"/>
        <v>3.9857142857142862</v>
      </c>
      <c r="O103" s="166">
        <v>465.48999999999899</v>
      </c>
      <c r="P103" s="169" t="e">
        <f t="shared" si="6"/>
        <v>#NAME?</v>
      </c>
      <c r="Q103" s="171">
        <v>465.48999999999899</v>
      </c>
      <c r="R103" s="172">
        <v>465.99999999999898</v>
      </c>
      <c r="S103" s="169">
        <v>11.300000000000082</v>
      </c>
      <c r="X103" s="166">
        <v>267.98999999999899</v>
      </c>
      <c r="Y103" s="169" t="e">
        <f t="shared" si="7"/>
        <v>#NAME?</v>
      </c>
      <c r="Z103" s="173">
        <v>267.98999999999899</v>
      </c>
      <c r="AA103" s="166">
        <v>270.928</v>
      </c>
      <c r="AB103" s="171">
        <v>18.714500000000001</v>
      </c>
      <c r="AC103" s="166">
        <v>2807.3</v>
      </c>
      <c r="AD103" s="169">
        <f t="shared" si="9"/>
        <v>6.6663698215367075</v>
      </c>
    </row>
    <row r="104" spans="4:30">
      <c r="D104" s="166">
        <v>408.99999999999898</v>
      </c>
      <c r="E104" s="168" t="e">
        <f t="shared" si="5"/>
        <v>#NAME?</v>
      </c>
      <c r="F104" s="169">
        <v>408.99999999999898</v>
      </c>
      <c r="G104" s="170">
        <v>409.08</v>
      </c>
      <c r="H104" s="169">
        <v>17.305971428571429</v>
      </c>
      <c r="I104" s="166">
        <v>4342</v>
      </c>
      <c r="J104" s="169">
        <f t="shared" si="8"/>
        <v>3.9857142857142862</v>
      </c>
      <c r="O104" s="166">
        <v>465.49999999999898</v>
      </c>
      <c r="P104" s="169" t="e">
        <f t="shared" si="6"/>
        <v>#NAME?</v>
      </c>
      <c r="Q104" s="171">
        <v>465.49999999999898</v>
      </c>
      <c r="R104" s="172">
        <v>466.00999999999902</v>
      </c>
      <c r="S104" s="169">
        <v>11.29580000000041</v>
      </c>
      <c r="X104" s="166">
        <v>267.99999999999898</v>
      </c>
      <c r="Y104" s="169" t="e">
        <f t="shared" si="7"/>
        <v>#NAME?</v>
      </c>
      <c r="Z104" s="173">
        <v>267.99999999999898</v>
      </c>
      <c r="AA104" s="166">
        <v>271.00299999999999</v>
      </c>
      <c r="AB104" s="171">
        <v>22.241300000000006</v>
      </c>
      <c r="AC104" s="166">
        <v>3358.6</v>
      </c>
      <c r="AD104" s="169">
        <f t="shared" si="9"/>
        <v>6.6221937712141985</v>
      </c>
    </row>
    <row r="105" spans="4:30">
      <c r="D105" s="166">
        <v>409.00999999999902</v>
      </c>
      <c r="E105" s="168" t="e">
        <f t="shared" si="5"/>
        <v>#NAME?</v>
      </c>
      <c r="F105" s="169">
        <v>409.00999999999902</v>
      </c>
      <c r="G105" s="170">
        <v>409.65</v>
      </c>
      <c r="H105" s="169">
        <v>15.240574285714004</v>
      </c>
      <c r="I105" s="166">
        <v>3823.7999999999302</v>
      </c>
      <c r="J105" s="169">
        <f t="shared" si="8"/>
        <v>3.9857142857142853</v>
      </c>
      <c r="O105" s="166">
        <v>465.50999999999902</v>
      </c>
      <c r="P105" s="169" t="e">
        <f t="shared" si="6"/>
        <v>#NAME?</v>
      </c>
      <c r="Q105" s="171">
        <v>465.50999999999902</v>
      </c>
      <c r="R105" s="172">
        <v>466.01999999999902</v>
      </c>
      <c r="S105" s="169">
        <v>11.291600000000415</v>
      </c>
      <c r="X105" s="166">
        <v>268.00999999999902</v>
      </c>
      <c r="Y105" s="169" t="e">
        <f t="shared" si="7"/>
        <v>#NAME?</v>
      </c>
      <c r="Z105" s="173">
        <v>268.00999999999902</v>
      </c>
      <c r="AA105" s="166">
        <v>271.14600000000002</v>
      </c>
      <c r="AB105" s="171">
        <v>22.810099999999998</v>
      </c>
      <c r="AC105" s="166">
        <v>3451.1</v>
      </c>
      <c r="AD105" s="169">
        <f t="shared" si="9"/>
        <v>6.6095158065544313</v>
      </c>
    </row>
    <row r="106" spans="4:30">
      <c r="D106" s="166">
        <v>409.01999999999902</v>
      </c>
      <c r="E106" s="168" t="e">
        <f t="shared" si="5"/>
        <v>#NAME?</v>
      </c>
      <c r="F106" s="169">
        <v>409.01999999999902</v>
      </c>
      <c r="G106" s="170">
        <v>410.41</v>
      </c>
      <c r="H106" s="169">
        <v>15.070384285714429</v>
      </c>
      <c r="I106" s="166">
        <v>3781.1000000000349</v>
      </c>
      <c r="J106" s="169">
        <f t="shared" si="8"/>
        <v>3.9857142857142867</v>
      </c>
      <c r="O106" s="166">
        <v>465.51999999999902</v>
      </c>
      <c r="P106" s="169" t="e">
        <f t="shared" si="6"/>
        <v>#NAME?</v>
      </c>
      <c r="Q106" s="171">
        <v>465.51999999999902</v>
      </c>
      <c r="R106" s="172">
        <v>466.02999999999901</v>
      </c>
      <c r="S106" s="169">
        <v>11.287400000000417</v>
      </c>
      <c r="X106" s="166">
        <v>268.01999999999902</v>
      </c>
      <c r="Y106" s="169" t="e">
        <f t="shared" si="7"/>
        <v>#NAME?</v>
      </c>
      <c r="Z106" s="173">
        <v>268.01999999999902</v>
      </c>
      <c r="AA106" s="166">
        <v>271.40600000000001</v>
      </c>
      <c r="AB106" s="171">
        <v>19.510599999999997</v>
      </c>
      <c r="AC106" s="166">
        <v>2952.4</v>
      </c>
      <c r="AD106" s="169">
        <f t="shared" si="9"/>
        <v>6.6083863975071111</v>
      </c>
    </row>
    <row r="107" spans="4:30">
      <c r="D107" s="166">
        <v>409.02999999999901</v>
      </c>
      <c r="E107" s="168" t="e">
        <f t="shared" si="5"/>
        <v>#NAME?</v>
      </c>
      <c r="F107" s="169">
        <v>409.02999999999901</v>
      </c>
      <c r="G107" s="170">
        <v>409.53</v>
      </c>
      <c r="H107" s="169">
        <v>19.736061428571475</v>
      </c>
      <c r="I107" s="166">
        <v>4951.7000000000116</v>
      </c>
      <c r="J107" s="169">
        <f t="shared" si="8"/>
        <v>3.9857142857142862</v>
      </c>
      <c r="O107" s="166">
        <v>465.52999999999901</v>
      </c>
      <c r="P107" s="169" t="e">
        <f t="shared" si="6"/>
        <v>#NAME?</v>
      </c>
      <c r="Q107" s="171">
        <v>465.52999999999901</v>
      </c>
      <c r="R107" s="172">
        <v>466.039999999999</v>
      </c>
      <c r="S107" s="169">
        <v>11.283200000000422</v>
      </c>
      <c r="X107" s="166">
        <v>268.02999999999901</v>
      </c>
      <c r="Y107" s="169" t="e">
        <f t="shared" si="7"/>
        <v>#NAME?</v>
      </c>
      <c r="Z107" s="173">
        <v>268.02999999999901</v>
      </c>
      <c r="AA107" s="166">
        <v>271.322</v>
      </c>
      <c r="AB107" s="171">
        <v>22.1999</v>
      </c>
      <c r="AC107" s="166">
        <v>3352.9</v>
      </c>
      <c r="AD107" s="169">
        <f t="shared" si="9"/>
        <v>6.6211041188225117</v>
      </c>
    </row>
    <row r="108" spans="4:30">
      <c r="D108" s="166">
        <v>409.039999999999</v>
      </c>
      <c r="E108" s="168" t="e">
        <f t="shared" si="5"/>
        <v>#NAME?</v>
      </c>
      <c r="F108" s="169">
        <v>409.039999999999</v>
      </c>
      <c r="G108" s="170">
        <v>409.8</v>
      </c>
      <c r="H108" s="169">
        <v>16.744384285714194</v>
      </c>
      <c r="I108" s="166">
        <v>4201.0999999999767</v>
      </c>
      <c r="J108" s="169">
        <f t="shared" si="8"/>
        <v>3.9857142857142862</v>
      </c>
      <c r="O108" s="166">
        <v>465.539999999999</v>
      </c>
      <c r="P108" s="169" t="e">
        <f t="shared" si="6"/>
        <v>#NAME?</v>
      </c>
      <c r="Q108" s="171">
        <v>465.539999999999</v>
      </c>
      <c r="R108" s="172">
        <v>466.04999999999899</v>
      </c>
      <c r="S108" s="169">
        <v>11.279000000000426</v>
      </c>
      <c r="X108" s="166">
        <v>268.039999999999</v>
      </c>
      <c r="Y108" s="169" t="e">
        <f t="shared" si="7"/>
        <v>#NAME?</v>
      </c>
      <c r="Z108" s="173">
        <v>268.039999999999</v>
      </c>
      <c r="AA108" s="166">
        <v>271.17200000000003</v>
      </c>
      <c r="AB108" s="171">
        <v>26.427400000000006</v>
      </c>
      <c r="AC108" s="166">
        <v>3997</v>
      </c>
      <c r="AD108" s="169">
        <f t="shared" si="9"/>
        <v>6.6118088566424831</v>
      </c>
    </row>
    <row r="109" spans="4:30">
      <c r="D109" s="166">
        <v>409.04999999999899</v>
      </c>
      <c r="E109" s="168" t="e">
        <f t="shared" si="5"/>
        <v>#NAME?</v>
      </c>
      <c r="F109" s="169">
        <v>409.04999999999899</v>
      </c>
      <c r="G109" s="170">
        <v>409.8</v>
      </c>
      <c r="H109" s="169">
        <v>17.694578571428572</v>
      </c>
      <c r="I109" s="166">
        <v>4439.5</v>
      </c>
      <c r="J109" s="169">
        <f t="shared" si="8"/>
        <v>3.9857142857142862</v>
      </c>
      <c r="O109" s="166">
        <v>465.54999999999899</v>
      </c>
      <c r="P109" s="169" t="e">
        <f t="shared" si="6"/>
        <v>#NAME?</v>
      </c>
      <c r="Q109" s="171">
        <v>465.54999999999899</v>
      </c>
      <c r="R109" s="172">
        <v>466.05999999999898</v>
      </c>
      <c r="S109" s="169">
        <v>11.274800000000429</v>
      </c>
      <c r="X109" s="166">
        <v>268.04999999999899</v>
      </c>
      <c r="Y109" s="169" t="e">
        <f t="shared" si="7"/>
        <v>#NAME?</v>
      </c>
      <c r="Z109" s="173">
        <v>268.04999999999899</v>
      </c>
      <c r="AA109" s="166">
        <v>270.88400000000001</v>
      </c>
      <c r="AB109" s="171">
        <v>27.615000000000002</v>
      </c>
      <c r="AC109" s="166">
        <v>4166.6000000000004</v>
      </c>
      <c r="AD109" s="169">
        <f t="shared" si="9"/>
        <v>6.6277060432966923</v>
      </c>
    </row>
    <row r="110" spans="4:30">
      <c r="D110" s="166">
        <v>409.05999999999898</v>
      </c>
      <c r="E110" s="168" t="e">
        <f t="shared" si="5"/>
        <v>#NAME?</v>
      </c>
      <c r="F110" s="169">
        <v>409.05999999999898</v>
      </c>
      <c r="G110" s="170">
        <v>409.41</v>
      </c>
      <c r="H110" s="169">
        <v>20.169707142857142</v>
      </c>
      <c r="I110" s="166">
        <v>5060.5</v>
      </c>
      <c r="J110" s="169">
        <f t="shared" si="8"/>
        <v>3.9857142857142853</v>
      </c>
      <c r="O110" s="166">
        <v>465.55999999999898</v>
      </c>
      <c r="P110" s="169" t="e">
        <f t="shared" si="6"/>
        <v>#NAME?</v>
      </c>
      <c r="Q110" s="171">
        <v>465.55999999999898</v>
      </c>
      <c r="R110" s="172">
        <v>466.06999999999903</v>
      </c>
      <c r="S110" s="169">
        <v>11.27060000000041</v>
      </c>
      <c r="X110" s="166">
        <v>268.05999999999898</v>
      </c>
      <c r="Y110" s="169" t="e">
        <f t="shared" si="7"/>
        <v>#NAME?</v>
      </c>
      <c r="Z110" s="173">
        <v>268.05999999999898</v>
      </c>
      <c r="AA110" s="166">
        <v>270.86</v>
      </c>
      <c r="AB110" s="171">
        <v>24.581599999999998</v>
      </c>
      <c r="AC110" s="166">
        <v>3705.1</v>
      </c>
      <c r="AD110" s="169">
        <f t="shared" si="9"/>
        <v>6.6345307818952248</v>
      </c>
    </row>
    <row r="111" spans="4:30">
      <c r="D111" s="166">
        <v>409.06999999999903</v>
      </c>
      <c r="E111" s="168" t="e">
        <f t="shared" si="5"/>
        <v>#NAME?</v>
      </c>
      <c r="F111" s="169">
        <v>409.06999999999903</v>
      </c>
      <c r="G111" s="170">
        <v>410.17</v>
      </c>
      <c r="H111" s="169">
        <v>18.255368571428615</v>
      </c>
      <c r="I111" s="166">
        <v>4580.2000000000116</v>
      </c>
      <c r="J111" s="169">
        <f t="shared" si="8"/>
        <v>3.9857142857142853</v>
      </c>
      <c r="O111" s="166">
        <v>465.56999999999903</v>
      </c>
      <c r="P111" s="169" t="e">
        <f t="shared" si="6"/>
        <v>#NAME?</v>
      </c>
      <c r="Q111" s="171">
        <v>465.56999999999903</v>
      </c>
      <c r="R111" s="172">
        <v>466.07999999999902</v>
      </c>
      <c r="S111" s="169">
        <v>11.266400000000413</v>
      </c>
      <c r="X111" s="166">
        <v>268.06999999999903</v>
      </c>
      <c r="Y111" s="169" t="e">
        <f t="shared" si="7"/>
        <v>#NAME?</v>
      </c>
      <c r="Z111" s="173">
        <v>268.06999999999903</v>
      </c>
      <c r="AA111" s="166">
        <v>270.846</v>
      </c>
      <c r="AB111" s="171">
        <v>27.802600000000005</v>
      </c>
      <c r="AC111" s="166">
        <v>4293.6000000000004</v>
      </c>
      <c r="AD111" s="169">
        <f t="shared" si="9"/>
        <v>6.4753586733743251</v>
      </c>
    </row>
    <row r="112" spans="4:30">
      <c r="D112" s="166">
        <v>409.07999999999902</v>
      </c>
      <c r="E112" s="168" t="e">
        <f t="shared" si="5"/>
        <v>#NAME?</v>
      </c>
      <c r="F112" s="169">
        <v>409.07999999999902</v>
      </c>
      <c r="G112" s="170">
        <v>411.32</v>
      </c>
      <c r="H112" s="169">
        <v>17.438297142856957</v>
      </c>
      <c r="I112" s="166">
        <v>4375.1999999999534</v>
      </c>
      <c r="J112" s="169">
        <f t="shared" si="8"/>
        <v>3.9857142857142862</v>
      </c>
      <c r="O112" s="166">
        <v>465.57999999999902</v>
      </c>
      <c r="P112" s="169" t="e">
        <f t="shared" si="6"/>
        <v>#NAME?</v>
      </c>
      <c r="Q112" s="171">
        <v>465.57999999999902</v>
      </c>
      <c r="R112" s="172">
        <v>466.08999999999901</v>
      </c>
      <c r="S112" s="169">
        <v>11.262200000000417</v>
      </c>
      <c r="X112" s="166">
        <v>268.07999999999902</v>
      </c>
      <c r="Y112" s="169" t="e">
        <f t="shared" si="7"/>
        <v>#NAME?</v>
      </c>
      <c r="Z112" s="173">
        <v>268.07999999999902</v>
      </c>
      <c r="AA112" s="166">
        <v>270.92</v>
      </c>
      <c r="AB112" s="171">
        <v>26.740299999999998</v>
      </c>
      <c r="AC112" s="166">
        <v>4145.3999999999996</v>
      </c>
      <c r="AD112" s="169">
        <f t="shared" si="9"/>
        <v>6.4505958411733486</v>
      </c>
    </row>
    <row r="113" spans="4:30">
      <c r="D113" s="166">
        <v>409.08999999999901</v>
      </c>
      <c r="E113" s="168" t="e">
        <f t="shared" si="5"/>
        <v>#NAME?</v>
      </c>
      <c r="F113" s="169">
        <v>409.08999999999901</v>
      </c>
      <c r="G113" s="170">
        <v>411.92</v>
      </c>
      <c r="H113" s="169">
        <v>20.807421428571661</v>
      </c>
      <c r="I113" s="166">
        <v>5220.5000000000582</v>
      </c>
      <c r="J113" s="169">
        <f t="shared" si="8"/>
        <v>3.9857142857142862</v>
      </c>
      <c r="O113" s="166">
        <v>465.58999999999901</v>
      </c>
      <c r="P113" s="169" t="e">
        <f t="shared" si="6"/>
        <v>#NAME?</v>
      </c>
      <c r="Q113" s="171">
        <v>465.58999999999901</v>
      </c>
      <c r="R113" s="172">
        <v>466.099999999999</v>
      </c>
      <c r="S113" s="169">
        <v>11.25800000000042</v>
      </c>
      <c r="X113" s="166">
        <v>268.08999999999901</v>
      </c>
      <c r="Y113" s="169" t="e">
        <f t="shared" si="7"/>
        <v>#NAME?</v>
      </c>
      <c r="Z113" s="173">
        <v>268.08999999999901</v>
      </c>
      <c r="AA113" s="166">
        <v>270.72199999999998</v>
      </c>
      <c r="AB113" s="171">
        <v>26.222199999999994</v>
      </c>
      <c r="AC113" s="166">
        <v>4421.1000000000004</v>
      </c>
      <c r="AD113" s="169">
        <f t="shared" si="9"/>
        <v>5.9311483567437948</v>
      </c>
    </row>
    <row r="114" spans="4:30">
      <c r="D114" s="166">
        <v>409.099999999999</v>
      </c>
      <c r="E114" s="168" t="e">
        <f t="shared" si="5"/>
        <v>#NAME?</v>
      </c>
      <c r="F114" s="169">
        <v>409.099999999999</v>
      </c>
      <c r="G114" s="170">
        <v>411.76</v>
      </c>
      <c r="H114" s="169">
        <v>23.056958571428662</v>
      </c>
      <c r="I114" s="166">
        <v>5784.9000000000233</v>
      </c>
      <c r="J114" s="169">
        <f t="shared" si="8"/>
        <v>3.9857142857142853</v>
      </c>
      <c r="O114" s="166">
        <v>465.599999999999</v>
      </c>
      <c r="P114" s="169" t="e">
        <f t="shared" si="6"/>
        <v>#NAME?</v>
      </c>
      <c r="Q114" s="171">
        <v>465.599999999999</v>
      </c>
      <c r="R114" s="172">
        <v>466.10999999999899</v>
      </c>
      <c r="S114" s="169">
        <v>11.253800000000425</v>
      </c>
      <c r="X114" s="166">
        <v>268.099999999999</v>
      </c>
      <c r="Y114" s="169" t="e">
        <f t="shared" si="7"/>
        <v>#NAME?</v>
      </c>
      <c r="Z114" s="173">
        <v>268.099999999999</v>
      </c>
      <c r="AA114" s="166">
        <v>271.11200000000002</v>
      </c>
      <c r="AB114" s="171">
        <v>24.004999999999995</v>
      </c>
      <c r="AC114" s="166">
        <v>3592.8</v>
      </c>
      <c r="AD114" s="169">
        <f t="shared" si="9"/>
        <v>6.6814183923402348</v>
      </c>
    </row>
    <row r="115" spans="4:30">
      <c r="D115" s="166">
        <v>409.10999999999899</v>
      </c>
      <c r="E115" s="168" t="e">
        <f t="shared" si="5"/>
        <v>#NAME?</v>
      </c>
      <c r="F115" s="169">
        <v>409.10999999999899</v>
      </c>
      <c r="G115" s="170">
        <v>411.41</v>
      </c>
      <c r="H115" s="169">
        <v>21.143815714285576</v>
      </c>
      <c r="I115" s="166">
        <v>5304.8999999999651</v>
      </c>
      <c r="J115" s="169">
        <f t="shared" si="8"/>
        <v>3.9857142857142862</v>
      </c>
      <c r="O115" s="166">
        <v>465.60999999999899</v>
      </c>
      <c r="P115" s="169" t="e">
        <f t="shared" si="6"/>
        <v>#NAME?</v>
      </c>
      <c r="Q115" s="171">
        <v>465.60999999999899</v>
      </c>
      <c r="R115" s="172">
        <v>466.11999999999898</v>
      </c>
      <c r="S115" s="169">
        <v>11.249600000000429</v>
      </c>
      <c r="X115" s="166">
        <v>268.10999999999899</v>
      </c>
      <c r="Y115" s="169" t="e">
        <f t="shared" si="7"/>
        <v>#NAME?</v>
      </c>
      <c r="Z115" s="173">
        <v>268.10999999999899</v>
      </c>
      <c r="AA115" s="166">
        <v>271.44</v>
      </c>
      <c r="AB115" s="171">
        <v>29.210800000000006</v>
      </c>
      <c r="AC115" s="166">
        <v>4368.1000000000004</v>
      </c>
      <c r="AD115" s="169">
        <f t="shared" si="9"/>
        <v>6.6873011149012163</v>
      </c>
    </row>
    <row r="116" spans="4:30">
      <c r="D116" s="166">
        <v>409.11999999999898</v>
      </c>
      <c r="E116" s="168" t="e">
        <f t="shared" si="5"/>
        <v>#NAME?</v>
      </c>
      <c r="F116" s="169">
        <v>409.11999999999898</v>
      </c>
      <c r="G116" s="170">
        <v>411.5</v>
      </c>
      <c r="H116" s="169">
        <v>16.580970000000139</v>
      </c>
      <c r="I116" s="166">
        <v>4160.1000000000349</v>
      </c>
      <c r="J116" s="169">
        <f t="shared" si="8"/>
        <v>3.9857142857142862</v>
      </c>
      <c r="O116" s="166">
        <v>465.61999999999898</v>
      </c>
      <c r="P116" s="169" t="e">
        <f t="shared" si="6"/>
        <v>#NAME?</v>
      </c>
      <c r="Q116" s="171">
        <v>465.61999999999898</v>
      </c>
      <c r="R116" s="172">
        <v>466.12999999999897</v>
      </c>
      <c r="S116" s="169">
        <v>11.245400000000432</v>
      </c>
      <c r="X116" s="166">
        <v>268.11999999999898</v>
      </c>
      <c r="Y116" s="169" t="e">
        <f t="shared" si="7"/>
        <v>#NAME?</v>
      </c>
      <c r="Z116" s="173">
        <v>268.11999999999898</v>
      </c>
      <c r="AA116" s="166">
        <v>271.774</v>
      </c>
      <c r="AB116" s="171">
        <v>24.386299999999999</v>
      </c>
      <c r="AC116" s="166">
        <v>3667</v>
      </c>
      <c r="AD116" s="169">
        <f t="shared" si="9"/>
        <v>6.6502045268611942</v>
      </c>
    </row>
    <row r="117" spans="4:30">
      <c r="D117" s="166">
        <v>409.12999999999897</v>
      </c>
      <c r="E117" s="168" t="e">
        <f t="shared" si="5"/>
        <v>#NAME?</v>
      </c>
      <c r="F117" s="169">
        <v>409.12999999999897</v>
      </c>
      <c r="G117" s="170">
        <v>411.88</v>
      </c>
      <c r="H117" s="169">
        <v>17.883102857142809</v>
      </c>
      <c r="I117" s="166">
        <v>4486.7999999999884</v>
      </c>
      <c r="J117" s="169">
        <f t="shared" si="8"/>
        <v>3.9857142857142853</v>
      </c>
      <c r="O117" s="166">
        <v>465.62999999999897</v>
      </c>
      <c r="P117" s="169" t="e">
        <f t="shared" si="6"/>
        <v>#NAME?</v>
      </c>
      <c r="Q117" s="171">
        <v>465.62999999999897</v>
      </c>
      <c r="R117" s="172">
        <v>466.13999999999902</v>
      </c>
      <c r="S117" s="169">
        <v>11.241200000000413</v>
      </c>
      <c r="X117" s="166">
        <v>268.12999999999897</v>
      </c>
      <c r="Y117" s="169" t="e">
        <f t="shared" si="7"/>
        <v>#NAME?</v>
      </c>
      <c r="Z117" s="173">
        <v>268.12999999999897</v>
      </c>
      <c r="AA117" s="166">
        <v>271.97399999999999</v>
      </c>
      <c r="AB117" s="171">
        <v>27.137799999999991</v>
      </c>
      <c r="AC117" s="166">
        <v>4091.8</v>
      </c>
      <c r="AD117" s="169">
        <f t="shared" si="9"/>
        <v>6.6322400899359666</v>
      </c>
    </row>
    <row r="118" spans="4:30">
      <c r="D118" s="166">
        <v>409.13999999999902</v>
      </c>
      <c r="E118" s="168" t="e">
        <f t="shared" si="5"/>
        <v>#NAME?</v>
      </c>
      <c r="F118" s="169">
        <v>409.13999999999902</v>
      </c>
      <c r="G118" s="170">
        <v>411.55</v>
      </c>
      <c r="H118" s="169">
        <v>20.842894285714149</v>
      </c>
      <c r="I118" s="166">
        <v>5229.3999999999651</v>
      </c>
      <c r="J118" s="169">
        <f t="shared" si="8"/>
        <v>3.9857142857142862</v>
      </c>
      <c r="O118" s="166">
        <v>465.63999999999902</v>
      </c>
      <c r="P118" s="169" t="e">
        <f t="shared" si="6"/>
        <v>#NAME?</v>
      </c>
      <c r="Q118" s="171">
        <v>465.63999999999902</v>
      </c>
      <c r="R118" s="172">
        <v>466.14999999999901</v>
      </c>
      <c r="S118" s="169">
        <v>11.237000000000416</v>
      </c>
      <c r="X118" s="166">
        <v>268.13999999999902</v>
      </c>
      <c r="Y118" s="169" t="e">
        <f t="shared" si="7"/>
        <v>#NAME?</v>
      </c>
      <c r="Z118" s="173">
        <v>268.13999999999902</v>
      </c>
      <c r="AA118" s="166">
        <v>271.95400000000001</v>
      </c>
      <c r="AB118" s="171">
        <v>35.215199999999953</v>
      </c>
      <c r="AC118" s="166">
        <v>5344.6</v>
      </c>
      <c r="AD118" s="169">
        <f t="shared" si="9"/>
        <v>6.5889308835085787</v>
      </c>
    </row>
    <row r="119" spans="4:30">
      <c r="D119" s="166">
        <v>409.14999999999901</v>
      </c>
      <c r="E119" s="168" t="e">
        <f t="shared" si="5"/>
        <v>#NAME?</v>
      </c>
      <c r="F119" s="169">
        <v>409.14999999999901</v>
      </c>
      <c r="G119" s="170">
        <v>411.74</v>
      </c>
      <c r="H119" s="169">
        <v>20.178077142857049</v>
      </c>
      <c r="I119" s="166">
        <v>5062.5999999999767</v>
      </c>
      <c r="J119" s="169">
        <f t="shared" si="8"/>
        <v>3.9857142857142853</v>
      </c>
      <c r="O119" s="166">
        <v>465.64999999999901</v>
      </c>
      <c r="P119" s="169" t="e">
        <f t="shared" si="6"/>
        <v>#NAME?</v>
      </c>
      <c r="Q119" s="171">
        <v>465.64999999999901</v>
      </c>
      <c r="R119" s="172">
        <v>466.159999999999</v>
      </c>
      <c r="S119" s="169">
        <v>11.23280000000042</v>
      </c>
      <c r="X119" s="166">
        <v>268.14999999999901</v>
      </c>
      <c r="Y119" s="169" t="e">
        <f t="shared" si="7"/>
        <v>#NAME?</v>
      </c>
      <c r="Z119" s="173">
        <v>268.14999999999901</v>
      </c>
      <c r="AA119" s="166">
        <v>271.94400000000002</v>
      </c>
      <c r="AB119" s="171">
        <v>32.935199999999995</v>
      </c>
      <c r="AC119" s="166">
        <v>4944.1000000000004</v>
      </c>
      <c r="AD119" s="169">
        <f t="shared" si="9"/>
        <v>6.6615157460407346</v>
      </c>
    </row>
    <row r="120" spans="4:30">
      <c r="D120" s="166">
        <v>409.159999999999</v>
      </c>
      <c r="E120" s="168" t="e">
        <f t="shared" si="5"/>
        <v>#NAME?</v>
      </c>
      <c r="F120" s="169">
        <v>409.159999999999</v>
      </c>
      <c r="G120" s="170">
        <v>411.56</v>
      </c>
      <c r="H120" s="169">
        <v>21.68786571428604</v>
      </c>
      <c r="I120" s="166">
        <v>5441.4000000000815</v>
      </c>
      <c r="J120" s="169">
        <f t="shared" si="8"/>
        <v>3.9857142857142862</v>
      </c>
      <c r="O120" s="166">
        <v>465.659999999999</v>
      </c>
      <c r="P120" s="169" t="e">
        <f t="shared" si="6"/>
        <v>#NAME?</v>
      </c>
      <c r="Q120" s="171">
        <v>465.659999999999</v>
      </c>
      <c r="R120" s="172">
        <v>466.16999999999899</v>
      </c>
      <c r="S120" s="169">
        <v>11.228600000000423</v>
      </c>
      <c r="X120" s="166">
        <v>268.159999999999</v>
      </c>
      <c r="Y120" s="169" t="e">
        <f t="shared" si="7"/>
        <v>#NAME?</v>
      </c>
      <c r="Z120" s="173">
        <v>268.159999999999</v>
      </c>
      <c r="AA120" s="166">
        <v>271.83100000000002</v>
      </c>
      <c r="AB120" s="171">
        <v>31.137400000000007</v>
      </c>
      <c r="AC120" s="166">
        <v>4783.5</v>
      </c>
      <c r="AD120" s="169">
        <f t="shared" si="9"/>
        <v>6.5093341695411322</v>
      </c>
    </row>
    <row r="121" spans="4:30">
      <c r="D121" s="166">
        <v>409.16999999999899</v>
      </c>
      <c r="E121" s="168" t="e">
        <f t="shared" si="5"/>
        <v>#NAME?</v>
      </c>
      <c r="F121" s="169">
        <v>409.16999999999899</v>
      </c>
      <c r="G121" s="170">
        <v>411.72</v>
      </c>
      <c r="H121" s="169">
        <v>17.003854285714329</v>
      </c>
      <c r="I121" s="166">
        <v>4266.2000000000116</v>
      </c>
      <c r="J121" s="169">
        <f t="shared" si="8"/>
        <v>3.9857142857142853</v>
      </c>
      <c r="O121" s="166">
        <v>465.66999999999899</v>
      </c>
      <c r="P121" s="169" t="e">
        <f t="shared" si="6"/>
        <v>#NAME?</v>
      </c>
      <c r="Q121" s="171">
        <v>465.66999999999899</v>
      </c>
      <c r="R121" s="172">
        <v>466.17999999999898</v>
      </c>
      <c r="S121" s="169">
        <v>11.224400000000427</v>
      </c>
      <c r="X121" s="166">
        <v>268.16999999999899</v>
      </c>
      <c r="Y121" s="169" t="e">
        <f t="shared" si="7"/>
        <v>#NAME?</v>
      </c>
      <c r="Z121" s="173">
        <v>268.16999999999899</v>
      </c>
      <c r="AA121" s="166">
        <v>271.80500000000001</v>
      </c>
      <c r="AB121" s="171">
        <v>30.513800000000007</v>
      </c>
      <c r="AC121" s="166">
        <v>4542</v>
      </c>
      <c r="AD121" s="169">
        <f t="shared" si="9"/>
        <v>6.7181417877586984</v>
      </c>
    </row>
    <row r="122" spans="4:30">
      <c r="D122" s="166">
        <v>409.17999999999898</v>
      </c>
      <c r="E122" s="168" t="e">
        <f t="shared" si="5"/>
        <v>#NAME?</v>
      </c>
      <c r="F122" s="169">
        <v>409.17999999999898</v>
      </c>
      <c r="G122" s="170">
        <v>410.7</v>
      </c>
      <c r="H122" s="169">
        <v>20.168511428571012</v>
      </c>
      <c r="I122" s="166">
        <v>5060.1999999998952</v>
      </c>
      <c r="J122" s="169">
        <f t="shared" si="8"/>
        <v>3.9857142857142862</v>
      </c>
      <c r="O122" s="166">
        <v>465.67999999999898</v>
      </c>
      <c r="P122" s="169" t="e">
        <f t="shared" si="6"/>
        <v>#NAME?</v>
      </c>
      <c r="Q122" s="171">
        <v>465.67999999999898</v>
      </c>
      <c r="R122" s="172">
        <v>466.18999999999897</v>
      </c>
      <c r="S122" s="169">
        <v>11.220200000000432</v>
      </c>
      <c r="X122" s="166">
        <v>268.17999999999898</v>
      </c>
      <c r="Y122" s="169" t="e">
        <f t="shared" si="7"/>
        <v>#NAME?</v>
      </c>
      <c r="Z122" s="173">
        <v>268.17999999999898</v>
      </c>
      <c r="AA122" s="166">
        <v>271.82900000000001</v>
      </c>
      <c r="AB122" s="171">
        <v>26.111000000000004</v>
      </c>
      <c r="AC122" s="166">
        <v>3911.1</v>
      </c>
      <c r="AD122" s="169">
        <f t="shared" si="9"/>
        <v>6.6761269208151166</v>
      </c>
    </row>
    <row r="123" spans="4:30">
      <c r="D123" s="166">
        <v>409.18999999999897</v>
      </c>
      <c r="E123" s="168" t="e">
        <f t="shared" si="5"/>
        <v>#NAME?</v>
      </c>
      <c r="F123" s="169">
        <v>409.18999999999897</v>
      </c>
      <c r="G123" s="170">
        <v>409.21</v>
      </c>
      <c r="H123" s="169">
        <v>20.465845714285898</v>
      </c>
      <c r="I123" s="166">
        <v>5134.8000000000466</v>
      </c>
      <c r="J123" s="169">
        <f t="shared" si="8"/>
        <v>3.9857142857142853</v>
      </c>
      <c r="O123" s="166">
        <v>465.68999999999897</v>
      </c>
      <c r="P123" s="169" t="e">
        <f t="shared" si="6"/>
        <v>#NAME?</v>
      </c>
      <c r="Q123" s="171">
        <v>465.68999999999897</v>
      </c>
      <c r="R123" s="172">
        <v>466.19999999999902</v>
      </c>
      <c r="S123" s="169">
        <v>11.216000000000411</v>
      </c>
      <c r="X123" s="166">
        <v>268.18999999999897</v>
      </c>
      <c r="Y123" s="169" t="e">
        <f t="shared" si="7"/>
        <v>#NAME?</v>
      </c>
      <c r="Z123" s="173">
        <v>268.18999999999897</v>
      </c>
      <c r="AA123" s="166">
        <v>271.89</v>
      </c>
      <c r="AB123" s="171">
        <v>29.209400000000002</v>
      </c>
      <c r="AC123" s="166">
        <v>4420.5</v>
      </c>
      <c r="AD123" s="169">
        <f t="shared" si="9"/>
        <v>6.6077140594955326</v>
      </c>
    </row>
    <row r="124" spans="4:30">
      <c r="D124" s="166">
        <v>409.19999999999902</v>
      </c>
      <c r="E124" s="168" t="e">
        <f t="shared" si="5"/>
        <v>#NAME?</v>
      </c>
      <c r="F124" s="169">
        <v>409.19999999999902</v>
      </c>
      <c r="G124" s="170">
        <v>409.19</v>
      </c>
      <c r="H124" s="169">
        <v>15.333840000000045</v>
      </c>
      <c r="I124" s="166">
        <v>3847.2000000000116</v>
      </c>
      <c r="J124" s="169">
        <f t="shared" si="8"/>
        <v>3.9857142857142853</v>
      </c>
      <c r="O124" s="166">
        <v>465.69999999999902</v>
      </c>
      <c r="P124" s="169" t="e">
        <f t="shared" si="6"/>
        <v>#NAME?</v>
      </c>
      <c r="Q124" s="171">
        <v>465.69999999999902</v>
      </c>
      <c r="R124" s="172">
        <v>466.20999999999901</v>
      </c>
      <c r="S124" s="169">
        <v>11.211800000000416</v>
      </c>
      <c r="X124" s="166">
        <v>268.19999999999902</v>
      </c>
      <c r="Y124" s="169" t="e">
        <f t="shared" si="7"/>
        <v>#NAME?</v>
      </c>
      <c r="Z124" s="173">
        <v>268.19999999999902</v>
      </c>
      <c r="AA124" s="166">
        <v>271.89999999999998</v>
      </c>
      <c r="AB124" s="171">
        <v>30.285599999999999</v>
      </c>
      <c r="AC124" s="166">
        <v>4542.1000000000004</v>
      </c>
      <c r="AD124" s="169">
        <f t="shared" si="9"/>
        <v>6.6677528015675565</v>
      </c>
    </row>
    <row r="125" spans="4:30">
      <c r="D125" s="166">
        <v>409.20999999999901</v>
      </c>
      <c r="E125" s="168" t="e">
        <f t="shared" si="5"/>
        <v>#NAME?</v>
      </c>
      <c r="F125" s="169">
        <v>409.20999999999901</v>
      </c>
      <c r="G125" s="170">
        <v>409.59</v>
      </c>
      <c r="H125" s="169">
        <v>13.134522857142949</v>
      </c>
      <c r="I125" s="166">
        <v>3295.4000000000233</v>
      </c>
      <c r="J125" s="169">
        <f t="shared" si="8"/>
        <v>3.9857142857142853</v>
      </c>
      <c r="O125" s="166">
        <v>465.70999999999901</v>
      </c>
      <c r="P125" s="169" t="e">
        <f t="shared" si="6"/>
        <v>#NAME?</v>
      </c>
      <c r="Q125" s="171">
        <v>465.70999999999901</v>
      </c>
      <c r="R125" s="172">
        <v>466.219999999999</v>
      </c>
      <c r="S125" s="169">
        <v>11.207600000000419</v>
      </c>
      <c r="X125" s="166">
        <v>268.20999999999901</v>
      </c>
      <c r="Y125" s="169" t="e">
        <f t="shared" si="7"/>
        <v>#NAME?</v>
      </c>
      <c r="Z125" s="173">
        <v>268.20999999999901</v>
      </c>
      <c r="AA125" s="166">
        <v>271.64999999999998</v>
      </c>
      <c r="AB125" s="171">
        <v>29.027700000000003</v>
      </c>
      <c r="AC125" s="166">
        <v>4361.5</v>
      </c>
      <c r="AD125" s="169">
        <f t="shared" si="9"/>
        <v>6.6554396423248887</v>
      </c>
    </row>
    <row r="126" spans="4:30">
      <c r="D126" s="166">
        <v>409.219999999999</v>
      </c>
      <c r="E126" s="168" t="e">
        <f t="shared" si="5"/>
        <v>#NAME?</v>
      </c>
      <c r="F126" s="169">
        <v>409.219999999999</v>
      </c>
      <c r="G126" s="170">
        <v>409.69</v>
      </c>
      <c r="H126" s="169">
        <v>14.832835714285714</v>
      </c>
      <c r="I126" s="166">
        <v>3721.5</v>
      </c>
      <c r="J126" s="169">
        <f t="shared" si="8"/>
        <v>3.9857142857142862</v>
      </c>
      <c r="O126" s="166">
        <v>465.719999999999</v>
      </c>
      <c r="P126" s="169" t="e">
        <f t="shared" si="6"/>
        <v>#NAME?</v>
      </c>
      <c r="Q126" s="171">
        <v>465.719999999999</v>
      </c>
      <c r="R126" s="172">
        <v>466.229999999999</v>
      </c>
      <c r="S126" s="169">
        <v>11.203400000000423</v>
      </c>
      <c r="X126" s="166">
        <v>268.219999999999</v>
      </c>
      <c r="Y126" s="169" t="e">
        <f t="shared" si="7"/>
        <v>#NAME?</v>
      </c>
      <c r="Z126" s="173">
        <v>268.219999999999</v>
      </c>
      <c r="AA126" s="166">
        <v>270.99900000000002</v>
      </c>
      <c r="AB126" s="171">
        <v>31.547700000000006</v>
      </c>
      <c r="AC126" s="166">
        <v>4716.2</v>
      </c>
      <c r="AD126" s="169">
        <f t="shared" si="9"/>
        <v>6.6892201348543336</v>
      </c>
    </row>
    <row r="127" spans="4:30">
      <c r="D127" s="166">
        <v>409.229999999999</v>
      </c>
      <c r="E127" s="168" t="e">
        <f t="shared" si="5"/>
        <v>#NAME?</v>
      </c>
      <c r="F127" s="169">
        <v>409.229999999999</v>
      </c>
      <c r="G127" s="170">
        <v>409.36</v>
      </c>
      <c r="H127" s="169">
        <v>17.852412857142767</v>
      </c>
      <c r="I127" s="166">
        <v>4479.0999999999767</v>
      </c>
      <c r="J127" s="169">
        <f t="shared" si="8"/>
        <v>3.9857142857142862</v>
      </c>
      <c r="O127" s="166">
        <v>465.729999999999</v>
      </c>
      <c r="P127" s="169" t="e">
        <f t="shared" si="6"/>
        <v>#NAME?</v>
      </c>
      <c r="Q127" s="171">
        <v>465.729999999999</v>
      </c>
      <c r="R127" s="172">
        <v>466.23999999999899</v>
      </c>
      <c r="S127" s="169">
        <v>11.199200000000427</v>
      </c>
      <c r="X127" s="166">
        <v>268.229999999999</v>
      </c>
      <c r="Y127" s="169" t="e">
        <f t="shared" si="7"/>
        <v>#NAME?</v>
      </c>
      <c r="Z127" s="173">
        <v>268.229999999999</v>
      </c>
      <c r="AA127" s="166">
        <v>270.63499999999999</v>
      </c>
      <c r="AB127" s="171">
        <v>31.103200000000022</v>
      </c>
      <c r="AC127" s="166">
        <v>4683.6000000000004</v>
      </c>
      <c r="AD127" s="169">
        <f t="shared" si="9"/>
        <v>6.6408745409514092</v>
      </c>
    </row>
    <row r="128" spans="4:30">
      <c r="D128" s="166">
        <v>409.23999999999899</v>
      </c>
      <c r="E128" s="168" t="e">
        <f t="shared" si="5"/>
        <v>#NAME?</v>
      </c>
      <c r="F128" s="169">
        <v>409.23999999999899</v>
      </c>
      <c r="G128" s="170">
        <v>410.79</v>
      </c>
      <c r="H128" s="169">
        <v>10.608775714285526</v>
      </c>
      <c r="I128" s="166">
        <v>2661.6999999999534</v>
      </c>
      <c r="J128" s="169">
        <f t="shared" si="8"/>
        <v>3.9857142857142853</v>
      </c>
      <c r="O128" s="166">
        <v>465.73999999999899</v>
      </c>
      <c r="P128" s="169" t="e">
        <f t="shared" si="6"/>
        <v>#NAME?</v>
      </c>
      <c r="Q128" s="171">
        <v>465.73999999999899</v>
      </c>
      <c r="R128" s="172">
        <v>466.24999999999898</v>
      </c>
      <c r="S128" s="169">
        <v>11.19500000000043</v>
      </c>
      <c r="X128" s="166">
        <v>268.23999999999899</v>
      </c>
      <c r="Y128" s="169" t="e">
        <f t="shared" si="7"/>
        <v>#NAME?</v>
      </c>
      <c r="Z128" s="173">
        <v>268.23999999999899</v>
      </c>
      <c r="AA128" s="166">
        <v>271.10399999999998</v>
      </c>
      <c r="AB128" s="171">
        <v>16.487300000000001</v>
      </c>
      <c r="AC128" s="166">
        <v>2511.6</v>
      </c>
      <c r="AD128" s="169">
        <f t="shared" si="9"/>
        <v>6.5644609014174238</v>
      </c>
    </row>
    <row r="129" spans="4:30">
      <c r="D129" s="166">
        <v>409.24999999999898</v>
      </c>
      <c r="E129" s="168" t="e">
        <f t="shared" si="5"/>
        <v>#NAME?</v>
      </c>
      <c r="F129" s="169">
        <v>409.24999999999898</v>
      </c>
      <c r="G129" s="170">
        <v>411.85</v>
      </c>
      <c r="H129" s="169">
        <v>15.371305714285624</v>
      </c>
      <c r="I129" s="166">
        <v>3856.5999999999767</v>
      </c>
      <c r="J129" s="169">
        <f t="shared" si="8"/>
        <v>3.9857142857142862</v>
      </c>
      <c r="O129" s="166">
        <v>465.74999999999898</v>
      </c>
      <c r="P129" s="169" t="e">
        <f t="shared" si="6"/>
        <v>#NAME?</v>
      </c>
      <c r="Q129" s="171">
        <v>465.74999999999898</v>
      </c>
      <c r="R129" s="172">
        <v>466.25999999999902</v>
      </c>
      <c r="S129" s="169">
        <v>11.19080000000041</v>
      </c>
      <c r="X129" s="166">
        <v>268.24999999999898</v>
      </c>
      <c r="Y129" s="169" t="e">
        <f t="shared" si="7"/>
        <v>#NAME?</v>
      </c>
      <c r="Z129" s="173">
        <v>268.24999999999898</v>
      </c>
      <c r="AA129" s="166">
        <v>271.84899999999999</v>
      </c>
      <c r="AB129" s="171">
        <v>9.6800999999999959</v>
      </c>
      <c r="AC129" s="166">
        <v>1303.5</v>
      </c>
      <c r="AD129" s="169">
        <f t="shared" si="9"/>
        <v>7.4262370540851528</v>
      </c>
    </row>
    <row r="130" spans="4:30">
      <c r="D130" s="166">
        <v>409.25999999999902</v>
      </c>
      <c r="E130" s="168" t="e">
        <f t="shared" si="5"/>
        <v>#NAME?</v>
      </c>
      <c r="F130" s="169">
        <v>409.25999999999902</v>
      </c>
      <c r="G130" s="170">
        <v>411.65</v>
      </c>
      <c r="H130" s="169">
        <v>20.789087142857234</v>
      </c>
      <c r="I130" s="166">
        <v>5215.9000000000233</v>
      </c>
      <c r="J130" s="169">
        <f t="shared" si="8"/>
        <v>3.9857142857142853</v>
      </c>
      <c r="O130" s="166">
        <v>465.75999999999902</v>
      </c>
      <c r="P130" s="169" t="e">
        <f t="shared" si="6"/>
        <v>#NAME?</v>
      </c>
      <c r="Q130" s="171">
        <v>465.75999999999902</v>
      </c>
      <c r="R130" s="172">
        <v>466.26999999999902</v>
      </c>
      <c r="S130" s="169">
        <v>11.186600000000414</v>
      </c>
      <c r="X130" s="166">
        <v>268.25999999999902</v>
      </c>
      <c r="Y130" s="169" t="e">
        <f t="shared" si="7"/>
        <v>#NAME?</v>
      </c>
      <c r="Z130" s="173">
        <v>268.25999999999902</v>
      </c>
      <c r="AA130" s="166">
        <v>271.77100000000002</v>
      </c>
      <c r="AB130" s="171">
        <v>23.043199999999999</v>
      </c>
      <c r="AC130" s="166">
        <v>3507.1</v>
      </c>
      <c r="AD130" s="169">
        <f t="shared" si="9"/>
        <v>6.5704428160018242</v>
      </c>
    </row>
    <row r="131" spans="4:30">
      <c r="D131" s="166">
        <v>409.26999999999902</v>
      </c>
      <c r="E131" s="168" t="e">
        <f t="shared" si="5"/>
        <v>#NAME?</v>
      </c>
      <c r="F131" s="169">
        <v>409.26999999999902</v>
      </c>
      <c r="G131" s="170">
        <v>411.65</v>
      </c>
      <c r="H131" s="169">
        <v>20.741258571429121</v>
      </c>
      <c r="I131" s="166">
        <v>5203.9000000001397</v>
      </c>
      <c r="J131" s="169">
        <f t="shared" si="8"/>
        <v>3.9857142857142844</v>
      </c>
      <c r="O131" s="166">
        <v>465.76999999999902</v>
      </c>
      <c r="P131" s="169" t="e">
        <f t="shared" si="6"/>
        <v>#NAME?</v>
      </c>
      <c r="Q131" s="171">
        <v>465.76999999999902</v>
      </c>
      <c r="R131" s="172">
        <v>466.27999999999901</v>
      </c>
      <c r="S131" s="169">
        <v>11.182400000000419</v>
      </c>
      <c r="X131" s="166">
        <v>268.26999999999902</v>
      </c>
      <c r="Y131" s="169" t="e">
        <f t="shared" si="7"/>
        <v>#NAME?</v>
      </c>
      <c r="Z131" s="173">
        <v>268.26999999999902</v>
      </c>
      <c r="AA131" s="166">
        <v>271.53300000000002</v>
      </c>
      <c r="AB131" s="171">
        <v>31.579799999999999</v>
      </c>
      <c r="AC131" s="166">
        <v>4782.1000000000004</v>
      </c>
      <c r="AD131" s="169">
        <f t="shared" si="9"/>
        <v>6.6037514899312013</v>
      </c>
    </row>
    <row r="132" spans="4:30">
      <c r="D132" s="166">
        <v>409.27999999999901</v>
      </c>
      <c r="E132" s="168" t="e">
        <f t="shared" ref="E132:E195" si="10">VLOOKUP(D132,THONGSOHO_BK,2,1)+(VLOOKUP(D132+1,THONGSOHO_BK,2,1)-VLOOKUP(D132,THONGSOHO_BK,2,1))/1*(D132-VLOOKUP(D132,THONGSOHO_BK,1,1))-48.55</f>
        <v>#NAME?</v>
      </c>
      <c r="F132" s="169">
        <v>409.27999999999901</v>
      </c>
      <c r="G132" s="170">
        <v>411.71</v>
      </c>
      <c r="H132" s="169">
        <v>18.714124285713542</v>
      </c>
      <c r="I132" s="166">
        <v>4695.2999999998137</v>
      </c>
      <c r="J132" s="169">
        <f t="shared" si="8"/>
        <v>3.9857142857142853</v>
      </c>
      <c r="O132" s="166">
        <v>465.77999999999901</v>
      </c>
      <c r="P132" s="169" t="e">
        <f t="shared" ref="P132:P195" si="11">VLOOKUP(O132,THONGSOHO_BTS,2,1)+(VLOOKUP(O132+5,THONGSOHO_BTS,2,1)-VLOOKUP(O132,THONGSOHO_BTS,2,1))/5*(O132-VLOOKUP(O132,THONGSOHO_BTS,1,1))-264.29</f>
        <v>#NAME?</v>
      </c>
      <c r="Q132" s="171">
        <v>465.77999999999901</v>
      </c>
      <c r="R132" s="172">
        <v>466.289999999999</v>
      </c>
      <c r="S132" s="169">
        <v>11.178200000000421</v>
      </c>
      <c r="X132" s="166">
        <v>268.27999999999901</v>
      </c>
      <c r="Y132" s="169" t="e">
        <f t="shared" ref="Y132:Y195" si="12">VLOOKUP(X132,THONGSOHO_SP3,2,1)+(VLOOKUP(X132+2,THONGSOHO_SP3,2,1)-VLOOKUP(X132,THONGSOHO_SP3,2,1))/2*(X132-VLOOKUP(X132,THONGSOHO_SP3,1,1))-156.13</f>
        <v>#NAME?</v>
      </c>
      <c r="Z132" s="173">
        <v>268.27999999999901</v>
      </c>
      <c r="AA132" s="166">
        <v>271.959</v>
      </c>
      <c r="AB132" s="171">
        <v>22.711299999999994</v>
      </c>
      <c r="AC132" s="166">
        <v>3393.3</v>
      </c>
      <c r="AD132" s="169">
        <f t="shared" si="9"/>
        <v>6.6929832316623914</v>
      </c>
    </row>
    <row r="133" spans="4:30">
      <c r="D133" s="166">
        <v>409.289999999999</v>
      </c>
      <c r="E133" s="168" t="e">
        <f t="shared" si="10"/>
        <v>#NAME?</v>
      </c>
      <c r="F133" s="169">
        <v>409.289999999999</v>
      </c>
      <c r="G133" s="170">
        <v>411.5</v>
      </c>
      <c r="H133" s="169">
        <v>16.425925714286457</v>
      </c>
      <c r="I133" s="166">
        <v>4121.2000000001863</v>
      </c>
      <c r="J133" s="169">
        <f t="shared" ref="J133:J196" si="13">H133/I133*10^3</f>
        <v>3.9857142857142862</v>
      </c>
      <c r="O133" s="166">
        <v>465.789999999999</v>
      </c>
      <c r="P133" s="169" t="e">
        <f t="shared" si="11"/>
        <v>#NAME?</v>
      </c>
      <c r="Q133" s="171">
        <v>465.789999999999</v>
      </c>
      <c r="R133" s="172">
        <v>466.29999999999899</v>
      </c>
      <c r="S133" s="169">
        <v>11.174000000000426</v>
      </c>
      <c r="X133" s="166">
        <v>268.289999999999</v>
      </c>
      <c r="Y133" s="169" t="e">
        <f t="shared" si="12"/>
        <v>#NAME?</v>
      </c>
      <c r="Z133" s="173">
        <v>268.289999999999</v>
      </c>
      <c r="AA133" s="166">
        <v>271.98899999999998</v>
      </c>
      <c r="AB133" s="171">
        <v>28.377399999999994</v>
      </c>
      <c r="AC133" s="166">
        <v>4287.3999999999996</v>
      </c>
      <c r="AD133" s="169">
        <f t="shared" si="9"/>
        <v>6.618789942622568</v>
      </c>
    </row>
    <row r="134" spans="4:30">
      <c r="D134" s="166">
        <v>409.29999999999899</v>
      </c>
      <c r="E134" s="168" t="e">
        <f t="shared" si="10"/>
        <v>#NAME?</v>
      </c>
      <c r="F134" s="169">
        <v>409.29999999999899</v>
      </c>
      <c r="G134" s="170">
        <v>411.44</v>
      </c>
      <c r="H134" s="169">
        <v>14.433865714285343</v>
      </c>
      <c r="I134" s="166">
        <v>3621.3999999999069</v>
      </c>
      <c r="J134" s="169">
        <f t="shared" si="13"/>
        <v>3.9857142857142862</v>
      </c>
      <c r="O134" s="166">
        <v>465.79999999999899</v>
      </c>
      <c r="P134" s="169" t="e">
        <f t="shared" si="11"/>
        <v>#NAME?</v>
      </c>
      <c r="Q134" s="171">
        <v>465.79999999999899</v>
      </c>
      <c r="R134" s="172">
        <v>466.30999999999898</v>
      </c>
      <c r="S134" s="169">
        <v>11.16980000000043</v>
      </c>
      <c r="X134" s="166">
        <v>268.29999999999899</v>
      </c>
      <c r="Y134" s="169" t="e">
        <f t="shared" si="12"/>
        <v>#NAME?</v>
      </c>
      <c r="Z134" s="173">
        <v>268.29999999999899</v>
      </c>
      <c r="AA134" s="166">
        <v>271.89999999999998</v>
      </c>
      <c r="AB134" s="171">
        <v>31.226100000000002</v>
      </c>
      <c r="AC134" s="166">
        <v>4646.7</v>
      </c>
      <c r="AD134" s="169">
        <f t="shared" ref="AD134:AD197" si="14">AB134/AC134*10^3</f>
        <v>6.720059396991414</v>
      </c>
    </row>
    <row r="135" spans="4:30">
      <c r="D135" s="166">
        <v>409.30999999999898</v>
      </c>
      <c r="E135" s="168" t="e">
        <f t="shared" si="10"/>
        <v>#NAME?</v>
      </c>
      <c r="F135" s="169">
        <v>409.30999999999898</v>
      </c>
      <c r="G135" s="170">
        <v>411.63</v>
      </c>
      <c r="H135" s="169">
        <v>10.985824285714473</v>
      </c>
      <c r="I135" s="166">
        <v>2756.3000000000466</v>
      </c>
      <c r="J135" s="169">
        <f t="shared" si="13"/>
        <v>3.9857142857142867</v>
      </c>
      <c r="O135" s="166">
        <v>465.80999999999898</v>
      </c>
      <c r="P135" s="169" t="e">
        <f t="shared" si="11"/>
        <v>#NAME?</v>
      </c>
      <c r="Q135" s="171">
        <v>465.80999999999898</v>
      </c>
      <c r="R135" s="172">
        <v>466.31999999999903</v>
      </c>
      <c r="S135" s="169">
        <v>11.16560000000041</v>
      </c>
      <c r="X135" s="166">
        <v>268.30999999999898</v>
      </c>
      <c r="Y135" s="169" t="e">
        <f t="shared" si="12"/>
        <v>#NAME?</v>
      </c>
      <c r="Z135" s="173">
        <v>268.30999999999898</v>
      </c>
      <c r="AA135" s="166">
        <v>271.96199999999999</v>
      </c>
      <c r="AB135" s="171">
        <v>24.03</v>
      </c>
      <c r="AC135" s="166">
        <v>3654.6</v>
      </c>
      <c r="AD135" s="169">
        <f t="shared" si="14"/>
        <v>6.5752749958955841</v>
      </c>
    </row>
    <row r="136" spans="4:30">
      <c r="D136" s="166">
        <v>409.31999999999903</v>
      </c>
      <c r="E136" s="168" t="e">
        <f t="shared" si="10"/>
        <v>#NAME?</v>
      </c>
      <c r="F136" s="169">
        <v>409.31999999999903</v>
      </c>
      <c r="G136" s="170">
        <v>412</v>
      </c>
      <c r="H136" s="169">
        <v>10.401518571428385</v>
      </c>
      <c r="I136" s="166">
        <v>2609.6999999999534</v>
      </c>
      <c r="J136" s="169">
        <f t="shared" si="13"/>
        <v>3.9857142857142853</v>
      </c>
      <c r="O136" s="166">
        <v>465.81999999999903</v>
      </c>
      <c r="P136" s="169" t="e">
        <f t="shared" si="11"/>
        <v>#NAME?</v>
      </c>
      <c r="Q136" s="171">
        <v>465.81999999999903</v>
      </c>
      <c r="R136" s="172">
        <v>466.32999999999902</v>
      </c>
      <c r="S136" s="169">
        <v>11.161400000000413</v>
      </c>
      <c r="X136" s="166">
        <v>268.31999999999903</v>
      </c>
      <c r="Y136" s="169" t="e">
        <f t="shared" si="12"/>
        <v>#NAME?</v>
      </c>
      <c r="Z136" s="173">
        <v>268.31999999999903</v>
      </c>
      <c r="AA136" s="166">
        <v>271.93630000000002</v>
      </c>
      <c r="AB136" s="171">
        <v>21.646799999999992</v>
      </c>
      <c r="AC136" s="166">
        <v>3232.5</v>
      </c>
      <c r="AD136" s="169">
        <f t="shared" si="14"/>
        <v>6.6966125290023175</v>
      </c>
    </row>
    <row r="137" spans="4:30">
      <c r="D137" s="166">
        <v>409.32999999999902</v>
      </c>
      <c r="E137" s="168" t="e">
        <f t="shared" si="10"/>
        <v>#NAME?</v>
      </c>
      <c r="F137" s="169">
        <v>409.32999999999902</v>
      </c>
      <c r="G137" s="170">
        <v>411.75</v>
      </c>
      <c r="H137" s="169">
        <v>17.688998571428481</v>
      </c>
      <c r="I137" s="166">
        <v>4438.0999999999767</v>
      </c>
      <c r="J137" s="169">
        <f t="shared" si="13"/>
        <v>3.9857142857142862</v>
      </c>
      <c r="O137" s="166">
        <v>465.82999999999902</v>
      </c>
      <c r="P137" s="169" t="e">
        <f t="shared" si="11"/>
        <v>#NAME?</v>
      </c>
      <c r="Q137" s="171">
        <v>465.82999999999902</v>
      </c>
      <c r="R137" s="172">
        <v>466.33999999999901</v>
      </c>
      <c r="S137" s="169">
        <v>11.157200000000417</v>
      </c>
      <c r="X137" s="166">
        <v>268.32999999999902</v>
      </c>
      <c r="Y137" s="169" t="e">
        <f t="shared" si="12"/>
        <v>#NAME?</v>
      </c>
      <c r="Z137" s="173">
        <v>268.32999999999902</v>
      </c>
      <c r="AA137" s="166">
        <v>271.91399999999999</v>
      </c>
      <c r="AB137" s="171">
        <v>18.007600000000004</v>
      </c>
      <c r="AC137" s="166">
        <v>2691</v>
      </c>
      <c r="AD137" s="169">
        <f t="shared" si="14"/>
        <v>6.6917874396135284</v>
      </c>
    </row>
    <row r="138" spans="4:30">
      <c r="D138" s="166">
        <v>409.33999999999901</v>
      </c>
      <c r="E138" s="168" t="e">
        <f t="shared" si="10"/>
        <v>#NAME?</v>
      </c>
      <c r="F138" s="169">
        <v>409.33999999999901</v>
      </c>
      <c r="G138" s="170">
        <v>411.97</v>
      </c>
      <c r="H138" s="169">
        <v>17.063241428571335</v>
      </c>
      <c r="I138" s="166">
        <v>4281.0999999999767</v>
      </c>
      <c r="J138" s="169">
        <f t="shared" si="13"/>
        <v>3.9857142857142853</v>
      </c>
      <c r="O138" s="166">
        <v>465.83999999999901</v>
      </c>
      <c r="P138" s="169" t="e">
        <f t="shared" si="11"/>
        <v>#NAME?</v>
      </c>
      <c r="Q138" s="171">
        <v>465.83999999999901</v>
      </c>
      <c r="R138" s="172">
        <v>466.349999999999</v>
      </c>
      <c r="S138" s="169">
        <v>11.153000000000421</v>
      </c>
      <c r="X138" s="166">
        <v>268.33999999999901</v>
      </c>
      <c r="Y138" s="169" t="e">
        <f t="shared" si="12"/>
        <v>#NAME?</v>
      </c>
      <c r="Z138" s="173">
        <v>268.33999999999901</v>
      </c>
      <c r="AA138" s="166">
        <v>271.96600000000001</v>
      </c>
      <c r="AB138" s="171">
        <v>27.142299999999999</v>
      </c>
      <c r="AC138" s="166">
        <v>4054</v>
      </c>
      <c r="AD138" s="169">
        <f t="shared" si="14"/>
        <v>6.6951899358658107</v>
      </c>
    </row>
    <row r="139" spans="4:30">
      <c r="D139" s="166">
        <v>409.349999999999</v>
      </c>
      <c r="E139" s="168" t="e">
        <f t="shared" si="10"/>
        <v>#NAME?</v>
      </c>
      <c r="F139" s="169">
        <v>409.349999999999</v>
      </c>
      <c r="G139" s="170">
        <v>411.34</v>
      </c>
      <c r="H139" s="169">
        <v>21.60177428571447</v>
      </c>
      <c r="I139" s="166">
        <v>5419.8000000000466</v>
      </c>
      <c r="J139" s="169">
        <f t="shared" si="13"/>
        <v>3.9857142857142853</v>
      </c>
      <c r="O139" s="166">
        <v>465.849999999999</v>
      </c>
      <c r="P139" s="169" t="e">
        <f t="shared" si="11"/>
        <v>#NAME?</v>
      </c>
      <c r="Q139" s="171">
        <v>465.849999999999</v>
      </c>
      <c r="R139" s="172">
        <v>466.35999999999899</v>
      </c>
      <c r="S139" s="169">
        <v>11.148800000000424</v>
      </c>
      <c r="X139" s="166">
        <v>268.349999999999</v>
      </c>
      <c r="Y139" s="169" t="e">
        <f t="shared" si="12"/>
        <v>#NAME?</v>
      </c>
      <c r="Z139" s="173">
        <v>268.349999999999</v>
      </c>
      <c r="AA139" s="166">
        <v>271.98599999999999</v>
      </c>
      <c r="AB139" s="171">
        <v>25.574600000000004</v>
      </c>
      <c r="AC139" s="166">
        <v>3922.8</v>
      </c>
      <c r="AD139" s="169">
        <f t="shared" si="14"/>
        <v>6.5194758845722447</v>
      </c>
    </row>
    <row r="140" spans="4:30">
      <c r="D140" s="166">
        <v>409.35999999999899</v>
      </c>
      <c r="E140" s="168" t="e">
        <f t="shared" si="10"/>
        <v>#NAME?</v>
      </c>
      <c r="F140" s="169">
        <v>409.35999999999899</v>
      </c>
      <c r="G140" s="170">
        <v>411.38</v>
      </c>
      <c r="H140" s="169">
        <v>18.252180000000092</v>
      </c>
      <c r="I140" s="166">
        <v>4579.4000000000233</v>
      </c>
      <c r="J140" s="169">
        <f t="shared" si="13"/>
        <v>3.9857142857142853</v>
      </c>
      <c r="O140" s="166">
        <v>465.85999999999899</v>
      </c>
      <c r="P140" s="169" t="e">
        <f t="shared" si="11"/>
        <v>#NAME?</v>
      </c>
      <c r="Q140" s="171">
        <v>465.85999999999899</v>
      </c>
      <c r="R140" s="172">
        <v>466.36999999999898</v>
      </c>
      <c r="S140" s="169">
        <v>11.144600000000429</v>
      </c>
      <c r="X140" s="166">
        <v>268.35999999999899</v>
      </c>
      <c r="Y140" s="169" t="e">
        <f t="shared" si="12"/>
        <v>#NAME?</v>
      </c>
      <c r="Z140" s="173">
        <v>268.35999999999899</v>
      </c>
      <c r="AA140" s="166">
        <v>271.96199999999999</v>
      </c>
      <c r="AB140" s="171">
        <v>30.620000000000005</v>
      </c>
      <c r="AC140" s="166">
        <v>4675.5</v>
      </c>
      <c r="AD140" s="169">
        <f t="shared" si="14"/>
        <v>6.5490321890706884</v>
      </c>
    </row>
    <row r="141" spans="4:30">
      <c r="D141" s="166">
        <v>409.36999999999898</v>
      </c>
      <c r="E141" s="168" t="e">
        <f t="shared" si="10"/>
        <v>#NAME?</v>
      </c>
      <c r="F141" s="169">
        <v>409.36999999999898</v>
      </c>
      <c r="G141" s="170">
        <v>410.24</v>
      </c>
      <c r="H141" s="169">
        <v>22.556352857142581</v>
      </c>
      <c r="I141" s="166">
        <v>5659.2999999999302</v>
      </c>
      <c r="J141" s="169">
        <f t="shared" si="13"/>
        <v>3.9857142857142862</v>
      </c>
      <c r="O141" s="166">
        <v>465.86999999999898</v>
      </c>
      <c r="P141" s="169" t="e">
        <f t="shared" si="11"/>
        <v>#NAME?</v>
      </c>
      <c r="Q141" s="171">
        <v>465.86999999999898</v>
      </c>
      <c r="R141" s="172">
        <v>466.37999999999897</v>
      </c>
      <c r="S141" s="169">
        <v>11.140400000000433</v>
      </c>
      <c r="X141" s="166">
        <v>268.36999999999898</v>
      </c>
      <c r="Y141" s="169" t="e">
        <f t="shared" si="12"/>
        <v>#NAME?</v>
      </c>
      <c r="Z141" s="173">
        <v>268.36999999999898</v>
      </c>
      <c r="AA141" s="166">
        <v>271.81599999999997</v>
      </c>
      <c r="AB141" s="171">
        <v>28.216299999999997</v>
      </c>
      <c r="AC141" s="166">
        <v>4261.1000000000004</v>
      </c>
      <c r="AD141" s="169">
        <f t="shared" si="14"/>
        <v>6.6218347375090927</v>
      </c>
    </row>
    <row r="142" spans="4:30">
      <c r="D142" s="166">
        <v>409.37999999999897</v>
      </c>
      <c r="E142" s="168" t="e">
        <f t="shared" si="10"/>
        <v>#NAME?</v>
      </c>
      <c r="F142" s="169">
        <v>409.37999999999897</v>
      </c>
      <c r="G142" s="170">
        <v>409.25</v>
      </c>
      <c r="H142" s="169">
        <v>21.962481428571614</v>
      </c>
      <c r="I142" s="166">
        <v>5510.3000000000466</v>
      </c>
      <c r="J142" s="169">
        <f t="shared" si="13"/>
        <v>3.9857142857142862</v>
      </c>
      <c r="O142" s="166">
        <v>465.87999999999897</v>
      </c>
      <c r="P142" s="169" t="e">
        <f t="shared" si="11"/>
        <v>#NAME?</v>
      </c>
      <c r="Q142" s="171">
        <v>465.87999999999897</v>
      </c>
      <c r="R142" s="172">
        <v>466.38999999999902</v>
      </c>
      <c r="S142" s="169">
        <v>11.136200000000413</v>
      </c>
      <c r="X142" s="166">
        <v>268.37999999999897</v>
      </c>
      <c r="Y142" s="169" t="e">
        <f t="shared" si="12"/>
        <v>#NAME?</v>
      </c>
      <c r="Z142" s="173">
        <v>268.37999999999897</v>
      </c>
      <c r="AA142" s="166">
        <v>271.72800000000001</v>
      </c>
      <c r="AB142" s="171">
        <v>30.554199999999994</v>
      </c>
      <c r="AC142" s="166">
        <v>4581.7</v>
      </c>
      <c r="AD142" s="169">
        <f t="shared" si="14"/>
        <v>6.6687474081672731</v>
      </c>
    </row>
    <row r="143" spans="4:30">
      <c r="D143" s="166">
        <v>409.38999999999902</v>
      </c>
      <c r="E143" s="168" t="e">
        <f t="shared" si="10"/>
        <v>#NAME?</v>
      </c>
      <c r="F143" s="169">
        <v>409.38999999999902</v>
      </c>
      <c r="G143" s="170">
        <v>409.52</v>
      </c>
      <c r="H143" s="169">
        <v>14.359332857143135</v>
      </c>
      <c r="I143" s="166">
        <v>3602.7000000000698</v>
      </c>
      <c r="J143" s="169">
        <f t="shared" si="13"/>
        <v>3.9857142857142862</v>
      </c>
      <c r="O143" s="166">
        <v>465.88999999999902</v>
      </c>
      <c r="P143" s="169" t="e">
        <f t="shared" si="11"/>
        <v>#NAME?</v>
      </c>
      <c r="Q143" s="171">
        <v>465.88999999999902</v>
      </c>
      <c r="R143" s="172">
        <v>466.39999999999901</v>
      </c>
      <c r="S143" s="169">
        <v>11.132000000000415</v>
      </c>
      <c r="X143" s="166">
        <v>268.38999999999902</v>
      </c>
      <c r="Y143" s="169" t="e">
        <f t="shared" si="12"/>
        <v>#NAME?</v>
      </c>
      <c r="Z143" s="173">
        <v>268.38999999999902</v>
      </c>
      <c r="AA143" s="166">
        <v>271.52159999999998</v>
      </c>
      <c r="AB143" s="171">
        <v>33.234800000000007</v>
      </c>
      <c r="AC143" s="166">
        <v>4944.8999999999996</v>
      </c>
      <c r="AD143" s="169">
        <f t="shared" si="14"/>
        <v>6.7210257032498149</v>
      </c>
    </row>
    <row r="144" spans="4:30">
      <c r="D144" s="166">
        <v>409.39999999999901</v>
      </c>
      <c r="E144" s="168" t="e">
        <f t="shared" si="10"/>
        <v>#NAME?</v>
      </c>
      <c r="F144" s="169">
        <v>409.39999999999901</v>
      </c>
      <c r="G144" s="170">
        <v>409.56</v>
      </c>
      <c r="H144" s="169">
        <v>13.965942857142858</v>
      </c>
      <c r="I144" s="166">
        <v>3504</v>
      </c>
      <c r="J144" s="169">
        <f t="shared" si="13"/>
        <v>3.9857142857142862</v>
      </c>
      <c r="O144" s="166">
        <v>465.89999999999901</v>
      </c>
      <c r="P144" s="169" t="e">
        <f t="shared" si="11"/>
        <v>#NAME?</v>
      </c>
      <c r="Q144" s="171">
        <v>465.89999999999901</v>
      </c>
      <c r="R144" s="172">
        <v>466.409999999999</v>
      </c>
      <c r="S144" s="169">
        <v>11.12780000000042</v>
      </c>
      <c r="X144" s="166">
        <v>268.39999999999901</v>
      </c>
      <c r="Y144" s="169" t="e">
        <f t="shared" si="12"/>
        <v>#NAME?</v>
      </c>
      <c r="Z144" s="173">
        <v>268.39999999999901</v>
      </c>
      <c r="AA144" s="166">
        <v>271.64299999999997</v>
      </c>
      <c r="AB144" s="171">
        <v>18.445000000000004</v>
      </c>
      <c r="AC144" s="166">
        <v>2776.7</v>
      </c>
      <c r="AD144" s="169">
        <f t="shared" si="14"/>
        <v>6.6427773976302831</v>
      </c>
    </row>
    <row r="145" spans="4:30">
      <c r="D145" s="166">
        <v>409.409999999999</v>
      </c>
      <c r="E145" s="168" t="e">
        <f t="shared" si="10"/>
        <v>#NAME?</v>
      </c>
      <c r="F145" s="169">
        <v>409.409999999999</v>
      </c>
      <c r="G145" s="170">
        <v>409.52</v>
      </c>
      <c r="H145" s="169">
        <v>14.749932857142674</v>
      </c>
      <c r="I145" s="166">
        <v>3700.6999999999534</v>
      </c>
      <c r="J145" s="169">
        <f t="shared" si="13"/>
        <v>3.9857142857142867</v>
      </c>
      <c r="O145" s="166">
        <v>465.909999999999</v>
      </c>
      <c r="P145" s="169" t="e">
        <f t="shared" si="11"/>
        <v>#NAME?</v>
      </c>
      <c r="Q145" s="171">
        <v>465.909999999999</v>
      </c>
      <c r="R145" s="172">
        <v>466.41999999999899</v>
      </c>
      <c r="S145" s="169">
        <v>11.123600000000424</v>
      </c>
      <c r="X145" s="166">
        <v>268.409999999999</v>
      </c>
      <c r="Y145" s="169" t="e">
        <f t="shared" si="12"/>
        <v>#NAME?</v>
      </c>
      <c r="Z145" s="173">
        <v>268.409999999999</v>
      </c>
      <c r="AA145" s="166">
        <v>271.37900000000002</v>
      </c>
      <c r="AB145" s="171">
        <v>24.070999999999994</v>
      </c>
      <c r="AC145" s="166">
        <v>3639.8</v>
      </c>
      <c r="AD145" s="169">
        <f t="shared" si="14"/>
        <v>6.6132754546953105</v>
      </c>
    </row>
    <row r="146" spans="4:30">
      <c r="D146" s="166">
        <v>409.41999999999899</v>
      </c>
      <c r="E146" s="168" t="e">
        <f t="shared" si="10"/>
        <v>#NAME?</v>
      </c>
      <c r="F146" s="169">
        <v>409.41999999999899</v>
      </c>
      <c r="G146" s="170">
        <v>410.41</v>
      </c>
      <c r="H146" s="169">
        <v>10.390757142857142</v>
      </c>
      <c r="I146" s="166">
        <v>2607</v>
      </c>
      <c r="J146" s="169">
        <f t="shared" si="13"/>
        <v>3.9857142857142853</v>
      </c>
      <c r="O146" s="166">
        <v>465.91999999999899</v>
      </c>
      <c r="P146" s="169" t="e">
        <f t="shared" si="11"/>
        <v>#NAME?</v>
      </c>
      <c r="Q146" s="171">
        <v>465.91999999999899</v>
      </c>
      <c r="R146" s="172">
        <v>466.42999999999898</v>
      </c>
      <c r="S146" s="169">
        <v>11.119400000000427</v>
      </c>
      <c r="X146" s="166">
        <v>268.41999999999899</v>
      </c>
      <c r="Y146" s="169" t="e">
        <f t="shared" si="12"/>
        <v>#NAME?</v>
      </c>
      <c r="Z146" s="173">
        <v>268.41999999999899</v>
      </c>
      <c r="AA146" s="166">
        <v>271.43599999999998</v>
      </c>
      <c r="AB146" s="171">
        <v>19.555200000000003</v>
      </c>
      <c r="AC146" s="166">
        <v>2966.9</v>
      </c>
      <c r="AD146" s="169">
        <f t="shared" si="14"/>
        <v>6.5911220465806073</v>
      </c>
    </row>
    <row r="147" spans="4:30">
      <c r="D147" s="166">
        <v>409.42999999999898</v>
      </c>
      <c r="E147" s="168" t="e">
        <f t="shared" si="10"/>
        <v>#NAME?</v>
      </c>
      <c r="F147" s="169">
        <v>409.42999999999898</v>
      </c>
      <c r="G147" s="170">
        <v>410.12</v>
      </c>
      <c r="H147" s="169">
        <v>14.710872857142485</v>
      </c>
      <c r="I147" s="166">
        <v>3690.8999999999069</v>
      </c>
      <c r="J147" s="169">
        <f t="shared" si="13"/>
        <v>3.9857142857142853</v>
      </c>
      <c r="O147" s="166">
        <v>465.92999999999898</v>
      </c>
      <c r="P147" s="169" t="e">
        <f t="shared" si="11"/>
        <v>#NAME?</v>
      </c>
      <c r="Q147" s="171">
        <v>465.92999999999898</v>
      </c>
      <c r="R147" s="172">
        <v>466.43999999999897</v>
      </c>
      <c r="S147" s="169">
        <v>11.115200000000431</v>
      </c>
      <c r="X147" s="166">
        <v>268.42999999999898</v>
      </c>
      <c r="Y147" s="169" t="e">
        <f t="shared" si="12"/>
        <v>#NAME?</v>
      </c>
      <c r="Z147" s="173">
        <v>268.42999999999898</v>
      </c>
      <c r="AA147" s="166">
        <v>271.40199999999999</v>
      </c>
      <c r="AB147" s="171">
        <v>16.1614</v>
      </c>
      <c r="AC147" s="166">
        <v>2400.1999999999998</v>
      </c>
      <c r="AD147" s="169">
        <f t="shared" si="14"/>
        <v>6.7333555537038583</v>
      </c>
    </row>
    <row r="148" spans="4:30">
      <c r="D148" s="166">
        <v>409.43999999999897</v>
      </c>
      <c r="E148" s="168" t="e">
        <f t="shared" si="10"/>
        <v>#NAME?</v>
      </c>
      <c r="F148" s="169">
        <v>409.43999999999897</v>
      </c>
      <c r="G148" s="170">
        <v>410.09</v>
      </c>
      <c r="H148" s="169">
        <v>11.908517142857329</v>
      </c>
      <c r="I148" s="166">
        <v>2987.8000000000466</v>
      </c>
      <c r="J148" s="169">
        <f t="shared" si="13"/>
        <v>3.9857142857142862</v>
      </c>
      <c r="O148" s="166">
        <v>465.93999999999897</v>
      </c>
      <c r="P148" s="169" t="e">
        <f t="shared" si="11"/>
        <v>#NAME?</v>
      </c>
      <c r="Q148" s="171">
        <v>465.93999999999897</v>
      </c>
      <c r="R148" s="172">
        <v>466.44999999999902</v>
      </c>
      <c r="S148" s="169">
        <v>11.111000000000411</v>
      </c>
      <c r="X148" s="166">
        <v>268.43999999999897</v>
      </c>
      <c r="Y148" s="169" t="e">
        <f t="shared" si="12"/>
        <v>#NAME?</v>
      </c>
      <c r="Z148" s="173">
        <v>268.43999999999897</v>
      </c>
      <c r="AA148" s="166">
        <v>271.41399999999999</v>
      </c>
      <c r="AB148" s="171">
        <v>20.2654</v>
      </c>
      <c r="AC148" s="166">
        <v>3087.8</v>
      </c>
      <c r="AD148" s="169">
        <f t="shared" si="14"/>
        <v>6.5630546019819933</v>
      </c>
    </row>
    <row r="149" spans="4:30">
      <c r="D149" s="166">
        <v>409.44999999999902</v>
      </c>
      <c r="E149" s="168" t="e">
        <f t="shared" si="10"/>
        <v>#NAME?</v>
      </c>
      <c r="F149" s="169">
        <v>409.44999999999902</v>
      </c>
      <c r="G149" s="170">
        <v>409.76</v>
      </c>
      <c r="H149" s="169">
        <v>12.927265714285808</v>
      </c>
      <c r="I149" s="166">
        <v>3243.4000000000233</v>
      </c>
      <c r="J149" s="169">
        <f t="shared" si="13"/>
        <v>3.9857142857142862</v>
      </c>
      <c r="O149" s="166">
        <v>465.94999999999902</v>
      </c>
      <c r="P149" s="169" t="e">
        <f t="shared" si="11"/>
        <v>#NAME?</v>
      </c>
      <c r="Q149" s="171">
        <v>465.94999999999902</v>
      </c>
      <c r="R149" s="172">
        <v>466.45999999999901</v>
      </c>
      <c r="S149" s="169">
        <v>11.106800000000415</v>
      </c>
      <c r="X149" s="166">
        <v>268.44999999999902</v>
      </c>
      <c r="Y149" s="169" t="e">
        <f t="shared" si="12"/>
        <v>#NAME?</v>
      </c>
      <c r="Z149" s="173">
        <v>268.44999999999902</v>
      </c>
      <c r="AA149" s="166">
        <v>271.154</v>
      </c>
      <c r="AB149" s="171">
        <v>21.160299999999999</v>
      </c>
      <c r="AC149" s="166">
        <v>3226.4</v>
      </c>
      <c r="AD149" s="169">
        <f t="shared" si="14"/>
        <v>6.5584862385321099</v>
      </c>
    </row>
    <row r="150" spans="4:30">
      <c r="D150" s="166">
        <v>409.45999999999901</v>
      </c>
      <c r="E150" s="168" t="e">
        <f t="shared" si="10"/>
        <v>#NAME?</v>
      </c>
      <c r="F150" s="169">
        <v>409.45999999999901</v>
      </c>
      <c r="G150" s="170">
        <v>410.75</v>
      </c>
      <c r="H150" s="169">
        <v>6.4217828571431363</v>
      </c>
      <c r="I150" s="166">
        <v>1611.2000000000698</v>
      </c>
      <c r="J150" s="169">
        <f t="shared" si="13"/>
        <v>3.9857142857142862</v>
      </c>
      <c r="O150" s="166">
        <v>465.95999999999901</v>
      </c>
      <c r="P150" s="169" t="e">
        <f t="shared" si="11"/>
        <v>#NAME?</v>
      </c>
      <c r="Q150" s="171">
        <v>465.95999999999901</v>
      </c>
      <c r="R150" s="172">
        <v>466.469999999999</v>
      </c>
      <c r="S150" s="169">
        <v>11.102600000000418</v>
      </c>
      <c r="X150" s="166">
        <v>268.45999999999901</v>
      </c>
      <c r="Y150" s="169" t="e">
        <f t="shared" si="12"/>
        <v>#NAME?</v>
      </c>
      <c r="Z150" s="173">
        <v>268.45999999999901</v>
      </c>
      <c r="AA150" s="166">
        <v>271.38900000000001</v>
      </c>
      <c r="AB150" s="171">
        <v>14.419000000000002</v>
      </c>
      <c r="AC150" s="166">
        <v>2180.9</v>
      </c>
      <c r="AD150" s="169">
        <f t="shared" si="14"/>
        <v>6.6114906689898669</v>
      </c>
    </row>
    <row r="151" spans="4:30">
      <c r="D151" s="166">
        <v>409.469999999999</v>
      </c>
      <c r="E151" s="168" t="e">
        <f t="shared" si="10"/>
        <v>#NAME?</v>
      </c>
      <c r="F151" s="169">
        <v>409.469999999999</v>
      </c>
      <c r="G151" s="170">
        <v>410.32</v>
      </c>
      <c r="H151" s="169">
        <v>15.233001428571054</v>
      </c>
      <c r="I151" s="166">
        <v>3821.8999999999069</v>
      </c>
      <c r="J151" s="169">
        <f t="shared" si="13"/>
        <v>3.9857142857142853</v>
      </c>
      <c r="O151" s="166">
        <v>465.969999999999</v>
      </c>
      <c r="P151" s="169" t="e">
        <f t="shared" si="11"/>
        <v>#NAME?</v>
      </c>
      <c r="Q151" s="171">
        <v>465.969999999999</v>
      </c>
      <c r="R151" s="172">
        <v>466.479999999999</v>
      </c>
      <c r="S151" s="169">
        <v>11.098400000000423</v>
      </c>
      <c r="X151" s="166">
        <v>268.469999999999</v>
      </c>
      <c r="Y151" s="169" t="e">
        <f t="shared" si="12"/>
        <v>#NAME?</v>
      </c>
      <c r="Z151" s="173">
        <v>268.469999999999</v>
      </c>
      <c r="AA151" s="166">
        <v>270.92366666666697</v>
      </c>
      <c r="AB151" s="171">
        <v>18.258500000000002</v>
      </c>
      <c r="AC151" s="166">
        <v>2768.8</v>
      </c>
      <c r="AD151" s="169">
        <f t="shared" si="14"/>
        <v>6.5943730135798901</v>
      </c>
    </row>
    <row r="152" spans="4:30">
      <c r="D152" s="166">
        <v>409.479999999999</v>
      </c>
      <c r="E152" s="168" t="e">
        <f t="shared" si="10"/>
        <v>#NAME?</v>
      </c>
      <c r="F152" s="169">
        <v>409.479999999999</v>
      </c>
      <c r="G152" s="170">
        <v>410.59</v>
      </c>
      <c r="H152" s="169">
        <v>15.458194285714381</v>
      </c>
      <c r="I152" s="166">
        <v>3878.4000000000233</v>
      </c>
      <c r="J152" s="169">
        <f t="shared" si="13"/>
        <v>3.9857142857142862</v>
      </c>
      <c r="O152" s="166">
        <v>465.979999999999</v>
      </c>
      <c r="P152" s="169" t="e">
        <f t="shared" si="11"/>
        <v>#NAME?</v>
      </c>
      <c r="Q152" s="171">
        <v>465.979999999999</v>
      </c>
      <c r="R152" s="172">
        <v>466.48999999999899</v>
      </c>
      <c r="S152" s="169">
        <v>11.094200000000427</v>
      </c>
      <c r="X152" s="166">
        <v>268.479999999999</v>
      </c>
      <c r="Y152" s="169" t="e">
        <f t="shared" si="12"/>
        <v>#NAME?</v>
      </c>
      <c r="Z152" s="173">
        <v>268.479999999999</v>
      </c>
      <c r="AA152" s="166">
        <v>270.58199999999999</v>
      </c>
      <c r="AB152" s="171">
        <v>26.314099999999996</v>
      </c>
      <c r="AC152" s="166">
        <v>3954.7</v>
      </c>
      <c r="AD152" s="169">
        <f t="shared" si="14"/>
        <v>6.6538801931878524</v>
      </c>
    </row>
    <row r="153" spans="4:30">
      <c r="D153" s="166">
        <v>409.48999999999899</v>
      </c>
      <c r="E153" s="168" t="e">
        <f t="shared" si="10"/>
        <v>#NAME?</v>
      </c>
      <c r="F153" s="169">
        <v>409.48999999999899</v>
      </c>
      <c r="G153" s="170">
        <v>411.78</v>
      </c>
      <c r="H153" s="169">
        <v>13.816478571428569</v>
      </c>
      <c r="I153" s="166">
        <v>3466.5</v>
      </c>
      <c r="J153" s="169">
        <f t="shared" si="13"/>
        <v>3.9857142857142853</v>
      </c>
      <c r="O153" s="166">
        <v>465.98999999999899</v>
      </c>
      <c r="P153" s="169" t="e">
        <f t="shared" si="11"/>
        <v>#NAME?</v>
      </c>
      <c r="Q153" s="171">
        <v>465.98999999999899</v>
      </c>
      <c r="R153" s="172">
        <v>466.49999999999898</v>
      </c>
      <c r="S153" s="169">
        <v>11.09000000000043</v>
      </c>
      <c r="X153" s="166">
        <v>268.48999999999899</v>
      </c>
      <c r="Y153" s="169" t="e">
        <f t="shared" si="12"/>
        <v>#NAME?</v>
      </c>
      <c r="Z153" s="173">
        <v>268.48999999999899</v>
      </c>
      <c r="AA153" s="166">
        <v>270.40100000000001</v>
      </c>
      <c r="AB153" s="171">
        <v>24.733699999999999</v>
      </c>
      <c r="AC153" s="166">
        <v>3779.6</v>
      </c>
      <c r="AD153" s="169">
        <f t="shared" si="14"/>
        <v>6.5439993650121711</v>
      </c>
    </row>
    <row r="154" spans="4:30">
      <c r="D154" s="166">
        <v>409.49999999999898</v>
      </c>
      <c r="E154" s="168" t="e">
        <f t="shared" si="10"/>
        <v>#NAME?</v>
      </c>
      <c r="F154" s="169">
        <v>409.49999999999898</v>
      </c>
      <c r="G154" s="170">
        <v>411.61</v>
      </c>
      <c r="H154" s="169">
        <v>19.482569999999903</v>
      </c>
      <c r="I154" s="166">
        <v>4888.0999999999767</v>
      </c>
      <c r="J154" s="169">
        <f t="shared" si="13"/>
        <v>3.9857142857142853</v>
      </c>
      <c r="O154" s="166">
        <v>465.99999999999898</v>
      </c>
      <c r="P154" s="169" t="e">
        <f t="shared" si="11"/>
        <v>#NAME?</v>
      </c>
      <c r="Q154" s="171">
        <v>465.99999999999898</v>
      </c>
      <c r="R154" s="172">
        <v>466.50999999999902</v>
      </c>
      <c r="S154" s="169">
        <v>11.085800000000411</v>
      </c>
      <c r="X154" s="166">
        <v>268.49999999999898</v>
      </c>
      <c r="Y154" s="169" t="e">
        <f t="shared" si="12"/>
        <v>#NAME?</v>
      </c>
      <c r="Z154" s="173">
        <v>268.49999999999898</v>
      </c>
      <c r="AA154" s="166">
        <v>270.34699999999998</v>
      </c>
      <c r="AB154" s="171">
        <v>21.804000000000002</v>
      </c>
      <c r="AC154" s="166">
        <v>3298.1</v>
      </c>
      <c r="AD154" s="169">
        <f t="shared" si="14"/>
        <v>6.6110791061520278</v>
      </c>
    </row>
    <row r="155" spans="4:30">
      <c r="D155" s="166">
        <v>409.50999999999902</v>
      </c>
      <c r="E155" s="168" t="e">
        <f t="shared" si="10"/>
        <v>#NAME?</v>
      </c>
      <c r="F155" s="169">
        <v>409.50999999999902</v>
      </c>
      <c r="G155" s="170">
        <v>411.65</v>
      </c>
      <c r="H155" s="169">
        <v>18.292834285714193</v>
      </c>
      <c r="I155" s="166">
        <v>4589.5999999999767</v>
      </c>
      <c r="J155" s="169">
        <f t="shared" si="13"/>
        <v>3.9857142857142862</v>
      </c>
      <c r="O155" s="166">
        <v>466.00999999999902</v>
      </c>
      <c r="P155" s="169" t="e">
        <f t="shared" si="11"/>
        <v>#NAME?</v>
      </c>
      <c r="Q155" s="171">
        <v>466.00999999999902</v>
      </c>
      <c r="R155" s="172">
        <v>466.51999999999902</v>
      </c>
      <c r="S155" s="169">
        <v>11.081600000000414</v>
      </c>
      <c r="X155" s="166">
        <v>268.50999999999902</v>
      </c>
      <c r="Y155" s="169" t="e">
        <f t="shared" si="12"/>
        <v>#NAME?</v>
      </c>
      <c r="Z155" s="173">
        <v>268.50999999999902</v>
      </c>
      <c r="AA155" s="166">
        <v>270.42500000000001</v>
      </c>
      <c r="AB155" s="171">
        <v>25.313700000000001</v>
      </c>
      <c r="AC155" s="166">
        <v>3781.6</v>
      </c>
      <c r="AD155" s="169">
        <f t="shared" si="14"/>
        <v>6.6939126295747835</v>
      </c>
    </row>
    <row r="156" spans="4:30">
      <c r="D156" s="166">
        <v>409.51999999999902</v>
      </c>
      <c r="E156" s="168" t="e">
        <f t="shared" si="10"/>
        <v>#NAME?</v>
      </c>
      <c r="F156" s="169">
        <v>409.51999999999902</v>
      </c>
      <c r="G156" s="170">
        <v>411.67</v>
      </c>
      <c r="H156" s="169">
        <v>18.738835714286179</v>
      </c>
      <c r="I156" s="166">
        <v>4701.5000000001164</v>
      </c>
      <c r="J156" s="169">
        <f t="shared" si="13"/>
        <v>3.9857142857142862</v>
      </c>
      <c r="O156" s="166">
        <v>466.01999999999902</v>
      </c>
      <c r="P156" s="169" t="e">
        <f t="shared" si="11"/>
        <v>#NAME?</v>
      </c>
      <c r="Q156" s="171">
        <v>466.01999999999902</v>
      </c>
      <c r="R156" s="172">
        <v>466.52999999999901</v>
      </c>
      <c r="S156" s="169">
        <v>11.077400000000418</v>
      </c>
      <c r="X156" s="166">
        <v>268.51999999999902</v>
      </c>
      <c r="Y156" s="169" t="e">
        <f t="shared" si="12"/>
        <v>#NAME?</v>
      </c>
      <c r="Z156" s="173">
        <v>268.51999999999902</v>
      </c>
      <c r="AA156" s="166">
        <v>270.55239999999998</v>
      </c>
      <c r="AB156" s="171">
        <v>23.564699999999995</v>
      </c>
      <c r="AC156" s="166">
        <v>3524.4</v>
      </c>
      <c r="AD156" s="169">
        <f t="shared" si="14"/>
        <v>6.6861593462717046</v>
      </c>
    </row>
    <row r="157" spans="4:30">
      <c r="D157" s="166">
        <v>409.52999999999901</v>
      </c>
      <c r="E157" s="168" t="e">
        <f t="shared" si="10"/>
        <v>#NAME?</v>
      </c>
      <c r="F157" s="169">
        <v>409.52999999999901</v>
      </c>
      <c r="G157" s="170">
        <v>411.56</v>
      </c>
      <c r="H157" s="169">
        <v>17.934518571428388</v>
      </c>
      <c r="I157" s="166">
        <v>4499.6999999999534</v>
      </c>
      <c r="J157" s="169">
        <f t="shared" si="13"/>
        <v>3.9857142857142862</v>
      </c>
      <c r="O157" s="166">
        <v>466.02999999999901</v>
      </c>
      <c r="P157" s="169" t="e">
        <f t="shared" si="11"/>
        <v>#NAME?</v>
      </c>
      <c r="Q157" s="171">
        <v>466.02999999999901</v>
      </c>
      <c r="R157" s="172">
        <v>466.539999999999</v>
      </c>
      <c r="S157" s="169">
        <v>11.073200000000423</v>
      </c>
      <c r="X157" s="166">
        <v>268.52999999999901</v>
      </c>
      <c r="Y157" s="169" t="e">
        <f t="shared" si="12"/>
        <v>#NAME?</v>
      </c>
      <c r="Z157" s="173">
        <v>268.52999999999901</v>
      </c>
      <c r="AA157" s="166">
        <v>270.899</v>
      </c>
      <c r="AB157" s="171">
        <v>19.258500000000002</v>
      </c>
      <c r="AC157" s="166">
        <v>2932.1</v>
      </c>
      <c r="AD157" s="169">
        <f t="shared" si="14"/>
        <v>6.5681593397223841</v>
      </c>
    </row>
    <row r="158" spans="4:30">
      <c r="D158" s="166">
        <v>409.539999999999</v>
      </c>
      <c r="E158" s="168" t="e">
        <f t="shared" si="10"/>
        <v>#NAME?</v>
      </c>
      <c r="F158" s="169">
        <v>409.539999999999</v>
      </c>
      <c r="G158" s="170">
        <v>410.85</v>
      </c>
      <c r="H158" s="169">
        <v>18.58458857142876</v>
      </c>
      <c r="I158" s="166">
        <v>4662.8000000000466</v>
      </c>
      <c r="J158" s="169">
        <f t="shared" si="13"/>
        <v>3.9857142857142862</v>
      </c>
      <c r="O158" s="166">
        <v>466.039999999999</v>
      </c>
      <c r="P158" s="169" t="e">
        <f t="shared" si="11"/>
        <v>#NAME?</v>
      </c>
      <c r="Q158" s="171">
        <v>466.039999999999</v>
      </c>
      <c r="R158" s="172">
        <v>466.54999999999899</v>
      </c>
      <c r="S158" s="169">
        <v>11.069000000000425</v>
      </c>
      <c r="X158" s="166">
        <v>268.539999999999</v>
      </c>
      <c r="Y158" s="169" t="e">
        <f t="shared" si="12"/>
        <v>#NAME?</v>
      </c>
      <c r="Z158" s="173">
        <v>268.539999999999</v>
      </c>
      <c r="AA158" s="166">
        <v>271.91399999999999</v>
      </c>
      <c r="AB158" s="171">
        <v>11.0001</v>
      </c>
      <c r="AC158" s="166">
        <v>1675.8</v>
      </c>
      <c r="AD158" s="169">
        <f t="shared" si="14"/>
        <v>6.5640887934121013</v>
      </c>
    </row>
    <row r="159" spans="4:30">
      <c r="D159" s="166">
        <v>409.54999999999899</v>
      </c>
      <c r="E159" s="168" t="e">
        <f t="shared" si="10"/>
        <v>#NAME?</v>
      </c>
      <c r="F159" s="169">
        <v>409.54999999999899</v>
      </c>
      <c r="G159" s="170">
        <v>409.91</v>
      </c>
      <c r="H159" s="169">
        <v>19.175271428571424</v>
      </c>
      <c r="I159" s="166">
        <v>4811</v>
      </c>
      <c r="J159" s="169">
        <f t="shared" si="13"/>
        <v>3.9857142857142853</v>
      </c>
      <c r="O159" s="166">
        <v>466.04999999999899</v>
      </c>
      <c r="P159" s="169" t="e">
        <f t="shared" si="11"/>
        <v>#NAME?</v>
      </c>
      <c r="Q159" s="171">
        <v>466.04999999999899</v>
      </c>
      <c r="R159" s="172">
        <v>466.55999999999898</v>
      </c>
      <c r="S159" s="169">
        <v>11.06480000000043</v>
      </c>
      <c r="X159" s="166">
        <v>268.54999999999899</v>
      </c>
      <c r="Y159" s="169" t="e">
        <f t="shared" si="12"/>
        <v>#NAME?</v>
      </c>
      <c r="Z159" s="173">
        <v>268.54999999999899</v>
      </c>
      <c r="AA159" s="166">
        <v>271.983</v>
      </c>
      <c r="AB159" s="171">
        <v>27.020800000000001</v>
      </c>
      <c r="AC159" s="166">
        <v>4055</v>
      </c>
      <c r="AD159" s="169">
        <f t="shared" si="14"/>
        <v>6.6635758323057956</v>
      </c>
    </row>
    <row r="160" spans="4:30">
      <c r="D160" s="166">
        <v>409.55999999999898</v>
      </c>
      <c r="E160" s="168" t="e">
        <f t="shared" si="10"/>
        <v>#NAME?</v>
      </c>
      <c r="F160" s="169">
        <v>409.55999999999898</v>
      </c>
      <c r="G160" s="170">
        <v>409.98</v>
      </c>
      <c r="H160" s="169">
        <v>18.61408285714267</v>
      </c>
      <c r="I160" s="166">
        <v>4670.1999999999534</v>
      </c>
      <c r="J160" s="169">
        <f t="shared" si="13"/>
        <v>3.9857142857142853</v>
      </c>
      <c r="O160" s="166">
        <v>466.05999999999898</v>
      </c>
      <c r="P160" s="169" t="e">
        <f t="shared" si="11"/>
        <v>#NAME?</v>
      </c>
      <c r="Q160" s="171">
        <v>466.05999999999898</v>
      </c>
      <c r="R160" s="172">
        <v>466.56999999999903</v>
      </c>
      <c r="S160" s="169">
        <v>11.060600000000409</v>
      </c>
      <c r="X160" s="166">
        <v>268.55999999999898</v>
      </c>
      <c r="Y160" s="169" t="e">
        <f t="shared" si="12"/>
        <v>#NAME?</v>
      </c>
      <c r="Z160" s="173">
        <v>268.55999999999898</v>
      </c>
      <c r="AA160" s="166">
        <v>271.9615</v>
      </c>
      <c r="AB160" s="171">
        <v>28.401300000000006</v>
      </c>
      <c r="AC160" s="166">
        <v>4326</v>
      </c>
      <c r="AD160" s="169">
        <f t="shared" si="14"/>
        <v>6.5652565880721232</v>
      </c>
    </row>
    <row r="161" spans="4:30">
      <c r="D161" s="166">
        <v>409.56999999999903</v>
      </c>
      <c r="E161" s="168" t="e">
        <f t="shared" si="10"/>
        <v>#NAME?</v>
      </c>
      <c r="F161" s="169">
        <v>409.56999999999903</v>
      </c>
      <c r="G161" s="170">
        <v>411.39</v>
      </c>
      <c r="H161" s="169">
        <v>10.370828571428573</v>
      </c>
      <c r="I161" s="166">
        <v>2602</v>
      </c>
      <c r="J161" s="169">
        <f t="shared" si="13"/>
        <v>3.9857142857142862</v>
      </c>
      <c r="O161" s="166">
        <v>466.06999999999903</v>
      </c>
      <c r="P161" s="169" t="e">
        <f t="shared" si="11"/>
        <v>#NAME?</v>
      </c>
      <c r="Q161" s="171">
        <v>466.06999999999903</v>
      </c>
      <c r="R161" s="172">
        <v>466.57999999999902</v>
      </c>
      <c r="S161" s="169">
        <v>11.056400000000414</v>
      </c>
      <c r="X161" s="166">
        <v>268.56999999999903</v>
      </c>
      <c r="Y161" s="169" t="e">
        <f t="shared" si="12"/>
        <v>#NAME?</v>
      </c>
      <c r="Z161" s="173">
        <v>268.56999999999903</v>
      </c>
      <c r="AA161" s="166">
        <v>271.81700000000001</v>
      </c>
      <c r="AB161" s="171">
        <v>29.405000000000005</v>
      </c>
      <c r="AC161" s="166">
        <v>4393.1000000000004</v>
      </c>
      <c r="AD161" s="169">
        <f t="shared" si="14"/>
        <v>6.6934510937606708</v>
      </c>
    </row>
    <row r="162" spans="4:30">
      <c r="D162" s="166">
        <v>409.57999999999902</v>
      </c>
      <c r="E162" s="168" t="e">
        <f t="shared" si="10"/>
        <v>#NAME?</v>
      </c>
      <c r="F162" s="169">
        <v>409.57999999999902</v>
      </c>
      <c r="G162" s="170">
        <v>411.1</v>
      </c>
      <c r="H162" s="169">
        <v>15.612441428571334</v>
      </c>
      <c r="I162" s="166">
        <v>3917.0999999999767</v>
      </c>
      <c r="J162" s="169">
        <f t="shared" si="13"/>
        <v>3.9857142857142853</v>
      </c>
      <c r="O162" s="166">
        <v>466.07999999999902</v>
      </c>
      <c r="P162" s="169" t="e">
        <f t="shared" si="11"/>
        <v>#NAME?</v>
      </c>
      <c r="Q162" s="171">
        <v>466.07999999999902</v>
      </c>
      <c r="R162" s="172">
        <v>466.58999999999901</v>
      </c>
      <c r="S162" s="169">
        <v>11.052200000000417</v>
      </c>
      <c r="X162" s="166">
        <v>268.57999999999902</v>
      </c>
      <c r="Y162" s="169" t="e">
        <f t="shared" si="12"/>
        <v>#NAME?</v>
      </c>
      <c r="Z162" s="173">
        <v>268.57999999999902</v>
      </c>
      <c r="AA162" s="166">
        <v>271.79700000000003</v>
      </c>
      <c r="AB162" s="171">
        <v>15.031899999999997</v>
      </c>
      <c r="AC162" s="166">
        <v>2269.1</v>
      </c>
      <c r="AD162" s="169">
        <f t="shared" si="14"/>
        <v>6.6246088757657207</v>
      </c>
    </row>
    <row r="163" spans="4:30">
      <c r="D163" s="166">
        <v>409.58999999999901</v>
      </c>
      <c r="E163" s="168" t="e">
        <f t="shared" si="10"/>
        <v>#NAME?</v>
      </c>
      <c r="F163" s="169">
        <v>409.58999999999901</v>
      </c>
      <c r="G163" s="170">
        <v>411.27</v>
      </c>
      <c r="H163" s="169">
        <v>14.50999285714286</v>
      </c>
      <c r="I163" s="166">
        <v>3640.5</v>
      </c>
      <c r="J163" s="169">
        <f t="shared" si="13"/>
        <v>3.9857142857142867</v>
      </c>
      <c r="O163" s="166">
        <v>466.08999999999901</v>
      </c>
      <c r="P163" s="169" t="e">
        <f t="shared" si="11"/>
        <v>#NAME?</v>
      </c>
      <c r="Q163" s="171">
        <v>466.08999999999901</v>
      </c>
      <c r="R163" s="172">
        <v>466.599999999999</v>
      </c>
      <c r="S163" s="169">
        <v>11.048000000000421</v>
      </c>
      <c r="X163" s="166">
        <v>268.58999999999901</v>
      </c>
      <c r="Y163" s="169" t="e">
        <f t="shared" si="12"/>
        <v>#NAME?</v>
      </c>
      <c r="Z163" s="173">
        <v>268.58999999999901</v>
      </c>
      <c r="AA163" s="166">
        <v>271.85700000000003</v>
      </c>
      <c r="AB163" s="171">
        <v>24.3065</v>
      </c>
      <c r="AC163" s="166">
        <v>3657.4</v>
      </c>
      <c r="AD163" s="169">
        <f t="shared" si="14"/>
        <v>6.6458413080330283</v>
      </c>
    </row>
    <row r="164" spans="4:30">
      <c r="D164" s="166">
        <v>409.599999999999</v>
      </c>
      <c r="E164" s="168" t="e">
        <f t="shared" si="10"/>
        <v>#NAME?</v>
      </c>
      <c r="F164" s="169">
        <v>409.599999999999</v>
      </c>
      <c r="G164" s="170">
        <v>411.77</v>
      </c>
      <c r="H164" s="169">
        <v>12.472894285714377</v>
      </c>
      <c r="I164" s="166">
        <v>3129.4000000000233</v>
      </c>
      <c r="J164" s="169">
        <f t="shared" si="13"/>
        <v>3.9857142857142853</v>
      </c>
      <c r="O164" s="166">
        <v>466.099999999999</v>
      </c>
      <c r="P164" s="169" t="e">
        <f t="shared" si="11"/>
        <v>#NAME?</v>
      </c>
      <c r="Q164" s="171">
        <v>466.099999999999</v>
      </c>
      <c r="R164" s="172">
        <v>466.60999999999899</v>
      </c>
      <c r="S164" s="169">
        <v>11.043800000000425</v>
      </c>
      <c r="X164" s="166">
        <v>268.599999999999</v>
      </c>
      <c r="Y164" s="169" t="e">
        <f t="shared" si="12"/>
        <v>#NAME?</v>
      </c>
      <c r="Z164" s="173">
        <v>268.599999999999</v>
      </c>
      <c r="AA164" s="166">
        <v>272.02499999999998</v>
      </c>
      <c r="AB164" s="171">
        <v>17.879700000000003</v>
      </c>
      <c r="AC164" s="166">
        <v>2727</v>
      </c>
      <c r="AD164" s="169">
        <f t="shared" si="14"/>
        <v>6.5565456545654577</v>
      </c>
    </row>
    <row r="165" spans="4:30">
      <c r="D165" s="166">
        <v>409.60999999999899</v>
      </c>
      <c r="E165" s="168" t="e">
        <f t="shared" si="10"/>
        <v>#NAME?</v>
      </c>
      <c r="F165" s="169">
        <v>409.60999999999899</v>
      </c>
      <c r="G165" s="170">
        <v>410.61</v>
      </c>
      <c r="H165" s="169">
        <v>17.188791428571335</v>
      </c>
      <c r="I165" s="166">
        <v>4312.5999999999767</v>
      </c>
      <c r="J165" s="169">
        <f t="shared" si="13"/>
        <v>3.9857142857142853</v>
      </c>
      <c r="O165" s="166">
        <v>466.10999999999899</v>
      </c>
      <c r="P165" s="169" t="e">
        <f t="shared" si="11"/>
        <v>#NAME?</v>
      </c>
      <c r="Q165" s="171">
        <v>466.10999999999899</v>
      </c>
      <c r="R165" s="172">
        <v>466.61999999999898</v>
      </c>
      <c r="S165" s="169">
        <v>11.039600000000428</v>
      </c>
      <c r="X165" s="166">
        <v>268.60999999999899</v>
      </c>
      <c r="Y165" s="169" t="e">
        <f t="shared" si="12"/>
        <v>#NAME?</v>
      </c>
      <c r="Z165" s="173">
        <v>268.60999999999899</v>
      </c>
      <c r="AA165" s="166">
        <v>271.92700000000002</v>
      </c>
      <c r="AB165" s="171">
        <v>21.4559</v>
      </c>
      <c r="AC165" s="166">
        <v>3253.7</v>
      </c>
      <c r="AD165" s="169">
        <f t="shared" si="14"/>
        <v>6.5943080185634813</v>
      </c>
    </row>
    <row r="166" spans="4:30">
      <c r="D166" s="166">
        <v>409.61999999999898</v>
      </c>
      <c r="E166" s="168" t="e">
        <f t="shared" si="10"/>
        <v>#NAME?</v>
      </c>
      <c r="F166" s="169">
        <v>409.61999999999898</v>
      </c>
      <c r="G166" s="170">
        <v>411.28</v>
      </c>
      <c r="H166" s="169">
        <v>11.316240000000278</v>
      </c>
      <c r="I166" s="166">
        <v>2839.2000000000698</v>
      </c>
      <c r="J166" s="169">
        <f t="shared" si="13"/>
        <v>3.9857142857142853</v>
      </c>
      <c r="O166" s="166">
        <v>466.11999999999898</v>
      </c>
      <c r="P166" s="169" t="e">
        <f t="shared" si="11"/>
        <v>#NAME?</v>
      </c>
      <c r="Q166" s="171">
        <v>466.11999999999898</v>
      </c>
      <c r="R166" s="172">
        <v>466.62999999999897</v>
      </c>
      <c r="S166" s="169">
        <v>11.035400000000433</v>
      </c>
      <c r="X166" s="166">
        <v>268.61999999999898</v>
      </c>
      <c r="Y166" s="169" t="e">
        <f t="shared" si="12"/>
        <v>#NAME?</v>
      </c>
      <c r="Z166" s="173">
        <v>268.61999999999898</v>
      </c>
      <c r="AA166" s="166">
        <v>271.81900000000002</v>
      </c>
      <c r="AB166" s="171">
        <v>26.645599999999998</v>
      </c>
      <c r="AC166" s="166">
        <v>4056.4</v>
      </c>
      <c r="AD166" s="169">
        <f t="shared" si="14"/>
        <v>6.5687801991914005</v>
      </c>
    </row>
    <row r="167" spans="4:30">
      <c r="D167" s="166">
        <v>409.62999999999897</v>
      </c>
      <c r="E167" s="168" t="e">
        <f t="shared" si="10"/>
        <v>#NAME?</v>
      </c>
      <c r="F167" s="169">
        <v>409.62999999999897</v>
      </c>
      <c r="G167" s="170">
        <v>411.45</v>
      </c>
      <c r="H167" s="169">
        <v>14.050439999999814</v>
      </c>
      <c r="I167" s="166">
        <v>3525.1999999999534</v>
      </c>
      <c r="J167" s="169">
        <f t="shared" si="13"/>
        <v>3.9857142857142853</v>
      </c>
      <c r="O167" s="166">
        <v>466.12999999999897</v>
      </c>
      <c r="P167" s="169" t="e">
        <f t="shared" si="11"/>
        <v>#NAME?</v>
      </c>
      <c r="Q167" s="171">
        <v>466.12999999999897</v>
      </c>
      <c r="R167" s="172">
        <v>466.63999999999902</v>
      </c>
      <c r="S167" s="169">
        <v>11.031200000000412</v>
      </c>
      <c r="X167" s="166">
        <v>268.62999999999897</v>
      </c>
      <c r="Y167" s="169" t="e">
        <f t="shared" si="12"/>
        <v>#NAME?</v>
      </c>
      <c r="Z167" s="173">
        <v>268.62999999999897</v>
      </c>
      <c r="AA167" s="166">
        <v>271.67599999999999</v>
      </c>
      <c r="AB167" s="171">
        <v>21.243499999999997</v>
      </c>
      <c r="AC167" s="166">
        <v>3183.2</v>
      </c>
      <c r="AD167" s="169">
        <f t="shared" si="14"/>
        <v>6.6736303091228946</v>
      </c>
    </row>
    <row r="168" spans="4:30">
      <c r="D168" s="166">
        <v>409.63999999999902</v>
      </c>
      <c r="E168" s="168" t="e">
        <f t="shared" si="10"/>
        <v>#NAME?</v>
      </c>
      <c r="F168" s="169">
        <v>409.63999999999902</v>
      </c>
      <c r="G168" s="170">
        <v>411.46</v>
      </c>
      <c r="H168" s="169">
        <v>14.653877142857054</v>
      </c>
      <c r="I168" s="166">
        <v>3676.5999999999767</v>
      </c>
      <c r="J168" s="169">
        <f t="shared" si="13"/>
        <v>3.9857142857142867</v>
      </c>
      <c r="O168" s="166">
        <v>466.13999999999902</v>
      </c>
      <c r="P168" s="169" t="e">
        <f t="shared" si="11"/>
        <v>#NAME?</v>
      </c>
      <c r="Q168" s="171">
        <v>466.13999999999902</v>
      </c>
      <c r="R168" s="172">
        <v>466.64999999999799</v>
      </c>
      <c r="S168" s="169">
        <v>11.027000000000847</v>
      </c>
      <c r="X168" s="166">
        <v>268.63999999999902</v>
      </c>
      <c r="Y168" s="169" t="e">
        <f t="shared" si="12"/>
        <v>#NAME?</v>
      </c>
      <c r="Z168" s="173">
        <v>268.63999999999902</v>
      </c>
      <c r="AA168" s="166">
        <v>272.01</v>
      </c>
      <c r="AB168" s="171">
        <v>18.744599999999998</v>
      </c>
      <c r="AC168" s="166">
        <v>2857.8</v>
      </c>
      <c r="AD168" s="169">
        <f t="shared" si="14"/>
        <v>6.5591014066764632</v>
      </c>
    </row>
    <row r="169" spans="4:30">
      <c r="D169" s="166">
        <v>409.64999999999799</v>
      </c>
      <c r="E169" s="168" t="e">
        <f t="shared" si="10"/>
        <v>#NAME?</v>
      </c>
      <c r="F169" s="169">
        <v>409.64999999999799</v>
      </c>
      <c r="G169" s="170">
        <v>411.6</v>
      </c>
      <c r="H169" s="169">
        <v>14.43745285714258</v>
      </c>
      <c r="I169" s="166">
        <v>3622.2999999999302</v>
      </c>
      <c r="J169" s="169">
        <f t="shared" si="13"/>
        <v>3.9857142857142862</v>
      </c>
      <c r="O169" s="166">
        <v>466.14999999999799</v>
      </c>
      <c r="P169" s="169" t="e">
        <f t="shared" si="11"/>
        <v>#NAME?</v>
      </c>
      <c r="Q169" s="171">
        <v>466.14999999999799</v>
      </c>
      <c r="R169" s="172">
        <v>466.65999999999798</v>
      </c>
      <c r="S169" s="169">
        <v>11.022800000000849</v>
      </c>
      <c r="X169" s="166">
        <v>268.64999999999799</v>
      </c>
      <c r="Y169" s="169" t="e">
        <f t="shared" si="12"/>
        <v>#NAME?</v>
      </c>
      <c r="Z169" s="173">
        <v>268.64999999999799</v>
      </c>
      <c r="AA169" s="166">
        <v>271.904</v>
      </c>
      <c r="AB169" s="171">
        <v>25.723999999999997</v>
      </c>
      <c r="AC169" s="166">
        <v>3859.8</v>
      </c>
      <c r="AD169" s="169">
        <f t="shared" si="14"/>
        <v>6.6645940204155645</v>
      </c>
    </row>
    <row r="170" spans="4:30">
      <c r="D170" s="166">
        <v>409.65999999999798</v>
      </c>
      <c r="E170" s="168" t="e">
        <f t="shared" si="10"/>
        <v>#NAME?</v>
      </c>
      <c r="F170" s="169">
        <v>409.65999999999798</v>
      </c>
      <c r="G170" s="170">
        <v>411.64</v>
      </c>
      <c r="H170" s="169">
        <v>14.307917142857326</v>
      </c>
      <c r="I170" s="166">
        <v>3589.8000000000466</v>
      </c>
      <c r="J170" s="169">
        <f t="shared" si="13"/>
        <v>3.9857142857142853</v>
      </c>
      <c r="O170" s="166">
        <v>466.15999999999798</v>
      </c>
      <c r="P170" s="169" t="e">
        <f t="shared" si="11"/>
        <v>#NAME?</v>
      </c>
      <c r="Q170" s="171">
        <v>466.15999999999798</v>
      </c>
      <c r="R170" s="172">
        <v>466.66999999999803</v>
      </c>
      <c r="S170" s="169">
        <v>11.018600000000829</v>
      </c>
      <c r="X170" s="166">
        <v>268.65999999999798</v>
      </c>
      <c r="Y170" s="169" t="e">
        <f t="shared" si="12"/>
        <v>#NAME?</v>
      </c>
      <c r="Z170" s="173">
        <v>268.65999999999798</v>
      </c>
      <c r="AA170" s="166">
        <v>271.89400000000001</v>
      </c>
      <c r="AB170" s="171">
        <v>25.492399999999996</v>
      </c>
      <c r="AC170" s="166">
        <v>3784.2</v>
      </c>
      <c r="AD170" s="169">
        <f t="shared" si="14"/>
        <v>6.7365361238835151</v>
      </c>
    </row>
    <row r="171" spans="4:30">
      <c r="D171" s="166">
        <v>409.66999999999803</v>
      </c>
      <c r="E171" s="168" t="e">
        <f t="shared" si="10"/>
        <v>#NAME?</v>
      </c>
      <c r="F171" s="169">
        <v>409.66999999999803</v>
      </c>
      <c r="G171" s="170">
        <v>411.48</v>
      </c>
      <c r="H171" s="169">
        <v>16.003838571428755</v>
      </c>
      <c r="I171" s="166">
        <v>4015.3000000000466</v>
      </c>
      <c r="J171" s="169">
        <f t="shared" si="13"/>
        <v>3.9857142857142853</v>
      </c>
      <c r="O171" s="166">
        <v>466.16999999999803</v>
      </c>
      <c r="P171" s="169" t="e">
        <f t="shared" si="11"/>
        <v>#NAME?</v>
      </c>
      <c r="Q171" s="171">
        <v>466.16999999999803</v>
      </c>
      <c r="R171" s="172">
        <v>466.67999999999802</v>
      </c>
      <c r="S171" s="169">
        <v>11.014400000000833</v>
      </c>
      <c r="X171" s="166">
        <v>268.66999999999803</v>
      </c>
      <c r="Y171" s="169" t="e">
        <f t="shared" si="12"/>
        <v>#NAME?</v>
      </c>
      <c r="Z171" s="173">
        <v>268.66999999999803</v>
      </c>
      <c r="AA171" s="166">
        <v>272.04000000000002</v>
      </c>
      <c r="AB171" s="171">
        <v>23.6967</v>
      </c>
      <c r="AC171" s="166">
        <v>3688.3</v>
      </c>
      <c r="AD171" s="169">
        <f t="shared" si="14"/>
        <v>6.4248298674185937</v>
      </c>
    </row>
    <row r="172" spans="4:30">
      <c r="D172" s="166">
        <v>409.67999999999802</v>
      </c>
      <c r="E172" s="168" t="e">
        <f t="shared" si="10"/>
        <v>#NAME?</v>
      </c>
      <c r="F172" s="169">
        <v>409.67999999999802</v>
      </c>
      <c r="G172" s="170">
        <v>411.97</v>
      </c>
      <c r="H172" s="169">
        <v>14.339802857142574</v>
      </c>
      <c r="I172" s="166">
        <v>3597.7999999999302</v>
      </c>
      <c r="J172" s="169">
        <f t="shared" si="13"/>
        <v>3.9857142857142844</v>
      </c>
      <c r="O172" s="166">
        <v>466.17999999999802</v>
      </c>
      <c r="P172" s="169" t="e">
        <f t="shared" si="11"/>
        <v>#NAME?</v>
      </c>
      <c r="Q172" s="171">
        <v>466.17999999999802</v>
      </c>
      <c r="R172" s="172">
        <v>466.68999999999801</v>
      </c>
      <c r="S172" s="169">
        <v>11.010200000000838</v>
      </c>
      <c r="X172" s="166">
        <v>268.67999999999802</v>
      </c>
      <c r="Y172" s="169" t="e">
        <f t="shared" si="12"/>
        <v>#NAME?</v>
      </c>
      <c r="Z172" s="173">
        <v>268.67999999999802</v>
      </c>
      <c r="AA172" s="166">
        <v>271.96800000000002</v>
      </c>
      <c r="AB172" s="171">
        <v>29.828800000000008</v>
      </c>
      <c r="AC172" s="166">
        <v>4468.8999999999996</v>
      </c>
      <c r="AD172" s="169">
        <f t="shared" si="14"/>
        <v>6.6747521761507329</v>
      </c>
    </row>
    <row r="173" spans="4:30">
      <c r="D173" s="166">
        <v>409.68999999999801</v>
      </c>
      <c r="E173" s="168" t="e">
        <f t="shared" si="10"/>
        <v>#NAME?</v>
      </c>
      <c r="F173" s="169">
        <v>409.68999999999801</v>
      </c>
      <c r="G173" s="170">
        <v>412.04</v>
      </c>
      <c r="H173" s="169">
        <v>15.334238571428761</v>
      </c>
      <c r="I173" s="166">
        <v>3847.3000000000466</v>
      </c>
      <c r="J173" s="169">
        <f t="shared" si="13"/>
        <v>3.9857142857142867</v>
      </c>
      <c r="O173" s="166">
        <v>466.18999999999801</v>
      </c>
      <c r="P173" s="169" t="e">
        <f t="shared" si="11"/>
        <v>#NAME?</v>
      </c>
      <c r="Q173" s="171">
        <v>466.18999999999801</v>
      </c>
      <c r="R173" s="172">
        <v>466.699999999998</v>
      </c>
      <c r="S173" s="169">
        <v>11.00600000000084</v>
      </c>
      <c r="X173" s="166">
        <v>268.68999999999801</v>
      </c>
      <c r="Y173" s="169" t="e">
        <f t="shared" si="12"/>
        <v>#NAME?</v>
      </c>
      <c r="Z173" s="173">
        <v>268.68999999999801</v>
      </c>
      <c r="AA173" s="166">
        <v>271.98899999999998</v>
      </c>
      <c r="AB173" s="171">
        <v>22.511900000000001</v>
      </c>
      <c r="AC173" s="166">
        <v>4468.8999999999996</v>
      </c>
      <c r="AD173" s="169">
        <f t="shared" si="14"/>
        <v>5.0374588824990498</v>
      </c>
    </row>
    <row r="174" spans="4:30">
      <c r="D174" s="166">
        <v>409.699999999998</v>
      </c>
      <c r="E174" s="168" t="e">
        <f t="shared" si="10"/>
        <v>#NAME?</v>
      </c>
      <c r="F174" s="169">
        <v>409.699999999998</v>
      </c>
      <c r="G174" s="170">
        <v>411.28</v>
      </c>
      <c r="H174" s="169">
        <v>9.1611642857142854</v>
      </c>
      <c r="I174" s="166">
        <v>2298.5</v>
      </c>
      <c r="J174" s="169">
        <f t="shared" si="13"/>
        <v>3.9857142857142862</v>
      </c>
      <c r="O174" s="166">
        <v>466.199999999998</v>
      </c>
      <c r="P174" s="169" t="e">
        <f t="shared" si="11"/>
        <v>#NAME?</v>
      </c>
      <c r="Q174" s="171">
        <v>466.199999999998</v>
      </c>
      <c r="R174" s="172">
        <v>466.70999999999799</v>
      </c>
      <c r="S174" s="169">
        <v>11.001800000000845</v>
      </c>
      <c r="X174" s="166">
        <v>268.699999999998</v>
      </c>
      <c r="Y174" s="169" t="e">
        <f t="shared" si="12"/>
        <v>#NAME?</v>
      </c>
      <c r="Z174" s="173">
        <v>268.699999999998</v>
      </c>
      <c r="AA174" s="166">
        <v>272.02800000000002</v>
      </c>
      <c r="AB174" s="171">
        <v>21.837499999999999</v>
      </c>
      <c r="AC174" s="166">
        <v>3435.5</v>
      </c>
      <c r="AD174" s="169">
        <f t="shared" si="14"/>
        <v>6.356425556687527</v>
      </c>
    </row>
    <row r="175" spans="4:30">
      <c r="D175" s="166">
        <v>409.70999999999799</v>
      </c>
      <c r="E175" s="168" t="e">
        <f t="shared" si="10"/>
        <v>#NAME?</v>
      </c>
      <c r="F175" s="169">
        <v>409.70999999999799</v>
      </c>
      <c r="G175" s="170">
        <v>411.29</v>
      </c>
      <c r="H175" s="169">
        <v>9.8132271428570501</v>
      </c>
      <c r="I175" s="166">
        <v>2462.0999999999767</v>
      </c>
      <c r="J175" s="169">
        <f t="shared" si="13"/>
        <v>3.9857142857142862</v>
      </c>
      <c r="O175" s="166">
        <v>466.20999999999799</v>
      </c>
      <c r="P175" s="169" t="e">
        <f t="shared" si="11"/>
        <v>#NAME?</v>
      </c>
      <c r="Q175" s="171">
        <v>466.20999999999799</v>
      </c>
      <c r="R175" s="172">
        <v>466.71999999999798</v>
      </c>
      <c r="S175" s="169">
        <v>10.997600000000849</v>
      </c>
      <c r="X175" s="166">
        <v>268.70999999999799</v>
      </c>
      <c r="Y175" s="169" t="e">
        <f t="shared" si="12"/>
        <v>#NAME?</v>
      </c>
      <c r="Z175" s="173">
        <v>268.70999999999799</v>
      </c>
      <c r="AA175" s="166">
        <v>272.03649999999999</v>
      </c>
      <c r="AB175" s="171">
        <v>21.837499999999999</v>
      </c>
      <c r="AC175" s="166">
        <v>2519.1999999999998</v>
      </c>
      <c r="AD175" s="169">
        <f t="shared" si="14"/>
        <v>8.6684264845982852</v>
      </c>
    </row>
    <row r="176" spans="4:30">
      <c r="D176" s="166">
        <v>409.71999999999798</v>
      </c>
      <c r="E176" s="168" t="e">
        <f t="shared" si="10"/>
        <v>#NAME?</v>
      </c>
      <c r="F176" s="169">
        <v>409.71999999999798</v>
      </c>
      <c r="G176" s="170">
        <v>411.86</v>
      </c>
      <c r="H176" s="169">
        <v>6.4672199999999087</v>
      </c>
      <c r="I176" s="166">
        <v>1622.5999999999767</v>
      </c>
      <c r="J176" s="169">
        <f t="shared" si="13"/>
        <v>3.9857142857142867</v>
      </c>
      <c r="O176" s="166">
        <v>466.21999999999798</v>
      </c>
      <c r="P176" s="169" t="e">
        <f t="shared" si="11"/>
        <v>#NAME?</v>
      </c>
      <c r="Q176" s="171">
        <v>466.21999999999798</v>
      </c>
      <c r="R176" s="172">
        <v>466.72999999999797</v>
      </c>
      <c r="S176" s="169">
        <v>10.993400000000852</v>
      </c>
      <c r="X176" s="166">
        <v>268.71999999999798</v>
      </c>
      <c r="Y176" s="169" t="e">
        <f t="shared" si="12"/>
        <v>#NAME?</v>
      </c>
      <c r="Z176" s="173">
        <v>268.71999999999798</v>
      </c>
      <c r="AA176" s="166">
        <v>271.87200000000001</v>
      </c>
      <c r="AB176" s="171">
        <v>16.880000000000003</v>
      </c>
      <c r="AC176" s="166">
        <v>2569.9</v>
      </c>
      <c r="AD176" s="169">
        <f t="shared" si="14"/>
        <v>6.5683489629946701</v>
      </c>
    </row>
    <row r="177" spans="4:30">
      <c r="D177" s="166">
        <v>409.72999999999797</v>
      </c>
      <c r="E177" s="168" t="e">
        <f t="shared" si="10"/>
        <v>#NAME?</v>
      </c>
      <c r="F177" s="169">
        <v>409.72999999999797</v>
      </c>
      <c r="G177" s="170">
        <v>410.71</v>
      </c>
      <c r="H177" s="169">
        <v>6.9574628571432289</v>
      </c>
      <c r="I177" s="166">
        <v>1745.6000000000931</v>
      </c>
      <c r="J177" s="169">
        <f t="shared" si="13"/>
        <v>3.9857142857142862</v>
      </c>
      <c r="O177" s="166">
        <v>466.22999999999797</v>
      </c>
      <c r="P177" s="169" t="e">
        <f t="shared" si="11"/>
        <v>#NAME?</v>
      </c>
      <c r="Q177" s="171">
        <v>466.22999999999797</v>
      </c>
      <c r="R177" s="172">
        <v>466.73999999999802</v>
      </c>
      <c r="S177" s="169">
        <v>10.989200000000832</v>
      </c>
      <c r="X177" s="166">
        <v>268.72999999999797</v>
      </c>
      <c r="Y177" s="169" t="e">
        <f t="shared" si="12"/>
        <v>#NAME?</v>
      </c>
      <c r="Z177" s="173">
        <v>268.72999999999797</v>
      </c>
      <c r="AA177" s="166">
        <v>272.01909999999998</v>
      </c>
      <c r="AB177" s="171">
        <v>11.0322</v>
      </c>
      <c r="AC177" s="166">
        <v>1601.2</v>
      </c>
      <c r="AD177" s="169">
        <f t="shared" si="14"/>
        <v>6.8899575318511115</v>
      </c>
    </row>
    <row r="178" spans="4:30">
      <c r="D178" s="166">
        <v>409.73999999999802</v>
      </c>
      <c r="E178" s="168" t="e">
        <f t="shared" si="10"/>
        <v>#NAME?</v>
      </c>
      <c r="F178" s="169">
        <v>409.73999999999802</v>
      </c>
      <c r="G178" s="170">
        <v>410.64</v>
      </c>
      <c r="H178" s="169">
        <v>7.4855699999999077</v>
      </c>
      <c r="I178" s="166">
        <v>1878.0999999999767</v>
      </c>
      <c r="J178" s="169">
        <f t="shared" si="13"/>
        <v>3.9857142857142862</v>
      </c>
      <c r="O178" s="166">
        <v>466.23999999999802</v>
      </c>
      <c r="P178" s="169" t="e">
        <f t="shared" si="11"/>
        <v>#NAME?</v>
      </c>
      <c r="Q178" s="171">
        <v>466.23999999999802</v>
      </c>
      <c r="R178" s="172">
        <v>466.74999999999801</v>
      </c>
      <c r="S178" s="169">
        <v>10.985000000000836</v>
      </c>
      <c r="X178" s="166">
        <v>268.73999999999802</v>
      </c>
      <c r="Y178" s="169" t="e">
        <f t="shared" si="12"/>
        <v>#NAME?</v>
      </c>
      <c r="Z178" s="173">
        <v>268.73999999999802</v>
      </c>
      <c r="AA178" s="166">
        <v>271.98500000000001</v>
      </c>
      <c r="AB178" s="171">
        <v>10.691500000000008</v>
      </c>
      <c r="AC178" s="166">
        <v>1635.5</v>
      </c>
      <c r="AD178" s="169">
        <f t="shared" si="14"/>
        <v>6.5371446040966124</v>
      </c>
    </row>
    <row r="179" spans="4:30">
      <c r="D179" s="166">
        <v>409.74999999999801</v>
      </c>
      <c r="E179" s="168" t="e">
        <f t="shared" si="10"/>
        <v>#NAME?</v>
      </c>
      <c r="F179" s="169">
        <v>409.74999999999801</v>
      </c>
      <c r="G179" s="170">
        <v>410.73</v>
      </c>
      <c r="H179" s="169">
        <v>7.5441599999997235</v>
      </c>
      <c r="I179" s="166">
        <v>1892.7999999999302</v>
      </c>
      <c r="J179" s="169">
        <f t="shared" si="13"/>
        <v>3.9857142857142867</v>
      </c>
      <c r="O179" s="166">
        <v>466.24999999999801</v>
      </c>
      <c r="P179" s="169" t="e">
        <f t="shared" si="11"/>
        <v>#NAME?</v>
      </c>
      <c r="Q179" s="171">
        <v>466.24999999999801</v>
      </c>
      <c r="R179" s="172">
        <v>466.759999999998</v>
      </c>
      <c r="S179" s="169">
        <v>10.980800000000841</v>
      </c>
      <c r="X179" s="166">
        <v>268.74999999999801</v>
      </c>
      <c r="Y179" s="169" t="e">
        <f t="shared" si="12"/>
        <v>#NAME?</v>
      </c>
      <c r="Z179" s="173">
        <v>268.74999999999801</v>
      </c>
      <c r="AA179" s="166">
        <v>271.92500000000001</v>
      </c>
      <c r="AB179" s="171">
        <v>8.9585000000000008</v>
      </c>
      <c r="AC179" s="166">
        <v>1364.6</v>
      </c>
      <c r="AD179" s="169">
        <f t="shared" si="14"/>
        <v>6.5649274512677724</v>
      </c>
    </row>
    <row r="180" spans="4:30">
      <c r="D180" s="166">
        <v>409.759999999998</v>
      </c>
      <c r="E180" s="168" t="e">
        <f t="shared" si="10"/>
        <v>#NAME?</v>
      </c>
      <c r="F180" s="169">
        <v>409.759999999998</v>
      </c>
      <c r="G180" s="170">
        <v>410.98</v>
      </c>
      <c r="H180" s="169">
        <v>14.20747714285705</v>
      </c>
      <c r="I180" s="166">
        <v>3564.5999999999767</v>
      </c>
      <c r="J180" s="169">
        <f t="shared" si="13"/>
        <v>3.9857142857142862</v>
      </c>
      <c r="O180" s="166">
        <v>466.259999999998</v>
      </c>
      <c r="P180" s="169" t="e">
        <f t="shared" si="11"/>
        <v>#NAME?</v>
      </c>
      <c r="Q180" s="171">
        <v>466.259999999998</v>
      </c>
      <c r="R180" s="172">
        <v>466.76999999999799</v>
      </c>
      <c r="S180" s="169">
        <v>10.976600000000843</v>
      </c>
      <c r="X180" s="166">
        <v>268.759999999998</v>
      </c>
      <c r="Y180" s="169" t="e">
        <f t="shared" si="12"/>
        <v>#NAME?</v>
      </c>
      <c r="Z180" s="173">
        <v>268.759999999998</v>
      </c>
      <c r="AA180" s="166">
        <v>271.60899999999998</v>
      </c>
      <c r="AB180" s="171">
        <v>12.100499999999998</v>
      </c>
      <c r="AC180" s="166">
        <v>1820.7</v>
      </c>
      <c r="AD180" s="169">
        <f t="shared" si="14"/>
        <v>6.6460701927829948</v>
      </c>
    </row>
    <row r="181" spans="4:30">
      <c r="D181" s="166">
        <v>409.76999999999799</v>
      </c>
      <c r="E181" s="168" t="e">
        <f t="shared" si="10"/>
        <v>#NAME?</v>
      </c>
      <c r="F181" s="169">
        <v>409.76999999999799</v>
      </c>
      <c r="G181" s="170">
        <v>411.64</v>
      </c>
      <c r="H181" s="169">
        <v>14.763882857143134</v>
      </c>
      <c r="I181" s="166">
        <v>3704.2000000000698</v>
      </c>
      <c r="J181" s="169">
        <f t="shared" si="13"/>
        <v>3.9857142857142853</v>
      </c>
      <c r="O181" s="166">
        <v>466.26999999999799</v>
      </c>
      <c r="P181" s="169" t="e">
        <f t="shared" si="11"/>
        <v>#NAME?</v>
      </c>
      <c r="Q181" s="171">
        <v>466.26999999999799</v>
      </c>
      <c r="R181" s="172">
        <v>466.77999999999798</v>
      </c>
      <c r="S181" s="169">
        <v>10.972400000000848</v>
      </c>
      <c r="X181" s="166">
        <v>268.76999999999799</v>
      </c>
      <c r="Y181" s="169" t="e">
        <f t="shared" si="12"/>
        <v>#NAME?</v>
      </c>
      <c r="Z181" s="173">
        <v>268.76999999999799</v>
      </c>
      <c r="AA181" s="166">
        <v>271.28100000000001</v>
      </c>
      <c r="AB181" s="171">
        <v>19.579900000000002</v>
      </c>
      <c r="AC181" s="166">
        <v>3002.4</v>
      </c>
      <c r="AD181" s="169">
        <f t="shared" si="14"/>
        <v>6.5214162003730349</v>
      </c>
    </row>
    <row r="182" spans="4:30">
      <c r="D182" s="166">
        <v>409.77999999999798</v>
      </c>
      <c r="E182" s="168" t="e">
        <f t="shared" si="10"/>
        <v>#NAME?</v>
      </c>
      <c r="F182" s="169">
        <v>409.77999999999798</v>
      </c>
      <c r="G182" s="170">
        <v>410.16</v>
      </c>
      <c r="H182" s="169">
        <v>20.557915714285347</v>
      </c>
      <c r="I182" s="166">
        <v>5157.8999999999069</v>
      </c>
      <c r="J182" s="169">
        <f t="shared" si="13"/>
        <v>3.9857142857142862</v>
      </c>
      <c r="O182" s="166">
        <v>466.27999999999798</v>
      </c>
      <c r="P182" s="169" t="e">
        <f t="shared" si="11"/>
        <v>#NAME?</v>
      </c>
      <c r="Q182" s="171">
        <v>466.27999999999798</v>
      </c>
      <c r="R182" s="172">
        <v>466.78999999999797</v>
      </c>
      <c r="S182" s="169">
        <v>10.968200000000852</v>
      </c>
      <c r="X182" s="166">
        <v>268.77999999999798</v>
      </c>
      <c r="Y182" s="169" t="e">
        <f t="shared" si="12"/>
        <v>#NAME?</v>
      </c>
      <c r="Z182" s="173">
        <v>268.77999999999798</v>
      </c>
      <c r="AA182" s="166">
        <v>271.20499999999998</v>
      </c>
      <c r="AB182" s="171">
        <v>21.785599999999999</v>
      </c>
      <c r="AC182" s="166">
        <v>3291.2</v>
      </c>
      <c r="AD182" s="169">
        <f t="shared" si="14"/>
        <v>6.6193485658726301</v>
      </c>
    </row>
    <row r="183" spans="4:30">
      <c r="D183" s="166">
        <v>409.78999999999797</v>
      </c>
      <c r="E183" s="168" t="e">
        <f t="shared" si="10"/>
        <v>#NAME?</v>
      </c>
      <c r="F183" s="169">
        <v>409.78999999999797</v>
      </c>
      <c r="G183" s="170">
        <v>411.59</v>
      </c>
      <c r="H183" s="169">
        <v>14.877475714285989</v>
      </c>
      <c r="I183" s="166">
        <v>3732.7000000000698</v>
      </c>
      <c r="J183" s="169">
        <f t="shared" si="13"/>
        <v>3.9857142857142853</v>
      </c>
      <c r="O183" s="166">
        <v>466.28999999999797</v>
      </c>
      <c r="P183" s="169" t="e">
        <f t="shared" si="11"/>
        <v>#NAME?</v>
      </c>
      <c r="Q183" s="171">
        <v>466.28999999999797</v>
      </c>
      <c r="R183" s="172">
        <v>466.79999999999802</v>
      </c>
      <c r="S183" s="169">
        <v>10.964000000000832</v>
      </c>
      <c r="X183" s="166">
        <v>268.78999999999797</v>
      </c>
      <c r="Y183" s="169" t="e">
        <f t="shared" si="12"/>
        <v>#NAME?</v>
      </c>
      <c r="Z183" s="173">
        <v>268.78999999999797</v>
      </c>
      <c r="AA183" s="166">
        <v>271.834</v>
      </c>
      <c r="AB183" s="171">
        <v>28.09269999999999</v>
      </c>
      <c r="AC183" s="166">
        <v>4268.8</v>
      </c>
      <c r="AD183" s="169">
        <f t="shared" si="14"/>
        <v>6.5809360944527713</v>
      </c>
    </row>
    <row r="184" spans="4:30">
      <c r="D184" s="166">
        <v>409.79999999999802</v>
      </c>
      <c r="E184" s="168" t="e">
        <f t="shared" si="10"/>
        <v>#NAME?</v>
      </c>
      <c r="F184" s="169">
        <v>409.79999999999802</v>
      </c>
      <c r="G184" s="170">
        <v>411.61</v>
      </c>
      <c r="H184" s="169">
        <v>13.311488571428756</v>
      </c>
      <c r="I184" s="166">
        <v>3339.8000000000466</v>
      </c>
      <c r="J184" s="169">
        <f t="shared" si="13"/>
        <v>3.9857142857142853</v>
      </c>
      <c r="O184" s="166">
        <v>466.29999999999802</v>
      </c>
      <c r="P184" s="169" t="e">
        <f t="shared" si="11"/>
        <v>#NAME?</v>
      </c>
      <c r="Q184" s="171">
        <v>466.29999999999802</v>
      </c>
      <c r="R184" s="172">
        <v>466.80999999999801</v>
      </c>
      <c r="S184" s="169">
        <v>10.959800000000836</v>
      </c>
      <c r="X184" s="166">
        <v>268.79999999999802</v>
      </c>
      <c r="Y184" s="169" t="e">
        <f t="shared" si="12"/>
        <v>#NAME?</v>
      </c>
      <c r="Z184" s="173">
        <v>268.79999999999802</v>
      </c>
      <c r="AA184" s="166">
        <v>271.03300000000002</v>
      </c>
      <c r="AB184" s="171">
        <v>19.949099999999984</v>
      </c>
      <c r="AC184" s="166">
        <v>2990.7</v>
      </c>
      <c r="AD184" s="169">
        <f t="shared" si="14"/>
        <v>6.6703781723342317</v>
      </c>
    </row>
    <row r="185" spans="4:30">
      <c r="D185" s="166">
        <v>409.80999999999801</v>
      </c>
      <c r="E185" s="168" t="e">
        <f t="shared" si="10"/>
        <v>#NAME?</v>
      </c>
      <c r="F185" s="169">
        <v>409.80999999999801</v>
      </c>
      <c r="G185" s="170">
        <v>410.7</v>
      </c>
      <c r="H185" s="169">
        <v>8.0611071428571428</v>
      </c>
      <c r="I185" s="166">
        <v>2022.5</v>
      </c>
      <c r="J185" s="169">
        <f t="shared" si="13"/>
        <v>3.9857142857142862</v>
      </c>
      <c r="O185" s="166">
        <v>466.30999999999801</v>
      </c>
      <c r="P185" s="169" t="e">
        <f t="shared" si="11"/>
        <v>#NAME?</v>
      </c>
      <c r="Q185" s="171">
        <v>466.30999999999801</v>
      </c>
      <c r="R185" s="172">
        <v>466.819999999998</v>
      </c>
      <c r="S185" s="169">
        <v>10.955600000000839</v>
      </c>
      <c r="X185" s="166">
        <v>268.80999999999801</v>
      </c>
      <c r="Y185" s="169" t="e">
        <f t="shared" si="12"/>
        <v>#NAME?</v>
      </c>
      <c r="Z185" s="173">
        <v>268.80999999999801</v>
      </c>
      <c r="AA185" s="166">
        <v>271.31099999999998</v>
      </c>
      <c r="AB185" s="171">
        <v>21.506399999999985</v>
      </c>
      <c r="AC185" s="166">
        <v>3235.2</v>
      </c>
      <c r="AD185" s="169">
        <f t="shared" si="14"/>
        <v>6.6476261127596397</v>
      </c>
    </row>
    <row r="186" spans="4:30">
      <c r="D186" s="166">
        <v>409.819999999998</v>
      </c>
      <c r="E186" s="168" t="e">
        <f t="shared" si="10"/>
        <v>#NAME?</v>
      </c>
      <c r="F186" s="169">
        <v>409.819999999998</v>
      </c>
      <c r="G186" s="170">
        <v>410.16</v>
      </c>
      <c r="H186" s="169">
        <v>10.499168571428386</v>
      </c>
      <c r="I186" s="166">
        <v>2634.1999999999534</v>
      </c>
      <c r="J186" s="169">
        <f t="shared" si="13"/>
        <v>3.9857142857142862</v>
      </c>
      <c r="O186" s="166">
        <v>466.319999999998</v>
      </c>
      <c r="P186" s="169" t="e">
        <f t="shared" si="11"/>
        <v>#NAME?</v>
      </c>
      <c r="Q186" s="171">
        <v>466.319999999998</v>
      </c>
      <c r="R186" s="172">
        <v>466.82999999999799</v>
      </c>
      <c r="S186" s="169">
        <v>10.951400000000843</v>
      </c>
      <c r="X186" s="166">
        <v>268.819999999998</v>
      </c>
      <c r="Y186" s="169" t="e">
        <f t="shared" si="12"/>
        <v>#NAME?</v>
      </c>
      <c r="Z186" s="173">
        <v>268.819999999998</v>
      </c>
      <c r="AA186" s="166">
        <v>271.37900000000002</v>
      </c>
      <c r="AB186" s="171">
        <v>13.813000000000002</v>
      </c>
      <c r="AC186" s="166">
        <v>2071.9</v>
      </c>
      <c r="AD186" s="169">
        <f t="shared" si="14"/>
        <v>6.6668275495921625</v>
      </c>
    </row>
    <row r="187" spans="4:30">
      <c r="D187" s="166">
        <v>409.82999999999799</v>
      </c>
      <c r="E187" s="168" t="e">
        <f t="shared" si="10"/>
        <v>#NAME?</v>
      </c>
      <c r="F187" s="169">
        <v>409.82999999999799</v>
      </c>
      <c r="G187" s="170">
        <v>411.59</v>
      </c>
      <c r="H187" s="169">
        <v>17.560658571428661</v>
      </c>
      <c r="I187" s="166">
        <v>4405.9000000000233</v>
      </c>
      <c r="J187" s="169">
        <f t="shared" si="13"/>
        <v>3.9857142857142853</v>
      </c>
      <c r="O187" s="166">
        <v>466.32999999999799</v>
      </c>
      <c r="P187" s="169" t="e">
        <f t="shared" si="11"/>
        <v>#NAME?</v>
      </c>
      <c r="Q187" s="171">
        <v>466.32999999999799</v>
      </c>
      <c r="R187" s="172">
        <v>466.83999999999799</v>
      </c>
      <c r="S187" s="169">
        <v>10.947200000000846</v>
      </c>
      <c r="X187" s="166">
        <v>268.82999999999799</v>
      </c>
      <c r="Y187" s="169" t="e">
        <f t="shared" si="12"/>
        <v>#NAME?</v>
      </c>
      <c r="Z187" s="173">
        <v>268.82999999999799</v>
      </c>
      <c r="AA187" s="166">
        <v>271.28899999999999</v>
      </c>
      <c r="AB187" s="171">
        <v>19.138799999999993</v>
      </c>
      <c r="AC187" s="166">
        <v>2888.5</v>
      </c>
      <c r="AD187" s="169">
        <f t="shared" si="14"/>
        <v>6.6258611736195236</v>
      </c>
    </row>
    <row r="188" spans="4:30">
      <c r="D188" s="166">
        <v>409.83999999999799</v>
      </c>
      <c r="E188" s="168" t="e">
        <f t="shared" si="10"/>
        <v>#NAME?</v>
      </c>
      <c r="F188" s="169">
        <v>409.83999999999799</v>
      </c>
      <c r="G188" s="170">
        <v>411.18</v>
      </c>
      <c r="H188" s="169">
        <v>11.354104285714561</v>
      </c>
      <c r="I188" s="166">
        <v>2848.7000000000698</v>
      </c>
      <c r="J188" s="169">
        <f t="shared" si="13"/>
        <v>3.9857142857142844</v>
      </c>
      <c r="O188" s="166">
        <v>466.33999999999799</v>
      </c>
      <c r="P188" s="169" t="e">
        <f t="shared" si="11"/>
        <v>#NAME?</v>
      </c>
      <c r="Q188" s="171">
        <v>466.33999999999799</v>
      </c>
      <c r="R188" s="172">
        <v>466.84999999999798</v>
      </c>
      <c r="S188" s="169">
        <v>10.94300000000085</v>
      </c>
      <c r="X188" s="166">
        <v>268.83999999999799</v>
      </c>
      <c r="Y188" s="169" t="e">
        <f t="shared" si="12"/>
        <v>#NAME?</v>
      </c>
      <c r="Z188" s="173">
        <v>268.83999999999799</v>
      </c>
      <c r="AA188" s="166">
        <v>271.04399999999998</v>
      </c>
      <c r="AB188" s="171">
        <v>25.325699999999983</v>
      </c>
      <c r="AC188" s="166">
        <v>3800.6</v>
      </c>
      <c r="AD188" s="169">
        <f t="shared" si="14"/>
        <v>6.6636057464610809</v>
      </c>
    </row>
    <row r="189" spans="4:30">
      <c r="D189" s="166">
        <v>409.84999999999798</v>
      </c>
      <c r="E189" s="168" t="e">
        <f t="shared" si="10"/>
        <v>#NAME?</v>
      </c>
      <c r="F189" s="169">
        <v>409.84999999999798</v>
      </c>
      <c r="G189" s="170">
        <v>410.89</v>
      </c>
      <c r="H189" s="169">
        <v>14.571771428570964</v>
      </c>
      <c r="I189" s="166">
        <v>3655.9999999998836</v>
      </c>
      <c r="J189" s="169">
        <f t="shared" si="13"/>
        <v>3.9857142857142853</v>
      </c>
      <c r="O189" s="166">
        <v>466.34999999999798</v>
      </c>
      <c r="P189" s="169" t="e">
        <f t="shared" si="11"/>
        <v>#NAME?</v>
      </c>
      <c r="Q189" s="171">
        <v>466.34999999999798</v>
      </c>
      <c r="R189" s="172">
        <v>466.85999999999802</v>
      </c>
      <c r="S189" s="169">
        <v>10.93880000000083</v>
      </c>
      <c r="X189" s="166">
        <v>268.84999999999798</v>
      </c>
      <c r="Y189" s="169" t="e">
        <f t="shared" si="12"/>
        <v>#NAME?</v>
      </c>
      <c r="Z189" s="173">
        <v>268.84999999999798</v>
      </c>
      <c r="AA189" s="166">
        <v>271.05900000000003</v>
      </c>
      <c r="AB189" s="171">
        <v>17.798399999999983</v>
      </c>
      <c r="AC189" s="166">
        <v>2691.1</v>
      </c>
      <c r="AD189" s="169">
        <f t="shared" si="14"/>
        <v>6.6138010478986224</v>
      </c>
    </row>
    <row r="190" spans="4:30">
      <c r="D190" s="166">
        <v>409.85999999999802</v>
      </c>
      <c r="E190" s="168" t="e">
        <f t="shared" si="10"/>
        <v>#NAME?</v>
      </c>
      <c r="F190" s="169">
        <v>409.85999999999802</v>
      </c>
      <c r="G190" s="170">
        <v>410.4</v>
      </c>
      <c r="H190" s="169">
        <v>21.684677142857513</v>
      </c>
      <c r="I190" s="166">
        <v>5440.6000000000931</v>
      </c>
      <c r="J190" s="169">
        <f t="shared" si="13"/>
        <v>3.9857142857142853</v>
      </c>
      <c r="O190" s="166">
        <v>466.35999999999802</v>
      </c>
      <c r="P190" s="169" t="e">
        <f t="shared" si="11"/>
        <v>#NAME?</v>
      </c>
      <c r="Q190" s="171">
        <v>466.35999999999802</v>
      </c>
      <c r="R190" s="172">
        <v>466.86999999999802</v>
      </c>
      <c r="S190" s="169">
        <v>10.934600000000835</v>
      </c>
      <c r="X190" s="166">
        <v>268.85999999999802</v>
      </c>
      <c r="Y190" s="169" t="e">
        <f t="shared" si="12"/>
        <v>#NAME?</v>
      </c>
      <c r="Z190" s="173">
        <v>268.85999999999802</v>
      </c>
      <c r="AA190" s="166">
        <v>271.00700000000001</v>
      </c>
      <c r="AB190" s="171">
        <v>19.032399999999981</v>
      </c>
      <c r="AC190" s="166">
        <v>2863</v>
      </c>
      <c r="AD190" s="169">
        <f t="shared" si="14"/>
        <v>6.6477121900104716</v>
      </c>
    </row>
    <row r="191" spans="4:30">
      <c r="D191" s="166">
        <v>409.86999999999802</v>
      </c>
      <c r="E191" s="168" t="e">
        <f t="shared" si="10"/>
        <v>#NAME?</v>
      </c>
      <c r="F191" s="169">
        <v>409.86999999999802</v>
      </c>
      <c r="G191" s="170">
        <v>410.65</v>
      </c>
      <c r="H191" s="169">
        <v>22.597007142856679</v>
      </c>
      <c r="I191" s="166">
        <v>5669.4999999998836</v>
      </c>
      <c r="J191" s="169">
        <f t="shared" si="13"/>
        <v>3.9857142857142862</v>
      </c>
      <c r="O191" s="166">
        <v>466.36999999999802</v>
      </c>
      <c r="P191" s="169" t="e">
        <f t="shared" si="11"/>
        <v>#NAME?</v>
      </c>
      <c r="Q191" s="171">
        <v>466.36999999999802</v>
      </c>
      <c r="R191" s="172">
        <v>466.87999999999801</v>
      </c>
      <c r="S191" s="169">
        <v>10.930400000000839</v>
      </c>
      <c r="X191" s="166">
        <v>268.86999999999802</v>
      </c>
      <c r="Y191" s="169" t="e">
        <f t="shared" si="12"/>
        <v>#NAME?</v>
      </c>
      <c r="Z191" s="173">
        <v>268.86999999999802</v>
      </c>
      <c r="AA191" s="166">
        <v>270.928</v>
      </c>
      <c r="AB191" s="171">
        <v>29.91119999999998</v>
      </c>
      <c r="AC191" s="166">
        <v>4475</v>
      </c>
      <c r="AD191" s="169">
        <f t="shared" si="14"/>
        <v>6.6840670391061403</v>
      </c>
    </row>
    <row r="192" spans="4:30">
      <c r="D192" s="166">
        <v>409.87999999999801</v>
      </c>
      <c r="E192" s="168" t="e">
        <f t="shared" si="10"/>
        <v>#NAME?</v>
      </c>
      <c r="F192" s="169">
        <v>409.87999999999801</v>
      </c>
      <c r="G192" s="170">
        <v>410.22</v>
      </c>
      <c r="H192" s="169">
        <v>24.127122857142947</v>
      </c>
      <c r="I192" s="166">
        <v>6053.4000000000233</v>
      </c>
      <c r="J192" s="169">
        <f t="shared" si="13"/>
        <v>3.9857142857142853</v>
      </c>
      <c r="O192" s="166">
        <v>466.37999999999801</v>
      </c>
      <c r="P192" s="169" t="e">
        <f t="shared" si="11"/>
        <v>#NAME?</v>
      </c>
      <c r="Q192" s="171">
        <v>466.37999999999801</v>
      </c>
      <c r="R192" s="172">
        <v>466.889999999998</v>
      </c>
      <c r="S192" s="169">
        <v>10.926200000000842</v>
      </c>
      <c r="X192" s="166">
        <v>268.87999999999801</v>
      </c>
      <c r="Y192" s="169" t="e">
        <f t="shared" si="12"/>
        <v>#NAME?</v>
      </c>
      <c r="Z192" s="173">
        <v>268.87999999999801</v>
      </c>
      <c r="AA192" s="166">
        <v>270.99</v>
      </c>
      <c r="AB192" s="171">
        <v>31.530399999999972</v>
      </c>
      <c r="AC192" s="166">
        <v>4678.1000000000004</v>
      </c>
      <c r="AD192" s="169">
        <f t="shared" si="14"/>
        <v>6.7400012825719777</v>
      </c>
    </row>
    <row r="193" spans="4:30">
      <c r="D193" s="166">
        <v>409.889999999998</v>
      </c>
      <c r="E193" s="168" t="e">
        <f t="shared" si="10"/>
        <v>#NAME?</v>
      </c>
      <c r="F193" s="169">
        <v>409.889999999998</v>
      </c>
      <c r="G193" s="170">
        <v>410.59</v>
      </c>
      <c r="H193" s="169">
        <v>26.214042857142854</v>
      </c>
      <c r="I193" s="166">
        <v>6577</v>
      </c>
      <c r="J193" s="169">
        <f t="shared" si="13"/>
        <v>3.9857142857142853</v>
      </c>
      <c r="O193" s="166">
        <v>466.389999999998</v>
      </c>
      <c r="P193" s="169" t="e">
        <f t="shared" si="11"/>
        <v>#NAME?</v>
      </c>
      <c r="Q193" s="171">
        <v>466.389999999998</v>
      </c>
      <c r="R193" s="172">
        <v>466.89999999999799</v>
      </c>
      <c r="S193" s="169">
        <v>10.922000000000846</v>
      </c>
      <c r="X193" s="166">
        <v>268.889999999998</v>
      </c>
      <c r="Y193" s="169" t="e">
        <f t="shared" si="12"/>
        <v>#NAME?</v>
      </c>
      <c r="Z193" s="173">
        <v>268.889999999998</v>
      </c>
      <c r="AA193" s="166">
        <v>271.20999999999998</v>
      </c>
      <c r="AB193" s="171">
        <v>35.596799999999966</v>
      </c>
      <c r="AC193" s="166">
        <v>5338.5</v>
      </c>
      <c r="AD193" s="169">
        <f t="shared" si="14"/>
        <v>6.6679404327058105</v>
      </c>
    </row>
    <row r="194" spans="4:30">
      <c r="D194" s="166">
        <v>409.89999999999799</v>
      </c>
      <c r="E194" s="168" t="e">
        <f t="shared" si="10"/>
        <v>#NAME?</v>
      </c>
      <c r="F194" s="169">
        <v>409.89999999999799</v>
      </c>
      <c r="G194" s="170">
        <v>411.7</v>
      </c>
      <c r="H194" s="169">
        <v>25.851741428571334</v>
      </c>
      <c r="I194" s="166">
        <v>6486.0999999999767</v>
      </c>
      <c r="J194" s="169">
        <f t="shared" si="13"/>
        <v>3.9857142857142853</v>
      </c>
      <c r="O194" s="166">
        <v>466.39999999999799</v>
      </c>
      <c r="P194" s="169" t="e">
        <f t="shared" si="11"/>
        <v>#NAME?</v>
      </c>
      <c r="Q194" s="171">
        <v>466.39999999999799</v>
      </c>
      <c r="R194" s="172">
        <v>466.90999999999798</v>
      </c>
      <c r="S194" s="169">
        <v>10.917800000000851</v>
      </c>
      <c r="X194" s="166">
        <v>268.89999999999799</v>
      </c>
      <c r="Y194" s="169" t="e">
        <f t="shared" si="12"/>
        <v>#NAME?</v>
      </c>
      <c r="Z194" s="173">
        <v>268.89999999999799</v>
      </c>
      <c r="AA194" s="166">
        <v>271.45</v>
      </c>
      <c r="AB194" s="171">
        <v>35.596800000000009</v>
      </c>
      <c r="AC194" s="166">
        <v>5362.1</v>
      </c>
      <c r="AD194" s="169">
        <f t="shared" si="14"/>
        <v>6.638593088528749</v>
      </c>
    </row>
    <row r="195" spans="4:30">
      <c r="D195" s="166">
        <v>409.90999999999798</v>
      </c>
      <c r="E195" s="168" t="e">
        <f t="shared" si="10"/>
        <v>#NAME?</v>
      </c>
      <c r="F195" s="169">
        <v>409.90999999999798</v>
      </c>
      <c r="G195" s="170">
        <v>411.13</v>
      </c>
      <c r="H195" s="169">
        <v>25.186525714285988</v>
      </c>
      <c r="I195" s="166">
        <v>6319.2000000000698</v>
      </c>
      <c r="J195" s="169">
        <f t="shared" si="13"/>
        <v>3.9857142857142853</v>
      </c>
      <c r="O195" s="166">
        <v>466.40999999999798</v>
      </c>
      <c r="P195" s="169" t="e">
        <f t="shared" si="11"/>
        <v>#NAME?</v>
      </c>
      <c r="Q195" s="171">
        <v>466.40999999999798</v>
      </c>
      <c r="R195" s="172">
        <v>466.91999999999803</v>
      </c>
      <c r="S195" s="169">
        <v>10.91360000000083</v>
      </c>
      <c r="X195" s="166">
        <v>268.90999999999798</v>
      </c>
      <c r="Y195" s="169" t="e">
        <f t="shared" si="12"/>
        <v>#NAME?</v>
      </c>
      <c r="Z195" s="173">
        <v>268.90999999999798</v>
      </c>
      <c r="AA195" s="166">
        <v>271.69200000000001</v>
      </c>
      <c r="AB195" s="171">
        <v>31.830300000000001</v>
      </c>
      <c r="AC195" s="166">
        <v>4839.8</v>
      </c>
      <c r="AD195" s="169">
        <f t="shared" si="14"/>
        <v>6.5767800322327377</v>
      </c>
    </row>
    <row r="196" spans="4:30">
      <c r="D196" s="166">
        <v>409.91999999999803</v>
      </c>
      <c r="E196" s="168" t="e">
        <f t="shared" ref="E196:E259" si="15">VLOOKUP(D196,THONGSOHO_BK,2,1)+(VLOOKUP(D196+1,THONGSOHO_BK,2,1)-VLOOKUP(D196,THONGSOHO_BK,2,1))/1*(D196-VLOOKUP(D196,THONGSOHO_BK,1,1))-48.55</f>
        <v>#NAME?</v>
      </c>
      <c r="F196" s="169">
        <v>409.91999999999803</v>
      </c>
      <c r="G196" s="170">
        <v>411.9</v>
      </c>
      <c r="H196" s="169">
        <v>26.427278571428566</v>
      </c>
      <c r="I196" s="166">
        <v>6630.5</v>
      </c>
      <c r="J196" s="169">
        <f t="shared" si="13"/>
        <v>3.9857142857142853</v>
      </c>
      <c r="O196" s="166">
        <v>466.41999999999803</v>
      </c>
      <c r="P196" s="169" t="e">
        <f t="shared" ref="P196:P259" si="16">VLOOKUP(O196,THONGSOHO_BTS,2,1)+(VLOOKUP(O196+5,THONGSOHO_BTS,2,1)-VLOOKUP(O196,THONGSOHO_BTS,2,1))/5*(O196-VLOOKUP(O196,THONGSOHO_BTS,1,1))-264.29</f>
        <v>#NAME?</v>
      </c>
      <c r="Q196" s="171">
        <v>466.41999999999803</v>
      </c>
      <c r="R196" s="172">
        <v>466.92999999999802</v>
      </c>
      <c r="S196" s="169">
        <v>10.909400000000833</v>
      </c>
      <c r="X196" s="166">
        <v>268.91999999999803</v>
      </c>
      <c r="Y196" s="169" t="e">
        <f t="shared" ref="Y196:Y259" si="17">VLOOKUP(X196,THONGSOHO_SP3,2,1)+(VLOOKUP(X196+2,THONGSOHO_SP3,2,1)-VLOOKUP(X196,THONGSOHO_SP3,2,1))/2*(X196-VLOOKUP(X196,THONGSOHO_SP3,1,1))-156.13</f>
        <v>#NAME?</v>
      </c>
      <c r="Z196" s="173">
        <v>268.91999999999803</v>
      </c>
      <c r="AA196" s="166">
        <v>271.67599999999999</v>
      </c>
      <c r="AB196" s="171">
        <v>35.083800000000011</v>
      </c>
      <c r="AC196" s="166">
        <v>5314.5</v>
      </c>
      <c r="AD196" s="169">
        <f t="shared" si="14"/>
        <v>6.6015241320914502</v>
      </c>
    </row>
    <row r="197" spans="4:30">
      <c r="D197" s="166">
        <v>409.92999999999802</v>
      </c>
      <c r="E197" s="168" t="e">
        <f t="shared" si="15"/>
        <v>#NAME?</v>
      </c>
      <c r="F197" s="169">
        <v>409.92999999999802</v>
      </c>
      <c r="G197" s="170">
        <v>411.05</v>
      </c>
      <c r="H197" s="169">
        <v>24.683927142857044</v>
      </c>
      <c r="I197" s="166">
        <v>6193.0999999999767</v>
      </c>
      <c r="J197" s="169">
        <f t="shared" ref="J197:J260" si="18">H197/I197*10^3</f>
        <v>3.9857142857142853</v>
      </c>
      <c r="O197" s="166">
        <v>466.42999999999802</v>
      </c>
      <c r="P197" s="169" t="e">
        <f t="shared" si="16"/>
        <v>#NAME?</v>
      </c>
      <c r="Q197" s="171">
        <v>466.42999999999802</v>
      </c>
      <c r="R197" s="172">
        <v>466.93999999999801</v>
      </c>
      <c r="S197" s="169">
        <v>10.905200000000837</v>
      </c>
      <c r="X197" s="166">
        <v>268.92999999999802</v>
      </c>
      <c r="Y197" s="169" t="e">
        <f t="shared" si="17"/>
        <v>#NAME?</v>
      </c>
      <c r="Z197" s="173">
        <v>268.92999999999802</v>
      </c>
      <c r="AA197" s="166">
        <v>271.37</v>
      </c>
      <c r="AB197" s="171">
        <v>35.524799999999985</v>
      </c>
      <c r="AC197" s="166">
        <v>5372.7</v>
      </c>
      <c r="AD197" s="169">
        <f t="shared" si="14"/>
        <v>6.6120944776369397</v>
      </c>
    </row>
    <row r="198" spans="4:30">
      <c r="D198" s="166">
        <v>409.93999999999801</v>
      </c>
      <c r="E198" s="168" t="e">
        <f t="shared" si="15"/>
        <v>#NAME?</v>
      </c>
      <c r="F198" s="169">
        <v>409.93999999999801</v>
      </c>
      <c r="G198" s="170">
        <v>411.08</v>
      </c>
      <c r="H198" s="169">
        <v>21.023447142857421</v>
      </c>
      <c r="I198" s="166">
        <v>5274.7000000000698</v>
      </c>
      <c r="J198" s="169">
        <f t="shared" si="18"/>
        <v>3.9857142857142862</v>
      </c>
      <c r="O198" s="166">
        <v>466.43999999999801</v>
      </c>
      <c r="P198" s="169" t="e">
        <f t="shared" si="16"/>
        <v>#NAME?</v>
      </c>
      <c r="Q198" s="171">
        <v>466.43999999999801</v>
      </c>
      <c r="R198" s="172">
        <v>466.949999999998</v>
      </c>
      <c r="S198" s="169">
        <v>10.901000000000842</v>
      </c>
      <c r="X198" s="166">
        <v>268.93999999999801</v>
      </c>
      <c r="Y198" s="169" t="e">
        <f t="shared" si="17"/>
        <v>#NAME?</v>
      </c>
      <c r="Z198" s="173">
        <v>268.93999999999801</v>
      </c>
      <c r="AA198" s="166">
        <v>271.71100000000001</v>
      </c>
      <c r="AB198" s="171">
        <v>32.527799999999999</v>
      </c>
      <c r="AC198" s="166">
        <v>4948</v>
      </c>
      <c r="AD198" s="169">
        <f t="shared" ref="AD198:AD261" si="19">AB198/AC198*10^3</f>
        <v>6.5739288601455135</v>
      </c>
    </row>
    <row r="199" spans="4:30">
      <c r="D199" s="166">
        <v>409.949999999998</v>
      </c>
      <c r="E199" s="168" t="e">
        <f t="shared" si="15"/>
        <v>#NAME?</v>
      </c>
      <c r="F199" s="169">
        <v>409.949999999998</v>
      </c>
      <c r="G199" s="170">
        <v>411.58</v>
      </c>
      <c r="H199" s="169">
        <v>26.328831428571146</v>
      </c>
      <c r="I199" s="166">
        <v>6605.7999999999302</v>
      </c>
      <c r="J199" s="169">
        <f t="shared" si="18"/>
        <v>3.9857142857142853</v>
      </c>
      <c r="O199" s="166">
        <v>466.449999999998</v>
      </c>
      <c r="P199" s="169" t="e">
        <f t="shared" si="16"/>
        <v>#NAME?</v>
      </c>
      <c r="Q199" s="171">
        <v>466.449999999998</v>
      </c>
      <c r="R199" s="172">
        <v>466.95999999999799</v>
      </c>
      <c r="S199" s="169">
        <v>10.896800000000844</v>
      </c>
      <c r="X199" s="166">
        <v>268.949999999998</v>
      </c>
      <c r="Y199" s="169" t="e">
        <f t="shared" si="17"/>
        <v>#NAME?</v>
      </c>
      <c r="Z199" s="173">
        <v>268.949999999998</v>
      </c>
      <c r="AA199" s="166">
        <v>271.47699999999998</v>
      </c>
      <c r="AB199" s="171">
        <v>31.332600000000006</v>
      </c>
      <c r="AC199" s="166">
        <v>4724.8</v>
      </c>
      <c r="AD199" s="169">
        <f t="shared" si="19"/>
        <v>6.6315187944463263</v>
      </c>
    </row>
    <row r="200" spans="4:30">
      <c r="D200" s="166">
        <v>409.95999999999799</v>
      </c>
      <c r="E200" s="168" t="e">
        <f t="shared" si="15"/>
        <v>#NAME?</v>
      </c>
      <c r="F200" s="169">
        <v>409.95999999999799</v>
      </c>
      <c r="G200" s="170">
        <v>410.68</v>
      </c>
      <c r="H200" s="169">
        <v>24.539245714285894</v>
      </c>
      <c r="I200" s="166">
        <v>6156.8000000000466</v>
      </c>
      <c r="J200" s="169">
        <f t="shared" si="18"/>
        <v>3.9857142857142853</v>
      </c>
      <c r="O200" s="166">
        <v>466.45999999999799</v>
      </c>
      <c r="P200" s="169" t="e">
        <f t="shared" si="16"/>
        <v>#NAME?</v>
      </c>
      <c r="Q200" s="171">
        <v>466.45999999999799</v>
      </c>
      <c r="R200" s="172">
        <v>466.96999999999798</v>
      </c>
      <c r="S200" s="169">
        <v>10.892600000000849</v>
      </c>
      <c r="X200" s="166">
        <v>268.95999999999799</v>
      </c>
      <c r="Y200" s="169" t="e">
        <f t="shared" si="17"/>
        <v>#NAME?</v>
      </c>
      <c r="Z200" s="173">
        <v>268.95999999999799</v>
      </c>
      <c r="AA200" s="166">
        <v>271.262</v>
      </c>
      <c r="AB200" s="171">
        <v>35.308799999999991</v>
      </c>
      <c r="AC200" s="166">
        <v>5335.5</v>
      </c>
      <c r="AD200" s="169">
        <f t="shared" si="19"/>
        <v>6.6177115546809091</v>
      </c>
    </row>
    <row r="201" spans="4:30">
      <c r="D201" s="166">
        <v>409.96999999999798</v>
      </c>
      <c r="E201" s="168" t="e">
        <f t="shared" si="15"/>
        <v>#NAME?</v>
      </c>
      <c r="F201" s="169">
        <v>409.96999999999798</v>
      </c>
      <c r="G201" s="170">
        <v>411.1</v>
      </c>
      <c r="H201" s="169">
        <v>20.56389428571438</v>
      </c>
      <c r="I201" s="166">
        <v>5159.4000000000233</v>
      </c>
      <c r="J201" s="169">
        <f t="shared" si="18"/>
        <v>3.9857142857142862</v>
      </c>
      <c r="O201" s="166">
        <v>466.46999999999798</v>
      </c>
      <c r="P201" s="169" t="e">
        <f t="shared" si="16"/>
        <v>#NAME?</v>
      </c>
      <c r="Q201" s="171">
        <v>466.46999999999798</v>
      </c>
      <c r="R201" s="172">
        <v>466.97999999999797</v>
      </c>
      <c r="S201" s="169">
        <v>10.888400000000853</v>
      </c>
      <c r="X201" s="166">
        <v>268.96999999999798</v>
      </c>
      <c r="Y201" s="169" t="e">
        <f t="shared" si="17"/>
        <v>#NAME?</v>
      </c>
      <c r="Z201" s="173">
        <v>268.96999999999798</v>
      </c>
      <c r="AA201" s="166">
        <v>271.54599999999999</v>
      </c>
      <c r="AB201" s="171">
        <v>35.596799999999966</v>
      </c>
      <c r="AC201" s="166">
        <v>5409.1</v>
      </c>
      <c r="AD201" s="169">
        <f t="shared" si="19"/>
        <v>6.5809099480505013</v>
      </c>
    </row>
    <row r="202" spans="4:30">
      <c r="D202" s="166">
        <v>409.97999999999797</v>
      </c>
      <c r="E202" s="168" t="e">
        <f t="shared" si="15"/>
        <v>#NAME?</v>
      </c>
      <c r="F202" s="169">
        <v>409.97999999999797</v>
      </c>
      <c r="G202" s="170">
        <v>411.6</v>
      </c>
      <c r="H202" s="169">
        <v>22.178108571428663</v>
      </c>
      <c r="I202" s="166">
        <v>5564.4000000000233</v>
      </c>
      <c r="J202" s="169">
        <f t="shared" si="18"/>
        <v>3.9857142857142853</v>
      </c>
      <c r="O202" s="166">
        <v>466.47999999999797</v>
      </c>
      <c r="P202" s="169" t="e">
        <f t="shared" si="16"/>
        <v>#NAME?</v>
      </c>
      <c r="Q202" s="171">
        <v>466.47999999999797</v>
      </c>
      <c r="R202" s="172">
        <v>466.98999999999802</v>
      </c>
      <c r="S202" s="169">
        <v>10.884200000000833</v>
      </c>
      <c r="X202" s="166">
        <v>268.97999999999797</v>
      </c>
      <c r="Y202" s="169" t="e">
        <f t="shared" si="17"/>
        <v>#NAME?</v>
      </c>
      <c r="Z202" s="173">
        <v>268.97999999999797</v>
      </c>
      <c r="AA202" s="166">
        <v>271.36399999999998</v>
      </c>
      <c r="AB202" s="171">
        <v>32.148099999999971</v>
      </c>
      <c r="AC202" s="166">
        <v>4844.8</v>
      </c>
      <c r="AD202" s="169">
        <f t="shared" si="19"/>
        <v>6.6355886723910116</v>
      </c>
    </row>
    <row r="203" spans="4:30">
      <c r="D203" s="166">
        <v>409.98999999999802</v>
      </c>
      <c r="E203" s="168" t="e">
        <f t="shared" si="15"/>
        <v>#NAME?</v>
      </c>
      <c r="F203" s="169">
        <v>409.98999999999802</v>
      </c>
      <c r="G203" s="170">
        <v>411.34</v>
      </c>
      <c r="H203" s="169">
        <v>23.538831428571157</v>
      </c>
      <c r="I203" s="166">
        <v>5905.7999999999302</v>
      </c>
      <c r="J203" s="169">
        <f t="shared" si="18"/>
        <v>3.9857142857142867</v>
      </c>
      <c r="O203" s="166">
        <v>466.48999999999802</v>
      </c>
      <c r="P203" s="169" t="e">
        <f t="shared" si="16"/>
        <v>#NAME?</v>
      </c>
      <c r="Q203" s="171">
        <v>466.48999999999802</v>
      </c>
      <c r="R203" s="172">
        <v>466.99999999999801</v>
      </c>
      <c r="S203" s="169">
        <v>10.880000000000836</v>
      </c>
      <c r="X203" s="166">
        <v>268.98999999999802</v>
      </c>
      <c r="Y203" s="169" t="e">
        <f t="shared" si="17"/>
        <v>#NAME?</v>
      </c>
      <c r="Z203" s="173">
        <v>268.98999999999802</v>
      </c>
      <c r="AA203" s="166">
        <v>271.63499999999999</v>
      </c>
      <c r="AB203" s="171">
        <v>29.290800000000004</v>
      </c>
      <c r="AC203" s="166">
        <v>4431.3999999999996</v>
      </c>
      <c r="AD203" s="169">
        <f t="shared" si="19"/>
        <v>6.6098298506115469</v>
      </c>
    </row>
    <row r="204" spans="4:30">
      <c r="D204" s="166">
        <v>409.99999999999801</v>
      </c>
      <c r="E204" s="168" t="e">
        <f t="shared" si="15"/>
        <v>#NAME?</v>
      </c>
      <c r="F204" s="169">
        <v>409.99999999999801</v>
      </c>
      <c r="G204" s="170">
        <v>411.71</v>
      </c>
      <c r="H204" s="169">
        <v>26.550038571428292</v>
      </c>
      <c r="I204" s="166">
        <v>6661.2999999999302</v>
      </c>
      <c r="J204" s="169">
        <f t="shared" si="18"/>
        <v>3.9857142857142853</v>
      </c>
      <c r="O204" s="166">
        <v>466.49999999999801</v>
      </c>
      <c r="P204" s="169" t="e">
        <f t="shared" si="16"/>
        <v>#NAME?</v>
      </c>
      <c r="Q204" s="171">
        <v>466.49999999999801</v>
      </c>
      <c r="R204" s="172">
        <v>467.009999999998</v>
      </c>
      <c r="S204" s="169">
        <v>10.87740000000052</v>
      </c>
      <c r="X204" s="166">
        <v>268.99999999999801</v>
      </c>
      <c r="Y204" s="169" t="e">
        <f t="shared" si="17"/>
        <v>#NAME?</v>
      </c>
      <c r="Z204" s="173">
        <v>268.99999999999801</v>
      </c>
      <c r="AA204" s="166">
        <v>271.70999999999998</v>
      </c>
      <c r="AB204" s="171">
        <v>31.666300000000007</v>
      </c>
      <c r="AC204" s="166">
        <v>4818.8</v>
      </c>
      <c r="AD204" s="169">
        <f t="shared" si="19"/>
        <v>6.5714078193741194</v>
      </c>
    </row>
    <row r="205" spans="4:30">
      <c r="D205" s="166">
        <v>410.009999999998</v>
      </c>
      <c r="E205" s="168" t="e">
        <f t="shared" si="15"/>
        <v>#NAME?</v>
      </c>
      <c r="F205" s="169">
        <v>410.009999999998</v>
      </c>
      <c r="G205" s="170">
        <v>411.64</v>
      </c>
      <c r="H205" s="169">
        <v>24.652440000000279</v>
      </c>
      <c r="I205" s="166">
        <v>6185.2000000000698</v>
      </c>
      <c r="J205" s="169">
        <f t="shared" si="18"/>
        <v>3.9857142857142862</v>
      </c>
      <c r="O205" s="166">
        <v>466.509999999998</v>
      </c>
      <c r="P205" s="169" t="e">
        <f t="shared" si="16"/>
        <v>#NAME?</v>
      </c>
      <c r="Q205" s="171">
        <v>466.509999999998</v>
      </c>
      <c r="R205" s="172">
        <v>467.01999999999799</v>
      </c>
      <c r="S205" s="169">
        <v>10.874800000000523</v>
      </c>
      <c r="X205" s="166">
        <v>269.009999999998</v>
      </c>
      <c r="Y205" s="169" t="e">
        <f t="shared" si="17"/>
        <v>#NAME?</v>
      </c>
      <c r="Z205" s="173">
        <v>269.009999999998</v>
      </c>
      <c r="AA205" s="166">
        <v>271.56299999999999</v>
      </c>
      <c r="AB205" s="171">
        <v>35.596800000000009</v>
      </c>
      <c r="AC205" s="166">
        <v>5414.2</v>
      </c>
      <c r="AD205" s="169">
        <f t="shared" si="19"/>
        <v>6.5747109452920114</v>
      </c>
    </row>
    <row r="206" spans="4:30">
      <c r="D206" s="166">
        <v>410.01999999999799</v>
      </c>
      <c r="E206" s="168" t="e">
        <f t="shared" si="15"/>
        <v>#NAME?</v>
      </c>
      <c r="F206" s="169">
        <v>410.01999999999799</v>
      </c>
      <c r="G206" s="170">
        <v>411.63</v>
      </c>
      <c r="H206" s="169">
        <v>26.478295714285437</v>
      </c>
      <c r="I206" s="166">
        <v>6643.2999999999302</v>
      </c>
      <c r="J206" s="169">
        <f t="shared" si="18"/>
        <v>3.9857142857142862</v>
      </c>
      <c r="O206" s="166">
        <v>466.51999999999799</v>
      </c>
      <c r="P206" s="169" t="e">
        <f t="shared" si="16"/>
        <v>#NAME?</v>
      </c>
      <c r="Q206" s="171">
        <v>466.51999999999799</v>
      </c>
      <c r="R206" s="172">
        <v>467.02999999999798</v>
      </c>
      <c r="S206" s="169">
        <v>10.872200000000525</v>
      </c>
      <c r="X206" s="166">
        <v>269.01999999999799</v>
      </c>
      <c r="Y206" s="169" t="e">
        <f t="shared" si="17"/>
        <v>#NAME?</v>
      </c>
      <c r="Z206" s="173">
        <v>269.01999999999799</v>
      </c>
      <c r="AA206" s="166">
        <v>271.642</v>
      </c>
      <c r="AB206" s="171">
        <v>33.74280000000001</v>
      </c>
      <c r="AC206" s="166">
        <v>5127.5</v>
      </c>
      <c r="AD206" s="169">
        <f t="shared" si="19"/>
        <v>6.5807508532423231</v>
      </c>
    </row>
    <row r="207" spans="4:30">
      <c r="D207" s="166">
        <v>410.02999999999798</v>
      </c>
      <c r="E207" s="168" t="e">
        <f t="shared" si="15"/>
        <v>#NAME?</v>
      </c>
      <c r="F207" s="169">
        <v>410.02999999999798</v>
      </c>
      <c r="G207" s="170">
        <v>411.56</v>
      </c>
      <c r="H207" s="169">
        <v>25.770034285714662</v>
      </c>
      <c r="I207" s="166">
        <v>6465.6000000000931</v>
      </c>
      <c r="J207" s="169">
        <f t="shared" si="18"/>
        <v>3.9857142857142862</v>
      </c>
      <c r="O207" s="166">
        <v>466.52999999999798</v>
      </c>
      <c r="P207" s="169" t="e">
        <f t="shared" si="16"/>
        <v>#NAME?</v>
      </c>
      <c r="Q207" s="171">
        <v>466.52999999999798</v>
      </c>
      <c r="R207" s="172">
        <v>467.03999999999797</v>
      </c>
      <c r="S207" s="169">
        <v>10.869600000000528</v>
      </c>
      <c r="X207" s="166">
        <v>269.02999999999798</v>
      </c>
      <c r="Y207" s="169" t="e">
        <f t="shared" si="17"/>
        <v>#NAME?</v>
      </c>
      <c r="Z207" s="173">
        <v>269.02999999999798</v>
      </c>
      <c r="AA207" s="166">
        <v>271.60500000000002</v>
      </c>
      <c r="AB207" s="171">
        <v>35.596800000000009</v>
      </c>
      <c r="AC207" s="166">
        <v>5394.9</v>
      </c>
      <c r="AD207" s="169">
        <f t="shared" si="19"/>
        <v>6.5982316632375042</v>
      </c>
    </row>
    <row r="208" spans="4:30">
      <c r="D208" s="166">
        <v>410.03999999999797</v>
      </c>
      <c r="E208" s="168" t="e">
        <f t="shared" si="15"/>
        <v>#NAME?</v>
      </c>
      <c r="F208" s="169">
        <v>410.03999999999797</v>
      </c>
      <c r="G208" s="170">
        <v>411.94</v>
      </c>
      <c r="H208" s="169">
        <v>22.304057142857147</v>
      </c>
      <c r="I208" s="166">
        <v>5596</v>
      </c>
      <c r="J208" s="169">
        <f t="shared" si="18"/>
        <v>3.9857142857142862</v>
      </c>
      <c r="O208" s="166">
        <v>466.53999999999797</v>
      </c>
      <c r="P208" s="169" t="e">
        <f t="shared" si="16"/>
        <v>#NAME?</v>
      </c>
      <c r="Q208" s="171">
        <v>466.53999999999797</v>
      </c>
      <c r="R208" s="172">
        <v>467.04999999999802</v>
      </c>
      <c r="S208" s="169">
        <v>10.867000000000514</v>
      </c>
      <c r="X208" s="166">
        <v>269.03999999999797</v>
      </c>
      <c r="Y208" s="169" t="e">
        <f t="shared" si="17"/>
        <v>#NAME?</v>
      </c>
      <c r="Z208" s="173">
        <v>269.03999999999797</v>
      </c>
      <c r="AA208" s="166">
        <v>271.63799999999998</v>
      </c>
      <c r="AB208" s="171">
        <v>35.596800000000009</v>
      </c>
      <c r="AC208" s="166">
        <v>5383.6</v>
      </c>
      <c r="AD208" s="169">
        <f t="shared" si="19"/>
        <v>6.6120811352998006</v>
      </c>
    </row>
    <row r="209" spans="4:30">
      <c r="D209" s="166">
        <v>410.04999999999802</v>
      </c>
      <c r="E209" s="168" t="e">
        <f t="shared" si="15"/>
        <v>#NAME?</v>
      </c>
      <c r="F209" s="169">
        <v>410.04999999999802</v>
      </c>
      <c r="G209" s="170">
        <v>410.9</v>
      </c>
      <c r="H209" s="169">
        <v>18.87235714285714</v>
      </c>
      <c r="I209" s="166">
        <v>4735</v>
      </c>
      <c r="J209" s="169">
        <f t="shared" si="18"/>
        <v>3.9857142857142853</v>
      </c>
      <c r="O209" s="166">
        <v>466.54999999999802</v>
      </c>
      <c r="P209" s="169" t="e">
        <f t="shared" si="16"/>
        <v>#NAME?</v>
      </c>
      <c r="Q209" s="171">
        <v>466.54999999999802</v>
      </c>
      <c r="R209" s="172">
        <v>467.05999999999801</v>
      </c>
      <c r="S209" s="169">
        <v>10.864400000000517</v>
      </c>
      <c r="X209" s="166">
        <v>269.04999999999802</v>
      </c>
      <c r="Y209" s="169" t="e">
        <f t="shared" si="17"/>
        <v>#NAME?</v>
      </c>
      <c r="Z209" s="173">
        <v>269.04999999999802</v>
      </c>
      <c r="AA209" s="166">
        <v>271.767</v>
      </c>
      <c r="AB209" s="171">
        <v>30.525200000000005</v>
      </c>
      <c r="AC209" s="166">
        <v>4608</v>
      </c>
      <c r="AD209" s="169">
        <f t="shared" si="19"/>
        <v>6.624392361111112</v>
      </c>
    </row>
    <row r="210" spans="4:30">
      <c r="D210" s="166">
        <v>410.05999999999801</v>
      </c>
      <c r="E210" s="168" t="e">
        <f t="shared" si="15"/>
        <v>#NAME?</v>
      </c>
      <c r="F210" s="169">
        <v>410.05999999999801</v>
      </c>
      <c r="G210" s="170">
        <v>409.49</v>
      </c>
      <c r="H210" s="169">
        <v>26.373869999999908</v>
      </c>
      <c r="I210" s="166">
        <v>6617.0999999999767</v>
      </c>
      <c r="J210" s="169">
        <f t="shared" si="18"/>
        <v>3.9857142857142862</v>
      </c>
      <c r="O210" s="166">
        <v>466.55999999999801</v>
      </c>
      <c r="P210" s="169" t="e">
        <f t="shared" si="16"/>
        <v>#NAME?</v>
      </c>
      <c r="Q210" s="171">
        <v>466.55999999999801</v>
      </c>
      <c r="R210" s="172">
        <v>467.069999999998</v>
      </c>
      <c r="S210" s="169">
        <v>10.861800000000519</v>
      </c>
      <c r="X210" s="166">
        <v>269.05999999999801</v>
      </c>
      <c r="Y210" s="169" t="e">
        <f t="shared" si="17"/>
        <v>#NAME?</v>
      </c>
      <c r="Z210" s="173">
        <v>269.05999999999801</v>
      </c>
      <c r="AA210" s="166">
        <v>271.86099999999999</v>
      </c>
      <c r="AB210" s="171">
        <v>24.092800000000004</v>
      </c>
      <c r="AC210" s="166">
        <v>3668.6</v>
      </c>
      <c r="AD210" s="169">
        <f t="shared" si="19"/>
        <v>6.5673008777190223</v>
      </c>
    </row>
    <row r="211" spans="4:30">
      <c r="D211" s="166">
        <v>410.069999999998</v>
      </c>
      <c r="E211" s="168" t="e">
        <f t="shared" si="15"/>
        <v>#NAME?</v>
      </c>
      <c r="F211" s="169">
        <v>410.069999999998</v>
      </c>
      <c r="G211" s="170">
        <v>409.61</v>
      </c>
      <c r="H211" s="169">
        <v>21.165338571428759</v>
      </c>
      <c r="I211" s="166">
        <v>5310.3000000000466</v>
      </c>
      <c r="J211" s="169">
        <f t="shared" si="18"/>
        <v>3.9857142857142862</v>
      </c>
      <c r="O211" s="166">
        <v>466.569999999998</v>
      </c>
      <c r="P211" s="169" t="e">
        <f t="shared" si="16"/>
        <v>#NAME?</v>
      </c>
      <c r="Q211" s="171">
        <v>466.569999999998</v>
      </c>
      <c r="R211" s="172">
        <v>467.07999999999799</v>
      </c>
      <c r="S211" s="169">
        <v>10.859200000000522</v>
      </c>
      <c r="X211" s="166">
        <v>269.069999999998</v>
      </c>
      <c r="Y211" s="169" t="e">
        <f t="shared" si="17"/>
        <v>#NAME?</v>
      </c>
      <c r="Z211" s="173">
        <v>269.069999999998</v>
      </c>
      <c r="AA211" s="166">
        <v>271.77199999999999</v>
      </c>
      <c r="AB211" s="171">
        <v>35.596800000000009</v>
      </c>
      <c r="AC211" s="166">
        <v>5393.7</v>
      </c>
      <c r="AD211" s="169">
        <f t="shared" si="19"/>
        <v>6.5996996495911917</v>
      </c>
    </row>
    <row r="212" spans="4:30">
      <c r="D212" s="166">
        <v>410.07999999999799</v>
      </c>
      <c r="E212" s="168" t="e">
        <f t="shared" si="15"/>
        <v>#NAME?</v>
      </c>
      <c r="F212" s="169">
        <v>410.07999999999799</v>
      </c>
      <c r="G212" s="170">
        <v>410.13</v>
      </c>
      <c r="H212" s="169">
        <v>19.662724285714003</v>
      </c>
      <c r="I212" s="166">
        <v>4933.2999999999302</v>
      </c>
      <c r="J212" s="169">
        <f t="shared" si="18"/>
        <v>3.9857142857142853</v>
      </c>
      <c r="O212" s="166">
        <v>466.57999999999799</v>
      </c>
      <c r="P212" s="169" t="e">
        <f t="shared" si="16"/>
        <v>#NAME?</v>
      </c>
      <c r="Q212" s="171">
        <v>466.57999999999799</v>
      </c>
      <c r="R212" s="172">
        <v>467.08999999999799</v>
      </c>
      <c r="S212" s="169">
        <v>10.856600000000524</v>
      </c>
      <c r="X212" s="166">
        <v>269.07999999999799</v>
      </c>
      <c r="Y212" s="169" t="e">
        <f t="shared" si="17"/>
        <v>#NAME?</v>
      </c>
      <c r="Z212" s="173">
        <v>269.07999999999799</v>
      </c>
      <c r="AA212" s="166">
        <v>271.34100000000001</v>
      </c>
      <c r="AB212" s="171">
        <v>35.596800000000009</v>
      </c>
      <c r="AC212" s="166">
        <v>5331.2</v>
      </c>
      <c r="AD212" s="169">
        <f t="shared" si="19"/>
        <v>6.6770708283313347</v>
      </c>
    </row>
    <row r="213" spans="4:30">
      <c r="D213" s="166">
        <v>410.08999999999799</v>
      </c>
      <c r="E213" s="168" t="e">
        <f t="shared" si="15"/>
        <v>#NAME?</v>
      </c>
      <c r="F213" s="169">
        <v>410.08999999999799</v>
      </c>
      <c r="G213" s="170">
        <v>411.03</v>
      </c>
      <c r="H213" s="169">
        <v>17.707332857143133</v>
      </c>
      <c r="I213" s="166">
        <v>4442.7000000000698</v>
      </c>
      <c r="J213" s="169">
        <f t="shared" si="18"/>
        <v>3.9857142857142853</v>
      </c>
      <c r="O213" s="166">
        <v>466.58999999999799</v>
      </c>
      <c r="P213" s="169" t="e">
        <f t="shared" si="16"/>
        <v>#NAME?</v>
      </c>
      <c r="Q213" s="171">
        <v>466.58999999999799</v>
      </c>
      <c r="R213" s="172">
        <v>467.09999999999798</v>
      </c>
      <c r="S213" s="169">
        <v>10.854000000000527</v>
      </c>
      <c r="X213" s="166">
        <v>269.08999999999799</v>
      </c>
      <c r="Y213" s="169" t="e">
        <f t="shared" si="17"/>
        <v>#NAME?</v>
      </c>
      <c r="Z213" s="173">
        <v>269.08999999999799</v>
      </c>
      <c r="AA213" s="166">
        <v>271.01799999999997</v>
      </c>
      <c r="AB213" s="171">
        <v>32.599800000000002</v>
      </c>
      <c r="AC213" s="166">
        <v>4904.8999999999996</v>
      </c>
      <c r="AD213" s="169">
        <f t="shared" si="19"/>
        <v>6.6463740341291366</v>
      </c>
    </row>
    <row r="214" spans="4:30">
      <c r="D214" s="166">
        <v>410.09999999999798</v>
      </c>
      <c r="E214" s="168" t="e">
        <f t="shared" si="15"/>
        <v>#NAME?</v>
      </c>
      <c r="F214" s="169">
        <v>410.09999999999798</v>
      </c>
      <c r="G214" s="170">
        <v>411.35</v>
      </c>
      <c r="H214" s="169">
        <v>19.702581428571616</v>
      </c>
      <c r="I214" s="166">
        <v>4943.3000000000466</v>
      </c>
      <c r="J214" s="169">
        <f t="shared" si="18"/>
        <v>3.9857142857142862</v>
      </c>
      <c r="O214" s="166">
        <v>466.59999999999798</v>
      </c>
      <c r="P214" s="169" t="e">
        <f t="shared" si="16"/>
        <v>#NAME?</v>
      </c>
      <c r="Q214" s="171">
        <v>466.59999999999798</v>
      </c>
      <c r="R214" s="172">
        <v>467.10999999999802</v>
      </c>
      <c r="S214" s="169">
        <v>10.851400000000515</v>
      </c>
      <c r="X214" s="166">
        <v>269.09999999999798</v>
      </c>
      <c r="Y214" s="169" t="e">
        <f t="shared" si="17"/>
        <v>#NAME?</v>
      </c>
      <c r="Z214" s="173">
        <v>269.09999999999798</v>
      </c>
      <c r="AA214" s="166">
        <v>270.60399999999998</v>
      </c>
      <c r="AB214" s="171">
        <v>30.329799999999999</v>
      </c>
      <c r="AC214" s="166">
        <v>4545.8999999999996</v>
      </c>
      <c r="AD214" s="169">
        <f t="shared" si="19"/>
        <v>6.671902153588948</v>
      </c>
    </row>
    <row r="215" spans="4:30">
      <c r="D215" s="166">
        <v>410.10999999999802</v>
      </c>
      <c r="E215" s="168" t="e">
        <f t="shared" si="15"/>
        <v>#NAME?</v>
      </c>
      <c r="F215" s="169">
        <v>410.10999999999802</v>
      </c>
      <c r="G215" s="170">
        <v>411.61</v>
      </c>
      <c r="H215" s="169">
        <v>20.165322857142488</v>
      </c>
      <c r="I215" s="166">
        <v>5059.3999999999069</v>
      </c>
      <c r="J215" s="169">
        <f t="shared" si="18"/>
        <v>3.9857142857142862</v>
      </c>
      <c r="O215" s="166">
        <v>466.60999999999802</v>
      </c>
      <c r="P215" s="169" t="e">
        <f t="shared" si="16"/>
        <v>#NAME?</v>
      </c>
      <c r="Q215" s="171">
        <v>466.60999999999802</v>
      </c>
      <c r="R215" s="172">
        <v>467.11999999999802</v>
      </c>
      <c r="S215" s="169">
        <v>10.848800000000516</v>
      </c>
      <c r="X215" s="166">
        <v>269.10999999999802</v>
      </c>
      <c r="Y215" s="169" t="e">
        <f t="shared" si="17"/>
        <v>#NAME?</v>
      </c>
      <c r="Z215" s="173">
        <v>269.10999999999802</v>
      </c>
      <c r="AA215" s="166">
        <v>270.43099999999998</v>
      </c>
      <c r="AB215" s="171">
        <v>26.875700000000002</v>
      </c>
      <c r="AC215" s="166">
        <v>4021.7</v>
      </c>
      <c r="AD215" s="169">
        <f t="shared" si="19"/>
        <v>6.6826715070741232</v>
      </c>
    </row>
    <row r="216" spans="4:30">
      <c r="D216" s="166">
        <v>410.11999999999802</v>
      </c>
      <c r="E216" s="168" t="e">
        <f t="shared" si="15"/>
        <v>#NAME?</v>
      </c>
      <c r="F216" s="169">
        <v>410.11999999999802</v>
      </c>
      <c r="G216" s="170">
        <v>410.69</v>
      </c>
      <c r="H216" s="169">
        <v>23.117142857142856</v>
      </c>
      <c r="I216" s="166">
        <v>5800</v>
      </c>
      <c r="J216" s="169">
        <f t="shared" si="18"/>
        <v>3.9857142857142853</v>
      </c>
      <c r="O216" s="166">
        <v>466.61999999999802</v>
      </c>
      <c r="P216" s="169" t="e">
        <f t="shared" si="16"/>
        <v>#NAME?</v>
      </c>
      <c r="Q216" s="171">
        <v>466.61999999999802</v>
      </c>
      <c r="R216" s="172">
        <v>467.12999999999801</v>
      </c>
      <c r="S216" s="169">
        <v>10.846200000000518</v>
      </c>
      <c r="X216" s="166">
        <v>269.11999999999802</v>
      </c>
      <c r="Y216" s="169" t="e">
        <f t="shared" si="17"/>
        <v>#NAME?</v>
      </c>
      <c r="Z216" s="173">
        <v>269.11999999999802</v>
      </c>
      <c r="AA216" s="166">
        <v>270.07799999999997</v>
      </c>
      <c r="AB216" s="171">
        <v>31.953700000000001</v>
      </c>
      <c r="AC216" s="166">
        <v>4752.5</v>
      </c>
      <c r="AD216" s="169">
        <f t="shared" si="19"/>
        <v>6.7235560231457132</v>
      </c>
    </row>
    <row r="217" spans="4:30">
      <c r="D217" s="166">
        <v>410.12999999999801</v>
      </c>
      <c r="E217" s="168" t="e">
        <f t="shared" si="15"/>
        <v>#NAME?</v>
      </c>
      <c r="F217" s="169">
        <v>410.12999999999801</v>
      </c>
      <c r="G217" s="170">
        <v>411.71</v>
      </c>
      <c r="H217" s="169">
        <v>11.4274414285718</v>
      </c>
      <c r="I217" s="166">
        <v>2867.1000000000931</v>
      </c>
      <c r="J217" s="169">
        <f t="shared" si="18"/>
        <v>3.9857142857142862</v>
      </c>
      <c r="O217" s="166">
        <v>466.62999999999801</v>
      </c>
      <c r="P217" s="169" t="e">
        <f t="shared" si="16"/>
        <v>#NAME?</v>
      </c>
      <c r="Q217" s="171">
        <v>466.62999999999801</v>
      </c>
      <c r="R217" s="172">
        <v>467.139999999998</v>
      </c>
      <c r="S217" s="169">
        <v>10.843600000000521</v>
      </c>
      <c r="X217" s="166">
        <v>269.12999999999801</v>
      </c>
      <c r="Y217" s="169" t="e">
        <f t="shared" si="17"/>
        <v>#NAME?</v>
      </c>
      <c r="Z217" s="173">
        <v>269.12999999999801</v>
      </c>
      <c r="AA217" s="166">
        <v>269.95299999999997</v>
      </c>
      <c r="AB217" s="171">
        <v>29.364900000000013</v>
      </c>
      <c r="AC217" s="166">
        <v>4374.3999999999996</v>
      </c>
      <c r="AD217" s="169">
        <f t="shared" si="19"/>
        <v>6.7128977688368723</v>
      </c>
    </row>
    <row r="218" spans="4:30">
      <c r="D218" s="166">
        <v>410.139999999998</v>
      </c>
      <c r="E218" s="168" t="e">
        <f t="shared" si="15"/>
        <v>#NAME?</v>
      </c>
      <c r="F218" s="169">
        <v>410.139999999998</v>
      </c>
      <c r="G218" s="170">
        <v>411.43</v>
      </c>
      <c r="H218" s="169">
        <v>15.181585714285251</v>
      </c>
      <c r="I218" s="166">
        <v>3808.9999999998836</v>
      </c>
      <c r="J218" s="169">
        <f t="shared" si="18"/>
        <v>3.9857142857142862</v>
      </c>
      <c r="O218" s="166">
        <v>466.639999999998</v>
      </c>
      <c r="P218" s="169" t="e">
        <f t="shared" si="16"/>
        <v>#NAME?</v>
      </c>
      <c r="Q218" s="171">
        <v>466.639999999998</v>
      </c>
      <c r="R218" s="172">
        <v>467.14999999999799</v>
      </c>
      <c r="S218" s="169">
        <v>10.841000000000523</v>
      </c>
      <c r="X218" s="166">
        <v>269.139999999998</v>
      </c>
      <c r="Y218" s="169" t="e">
        <f t="shared" si="17"/>
        <v>#NAME?</v>
      </c>
      <c r="Z218" s="173">
        <v>269.139999999998</v>
      </c>
      <c r="AA218" s="166">
        <v>270.07499999999999</v>
      </c>
      <c r="AB218" s="171">
        <v>16.320800000000006</v>
      </c>
      <c r="AC218" s="166">
        <v>2455.4</v>
      </c>
      <c r="AD218" s="169">
        <f t="shared" si="19"/>
        <v>6.6469007086421783</v>
      </c>
    </row>
    <row r="219" spans="4:30">
      <c r="D219" s="166">
        <v>410.14999999999799</v>
      </c>
      <c r="E219" s="168" t="e">
        <f t="shared" si="15"/>
        <v>#NAME?</v>
      </c>
      <c r="F219" s="169">
        <v>410.14999999999799</v>
      </c>
      <c r="G219" s="170">
        <v>411.38</v>
      </c>
      <c r="H219" s="169">
        <v>12.413905714286086</v>
      </c>
      <c r="I219" s="166">
        <v>3114.6000000000931</v>
      </c>
      <c r="J219" s="169">
        <f t="shared" si="18"/>
        <v>3.9857142857142862</v>
      </c>
      <c r="O219" s="166">
        <v>466.64999999999799</v>
      </c>
      <c r="P219" s="169" t="e">
        <f t="shared" si="16"/>
        <v>#NAME?</v>
      </c>
      <c r="Q219" s="171">
        <v>466.64999999999799</v>
      </c>
      <c r="R219" s="172">
        <v>467.15999999999798</v>
      </c>
      <c r="S219" s="169">
        <v>10.838400000000526</v>
      </c>
      <c r="X219" s="166">
        <v>269.14999999999799</v>
      </c>
      <c r="Y219" s="169" t="e">
        <f t="shared" si="17"/>
        <v>#NAME?</v>
      </c>
      <c r="Z219" s="173">
        <v>269.14999999999799</v>
      </c>
      <c r="AA219" s="166">
        <v>270.24599999999998</v>
      </c>
      <c r="AB219" s="171">
        <v>15.663000000000004</v>
      </c>
      <c r="AC219" s="166">
        <v>2373.8000000000002</v>
      </c>
      <c r="AD219" s="169">
        <f t="shared" si="19"/>
        <v>6.5982812368354553</v>
      </c>
    </row>
    <row r="220" spans="4:30">
      <c r="D220" s="166">
        <v>410.15999999999798</v>
      </c>
      <c r="E220" s="168" t="e">
        <f t="shared" si="15"/>
        <v>#NAME?</v>
      </c>
      <c r="F220" s="169">
        <v>410.15999999999798</v>
      </c>
      <c r="G220" s="170">
        <v>410.98</v>
      </c>
      <c r="H220" s="169">
        <v>13.28000142857152</v>
      </c>
      <c r="I220" s="166">
        <v>3331.9000000000233</v>
      </c>
      <c r="J220" s="169">
        <f t="shared" si="18"/>
        <v>3.9857142857142853</v>
      </c>
      <c r="O220" s="166">
        <v>466.65999999999798</v>
      </c>
      <c r="P220" s="169" t="e">
        <f t="shared" si="16"/>
        <v>#NAME?</v>
      </c>
      <c r="Q220" s="171">
        <v>466.65999999999798</v>
      </c>
      <c r="R220" s="172">
        <v>467.16999999999803</v>
      </c>
      <c r="S220" s="169">
        <v>10.835800000000514</v>
      </c>
      <c r="X220" s="166">
        <v>269.15999999999798</v>
      </c>
      <c r="Y220" s="169" t="e">
        <f t="shared" si="17"/>
        <v>#NAME?</v>
      </c>
      <c r="Z220" s="173">
        <v>269.15999999999798</v>
      </c>
      <c r="AA220" s="166">
        <v>270.46499999999997</v>
      </c>
      <c r="AB220" s="171">
        <v>13.391999999999999</v>
      </c>
      <c r="AC220" s="166">
        <v>2005.7</v>
      </c>
      <c r="AD220" s="169">
        <f t="shared" si="19"/>
        <v>6.6769706336939718</v>
      </c>
    </row>
    <row r="221" spans="4:30">
      <c r="D221" s="166">
        <v>410.16999999999803</v>
      </c>
      <c r="E221" s="168" t="e">
        <f t="shared" si="15"/>
        <v>#NAME?</v>
      </c>
      <c r="F221" s="169">
        <v>410.16999999999803</v>
      </c>
      <c r="G221" s="170">
        <v>409.3</v>
      </c>
      <c r="H221" s="169">
        <v>16.233017142856866</v>
      </c>
      <c r="I221" s="166">
        <v>4072.7999999999302</v>
      </c>
      <c r="J221" s="169">
        <f t="shared" si="18"/>
        <v>3.9857142857142862</v>
      </c>
      <c r="O221" s="166">
        <v>466.66999999999803</v>
      </c>
      <c r="P221" s="169" t="e">
        <f t="shared" si="16"/>
        <v>#NAME?</v>
      </c>
      <c r="Q221" s="171">
        <v>466.66999999999803</v>
      </c>
      <c r="R221" s="172">
        <v>467.17999999999802</v>
      </c>
      <c r="S221" s="169">
        <v>10.833200000000517</v>
      </c>
      <c r="X221" s="166">
        <v>269.16999999999803</v>
      </c>
      <c r="Y221" s="169" t="e">
        <f t="shared" si="17"/>
        <v>#NAME?</v>
      </c>
      <c r="Z221" s="173">
        <v>269.16999999999803</v>
      </c>
      <c r="AA221" s="166">
        <v>271.23200000000003</v>
      </c>
      <c r="AB221" s="171">
        <v>7.6416000000000004</v>
      </c>
      <c r="AC221" s="166">
        <v>1158.0999999999999</v>
      </c>
      <c r="AD221" s="169">
        <f t="shared" si="19"/>
        <v>6.5983939210776281</v>
      </c>
    </row>
    <row r="222" spans="4:30">
      <c r="D222" s="166">
        <v>410.17999999999802</v>
      </c>
      <c r="E222" s="168" t="e">
        <f t="shared" si="15"/>
        <v>#NAME?</v>
      </c>
      <c r="F222" s="169">
        <v>410.17999999999802</v>
      </c>
      <c r="G222" s="170">
        <v>409.34</v>
      </c>
      <c r="H222" s="169">
        <v>15.232204285714101</v>
      </c>
      <c r="I222" s="166">
        <v>3821.6999999999534</v>
      </c>
      <c r="J222" s="169">
        <f t="shared" si="18"/>
        <v>3.9857142857142862</v>
      </c>
      <c r="O222" s="166">
        <v>466.67999999999802</v>
      </c>
      <c r="P222" s="169" t="e">
        <f t="shared" si="16"/>
        <v>#NAME?</v>
      </c>
      <c r="Q222" s="171">
        <v>466.67999999999802</v>
      </c>
      <c r="R222" s="172">
        <v>467.18999999999801</v>
      </c>
      <c r="S222" s="169">
        <v>10.830600000000519</v>
      </c>
      <c r="X222" s="166">
        <v>269.17999999999802</v>
      </c>
      <c r="Y222" s="169" t="e">
        <f t="shared" si="17"/>
        <v>#NAME?</v>
      </c>
      <c r="Z222" s="173">
        <v>269.17999999999802</v>
      </c>
      <c r="AA222" s="166">
        <v>271.17200000000003</v>
      </c>
      <c r="AB222" s="171">
        <v>18.923500000000001</v>
      </c>
      <c r="AC222" s="166">
        <v>2871.8</v>
      </c>
      <c r="AD222" s="169">
        <f t="shared" si="19"/>
        <v>6.5894212688905913</v>
      </c>
    </row>
    <row r="223" spans="4:30">
      <c r="D223" s="166">
        <v>410.18999999999801</v>
      </c>
      <c r="E223" s="168" t="e">
        <f t="shared" si="15"/>
        <v>#NAME?</v>
      </c>
      <c r="F223" s="169">
        <v>410.18999999999801</v>
      </c>
      <c r="G223" s="170">
        <v>411.66</v>
      </c>
      <c r="H223" s="169">
        <v>0.89359714285695713</v>
      </c>
      <c r="I223" s="166">
        <v>224.19999999995343</v>
      </c>
      <c r="J223" s="169">
        <f t="shared" si="18"/>
        <v>3.9857142857142853</v>
      </c>
      <c r="O223" s="166">
        <v>466.68999999999801</v>
      </c>
      <c r="P223" s="169" t="e">
        <f t="shared" si="16"/>
        <v>#NAME?</v>
      </c>
      <c r="Q223" s="171">
        <v>466.68999999999801</v>
      </c>
      <c r="R223" s="172">
        <v>467.199999999998</v>
      </c>
      <c r="S223" s="169">
        <v>10.82800000000052</v>
      </c>
      <c r="X223" s="166">
        <v>269.18999999999801</v>
      </c>
      <c r="Y223" s="169" t="e">
        <f t="shared" si="17"/>
        <v>#NAME?</v>
      </c>
      <c r="Z223" s="173">
        <v>269.18999999999801</v>
      </c>
      <c r="AA223" s="166">
        <v>271.17599999999999</v>
      </c>
      <c r="AB223" s="171">
        <v>23.257100000000008</v>
      </c>
      <c r="AC223" s="166">
        <v>3486.4</v>
      </c>
      <c r="AD223" s="169">
        <f t="shared" si="19"/>
        <v>6.670806562643417</v>
      </c>
    </row>
    <row r="224" spans="4:30">
      <c r="D224" s="166">
        <v>410.199999999998</v>
      </c>
      <c r="E224" s="168" t="e">
        <f t="shared" si="15"/>
        <v>#NAME?</v>
      </c>
      <c r="F224" s="169">
        <v>410.199999999998</v>
      </c>
      <c r="G224" s="170">
        <v>411.56</v>
      </c>
      <c r="H224" s="169">
        <v>9.147612857143228</v>
      </c>
      <c r="I224" s="166">
        <v>2295.1000000000931</v>
      </c>
      <c r="J224" s="169">
        <f t="shared" si="18"/>
        <v>3.9857142857142862</v>
      </c>
      <c r="O224" s="166">
        <v>466.699999999998</v>
      </c>
      <c r="P224" s="169" t="e">
        <f t="shared" si="16"/>
        <v>#NAME?</v>
      </c>
      <c r="Q224" s="171">
        <v>466.699999999998</v>
      </c>
      <c r="R224" s="172">
        <v>467.20999999999799</v>
      </c>
      <c r="S224" s="169">
        <v>10.825400000000522</v>
      </c>
      <c r="X224" s="166">
        <v>269.199999999998</v>
      </c>
      <c r="Y224" s="169" t="e">
        <f t="shared" si="17"/>
        <v>#NAME?</v>
      </c>
      <c r="Z224" s="173">
        <v>269.199999999998</v>
      </c>
      <c r="AA224" s="166">
        <v>271.38299999999998</v>
      </c>
      <c r="AB224" s="171">
        <v>2.2835000000000001</v>
      </c>
      <c r="AC224" s="166">
        <v>345.6</v>
      </c>
      <c r="AD224" s="169">
        <f t="shared" si="19"/>
        <v>6.6073495370370363</v>
      </c>
    </row>
    <row r="225" spans="4:30">
      <c r="D225" s="166">
        <v>410.20999999999799</v>
      </c>
      <c r="E225" s="168" t="e">
        <f t="shared" si="15"/>
        <v>#NAME?</v>
      </c>
      <c r="F225" s="169">
        <v>410.20999999999799</v>
      </c>
      <c r="G225" s="170">
        <v>411.91</v>
      </c>
      <c r="H225" s="169">
        <v>14.950414285713819</v>
      </c>
      <c r="I225" s="166">
        <v>3750.9999999998836</v>
      </c>
      <c r="J225" s="169">
        <f t="shared" si="18"/>
        <v>3.9857142857142853</v>
      </c>
      <c r="O225" s="166">
        <v>466.70999999999799</v>
      </c>
      <c r="P225" s="169" t="e">
        <f t="shared" si="16"/>
        <v>#NAME?</v>
      </c>
      <c r="Q225" s="171">
        <v>466.70999999999799</v>
      </c>
      <c r="R225" s="172">
        <v>467.21999999999798</v>
      </c>
      <c r="S225" s="169">
        <v>10.822800000000525</v>
      </c>
      <c r="X225" s="166">
        <v>269.20999999999799</v>
      </c>
      <c r="Y225" s="169" t="e">
        <f t="shared" si="17"/>
        <v>#NAME?</v>
      </c>
      <c r="Z225" s="173">
        <v>269.20999999999799</v>
      </c>
      <c r="AA225" s="166">
        <v>271.505</v>
      </c>
      <c r="AB225" s="171">
        <v>11.787299999999998</v>
      </c>
      <c r="AC225" s="166">
        <v>1775.9</v>
      </c>
      <c r="AD225" s="169">
        <f t="shared" si="19"/>
        <v>6.6373669688608583</v>
      </c>
    </row>
    <row r="226" spans="4:30">
      <c r="D226" s="166">
        <v>410.21999999999798</v>
      </c>
      <c r="E226" s="168" t="e">
        <f t="shared" si="15"/>
        <v>#NAME?</v>
      </c>
      <c r="F226" s="169">
        <v>410.21999999999798</v>
      </c>
      <c r="G226" s="170">
        <v>410.79</v>
      </c>
      <c r="H226" s="169">
        <v>16.838048571428942</v>
      </c>
      <c r="I226" s="166">
        <v>4224.6000000000931</v>
      </c>
      <c r="J226" s="169">
        <f t="shared" si="18"/>
        <v>3.9857142857142862</v>
      </c>
      <c r="O226" s="166">
        <v>466.71999999999798</v>
      </c>
      <c r="P226" s="169" t="e">
        <f t="shared" si="16"/>
        <v>#NAME?</v>
      </c>
      <c r="Q226" s="171">
        <v>466.71999999999798</v>
      </c>
      <c r="R226" s="172">
        <v>467.22999999999797</v>
      </c>
      <c r="S226" s="169">
        <v>10.820200000000527</v>
      </c>
      <c r="X226" s="166">
        <v>269.21999999999798</v>
      </c>
      <c r="Y226" s="169" t="e">
        <f t="shared" si="17"/>
        <v>#NAME?</v>
      </c>
      <c r="Z226" s="173">
        <v>269.21999999999798</v>
      </c>
      <c r="AA226" s="166">
        <v>271.59800000000001</v>
      </c>
      <c r="AB226" s="171">
        <v>16.960099999999997</v>
      </c>
      <c r="AC226" s="166">
        <v>2587.6</v>
      </c>
      <c r="AD226" s="169">
        <f t="shared" si="19"/>
        <v>6.5543747101561287</v>
      </c>
    </row>
    <row r="227" spans="4:30">
      <c r="D227" s="166">
        <v>410.22999999999797</v>
      </c>
      <c r="E227" s="168" t="e">
        <f t="shared" si="15"/>
        <v>#NAME?</v>
      </c>
      <c r="F227" s="169">
        <v>410.22999999999797</v>
      </c>
      <c r="G227" s="170">
        <v>411.47</v>
      </c>
      <c r="H227" s="169">
        <v>8.9447400000002801</v>
      </c>
      <c r="I227" s="166">
        <v>2244.2000000000698</v>
      </c>
      <c r="J227" s="169">
        <f t="shared" si="18"/>
        <v>3.9857142857142867</v>
      </c>
      <c r="O227" s="166">
        <v>466.72999999999797</v>
      </c>
      <c r="P227" s="169" t="e">
        <f t="shared" si="16"/>
        <v>#NAME?</v>
      </c>
      <c r="Q227" s="171">
        <v>466.72999999999797</v>
      </c>
      <c r="R227" s="172">
        <v>467.23999999999802</v>
      </c>
      <c r="S227" s="169">
        <v>10.817600000000516</v>
      </c>
      <c r="X227" s="166">
        <v>269.22999999999797</v>
      </c>
      <c r="Y227" s="169" t="e">
        <f t="shared" si="17"/>
        <v>#NAME?</v>
      </c>
      <c r="Z227" s="173">
        <v>269.22999999999797</v>
      </c>
      <c r="AA227" s="166">
        <v>271.14600000000002</v>
      </c>
      <c r="AB227" s="171">
        <v>23.427099999999989</v>
      </c>
      <c r="AC227" s="166">
        <v>3518.7</v>
      </c>
      <c r="AD227" s="169">
        <f t="shared" si="19"/>
        <v>6.657885014351888</v>
      </c>
    </row>
    <row r="228" spans="4:30">
      <c r="D228" s="166">
        <v>410.23999999999802</v>
      </c>
      <c r="E228" s="168" t="e">
        <f t="shared" si="15"/>
        <v>#NAME?</v>
      </c>
      <c r="F228" s="169">
        <v>410.23999999999802</v>
      </c>
      <c r="G228" s="170">
        <v>410.65</v>
      </c>
      <c r="H228" s="169">
        <v>20.679878571428571</v>
      </c>
      <c r="I228" s="166">
        <v>5188.5</v>
      </c>
      <c r="J228" s="169">
        <f t="shared" si="18"/>
        <v>3.9857142857142853</v>
      </c>
      <c r="O228" s="166">
        <v>466.73999999999802</v>
      </c>
      <c r="P228" s="169" t="e">
        <f t="shared" si="16"/>
        <v>#NAME?</v>
      </c>
      <c r="Q228" s="171">
        <v>466.73999999999802</v>
      </c>
      <c r="R228" s="172">
        <v>467.24999999999801</v>
      </c>
      <c r="S228" s="169">
        <v>10.815000000000518</v>
      </c>
      <c r="X228" s="166">
        <v>269.23999999999802</v>
      </c>
      <c r="Y228" s="169" t="e">
        <f t="shared" si="17"/>
        <v>#NAME?</v>
      </c>
      <c r="Z228" s="173">
        <v>269.23999999999802</v>
      </c>
      <c r="AA228" s="166">
        <v>271.63</v>
      </c>
      <c r="AB228" s="171">
        <v>12.882199999999999</v>
      </c>
      <c r="AC228" s="166">
        <v>1977.3</v>
      </c>
      <c r="AD228" s="169">
        <f t="shared" si="19"/>
        <v>6.5150457694836392</v>
      </c>
    </row>
    <row r="229" spans="4:30">
      <c r="D229" s="166">
        <v>410.24999999999801</v>
      </c>
      <c r="E229" s="168" t="e">
        <f t="shared" si="15"/>
        <v>#NAME?</v>
      </c>
      <c r="F229" s="169">
        <v>410.24999999999801</v>
      </c>
      <c r="G229" s="170">
        <v>411.87</v>
      </c>
      <c r="H229" s="169">
        <v>19.771932857142673</v>
      </c>
      <c r="I229" s="166">
        <v>4960.6999999999534</v>
      </c>
      <c r="J229" s="169">
        <f t="shared" si="18"/>
        <v>3.9857142857142862</v>
      </c>
      <c r="O229" s="166">
        <v>466.74999999999801</v>
      </c>
      <c r="P229" s="169" t="e">
        <f t="shared" si="16"/>
        <v>#NAME?</v>
      </c>
      <c r="Q229" s="171">
        <v>466.74999999999801</v>
      </c>
      <c r="R229" s="172">
        <v>467.259999999998</v>
      </c>
      <c r="S229" s="169">
        <v>10.812400000000521</v>
      </c>
      <c r="X229" s="166">
        <v>269.24999999999801</v>
      </c>
      <c r="Y229" s="169" t="e">
        <f t="shared" si="17"/>
        <v>#NAME?</v>
      </c>
      <c r="Z229" s="173">
        <v>269.24999999999801</v>
      </c>
      <c r="AA229" s="166">
        <v>271.94099999999997</v>
      </c>
      <c r="AB229" s="171">
        <v>26.478200000000001</v>
      </c>
      <c r="AC229" s="166">
        <v>3997.2</v>
      </c>
      <c r="AD229" s="169">
        <f t="shared" si="19"/>
        <v>6.6241869308515966</v>
      </c>
    </row>
    <row r="230" spans="4:30">
      <c r="D230" s="166">
        <v>410.259999999998</v>
      </c>
      <c r="E230" s="168" t="e">
        <f t="shared" si="15"/>
        <v>#NAME?</v>
      </c>
      <c r="F230" s="169">
        <v>410.259999999998</v>
      </c>
      <c r="G230" s="170">
        <v>411.66</v>
      </c>
      <c r="H230" s="169">
        <v>25.184532857142667</v>
      </c>
      <c r="I230" s="166">
        <v>6318.6999999999534</v>
      </c>
      <c r="J230" s="169">
        <f t="shared" si="18"/>
        <v>3.9857142857142853</v>
      </c>
      <c r="O230" s="166">
        <v>466.759999999998</v>
      </c>
      <c r="P230" s="169" t="e">
        <f t="shared" si="16"/>
        <v>#NAME?</v>
      </c>
      <c r="Q230" s="171">
        <v>466.759999999998</v>
      </c>
      <c r="R230" s="172">
        <v>467.26999999999799</v>
      </c>
      <c r="S230" s="169">
        <v>10.809800000000523</v>
      </c>
      <c r="X230" s="166">
        <v>269.259999999998</v>
      </c>
      <c r="Y230" s="169" t="e">
        <f t="shared" si="17"/>
        <v>#NAME?</v>
      </c>
      <c r="Z230" s="173">
        <v>269.259999999998</v>
      </c>
      <c r="AA230" s="166">
        <v>271.42399999999998</v>
      </c>
      <c r="AB230" s="171">
        <v>32.246399999999994</v>
      </c>
      <c r="AC230" s="166">
        <v>4874.5</v>
      </c>
      <c r="AD230" s="169">
        <f t="shared" si="19"/>
        <v>6.6153246486819155</v>
      </c>
    </row>
    <row r="231" spans="4:30">
      <c r="D231" s="166">
        <v>410.26999999999799</v>
      </c>
      <c r="E231" s="168" t="e">
        <f t="shared" si="15"/>
        <v>#NAME?</v>
      </c>
      <c r="F231" s="169">
        <v>410.26999999999799</v>
      </c>
      <c r="G231" s="170">
        <v>411.815</v>
      </c>
      <c r="H231" s="169">
        <v>26.519747142856954</v>
      </c>
      <c r="I231" s="166">
        <v>6653.6999999999534</v>
      </c>
      <c r="J231" s="169">
        <f t="shared" si="18"/>
        <v>3.9857142857142853</v>
      </c>
      <c r="O231" s="166">
        <v>466.76999999999799</v>
      </c>
      <c r="P231" s="169" t="e">
        <f t="shared" si="16"/>
        <v>#NAME?</v>
      </c>
      <c r="Q231" s="171">
        <v>466.76999999999799</v>
      </c>
      <c r="R231" s="172">
        <v>467.27999999999798</v>
      </c>
      <c r="S231" s="169">
        <v>10.807200000000524</v>
      </c>
      <c r="X231" s="166">
        <v>269.26999999999799</v>
      </c>
      <c r="Y231" s="169" t="e">
        <f t="shared" si="17"/>
        <v>#NAME?</v>
      </c>
      <c r="Z231" s="173">
        <v>269.26999999999799</v>
      </c>
      <c r="AA231" s="166">
        <v>271.60899999999998</v>
      </c>
      <c r="AB231" s="171">
        <v>30.714599999999997</v>
      </c>
      <c r="AC231" s="166">
        <v>4644.7</v>
      </c>
      <c r="AD231" s="169">
        <f t="shared" si="19"/>
        <v>6.6128275238443814</v>
      </c>
    </row>
    <row r="232" spans="4:30">
      <c r="D232" s="166">
        <v>410.27999999999798</v>
      </c>
      <c r="E232" s="168" t="e">
        <f t="shared" si="15"/>
        <v>#NAME?</v>
      </c>
      <c r="F232" s="169">
        <v>410.27999999999798</v>
      </c>
      <c r="G232" s="170">
        <v>411.73</v>
      </c>
      <c r="H232" s="169">
        <v>26.042258571428668</v>
      </c>
      <c r="I232" s="166">
        <v>6533.9000000000233</v>
      </c>
      <c r="J232" s="169">
        <f t="shared" si="18"/>
        <v>3.9857142857142862</v>
      </c>
      <c r="O232" s="166">
        <v>466.77999999999798</v>
      </c>
      <c r="P232" s="169" t="e">
        <f t="shared" si="16"/>
        <v>#NAME?</v>
      </c>
      <c r="Q232" s="171">
        <v>466.77999999999798</v>
      </c>
      <c r="R232" s="172">
        <v>467.28999999999797</v>
      </c>
      <c r="S232" s="169">
        <v>10.804600000000526</v>
      </c>
      <c r="X232" s="166">
        <v>269.27999999999798</v>
      </c>
      <c r="Y232" s="169" t="e">
        <f t="shared" si="17"/>
        <v>#NAME?</v>
      </c>
      <c r="Z232" s="173">
        <v>269.27999999999798</v>
      </c>
      <c r="AA232" s="166">
        <v>271.57900000000001</v>
      </c>
      <c r="AB232" s="171">
        <v>35.596800000000009</v>
      </c>
      <c r="AC232" s="166">
        <v>5393.5</v>
      </c>
      <c r="AD232" s="169">
        <f t="shared" si="19"/>
        <v>6.5999443774914264</v>
      </c>
    </row>
    <row r="233" spans="4:30">
      <c r="D233" s="166">
        <v>410.28999999999797</v>
      </c>
      <c r="E233" s="168" t="e">
        <f t="shared" si="15"/>
        <v>#NAME?</v>
      </c>
      <c r="F233" s="169">
        <v>410.28999999999797</v>
      </c>
      <c r="G233" s="170">
        <v>411.2</v>
      </c>
      <c r="H233" s="169">
        <v>26.532900000000463</v>
      </c>
      <c r="I233" s="166">
        <v>6657.0000000001164</v>
      </c>
      <c r="J233" s="169">
        <f t="shared" si="18"/>
        <v>3.9857142857142862</v>
      </c>
      <c r="O233" s="166">
        <v>466.78999999999797</v>
      </c>
      <c r="P233" s="169" t="e">
        <f t="shared" si="16"/>
        <v>#NAME?</v>
      </c>
      <c r="Q233" s="171">
        <v>466.78999999999797</v>
      </c>
      <c r="R233" s="172">
        <v>467.29999999999802</v>
      </c>
      <c r="S233" s="169">
        <v>10.802000000000515</v>
      </c>
      <c r="X233" s="166">
        <v>269.28999999999797</v>
      </c>
      <c r="Y233" s="169" t="e">
        <f t="shared" si="17"/>
        <v>#NAME?</v>
      </c>
      <c r="Z233" s="173">
        <v>269.28999999999797</v>
      </c>
      <c r="AA233" s="166">
        <v>271.601</v>
      </c>
      <c r="AB233" s="171">
        <v>35.596800000000009</v>
      </c>
      <c r="AC233" s="166">
        <v>5419.4</v>
      </c>
      <c r="AD233" s="169">
        <f t="shared" si="19"/>
        <v>6.5684024061704269</v>
      </c>
    </row>
    <row r="234" spans="4:30">
      <c r="D234" s="166">
        <v>410.29999999999802</v>
      </c>
      <c r="E234" s="168" t="e">
        <f t="shared" si="15"/>
        <v>#NAME?</v>
      </c>
      <c r="F234" s="169">
        <v>410.29999999999802</v>
      </c>
      <c r="G234" s="170">
        <v>411.19</v>
      </c>
      <c r="H234" s="169">
        <v>20.534399999999533</v>
      </c>
      <c r="I234" s="166">
        <v>5151.9999999998836</v>
      </c>
      <c r="J234" s="169">
        <f t="shared" si="18"/>
        <v>3.9857142857142853</v>
      </c>
      <c r="O234" s="166">
        <v>466.79999999999802</v>
      </c>
      <c r="P234" s="169" t="e">
        <f t="shared" si="16"/>
        <v>#NAME?</v>
      </c>
      <c r="Q234" s="171">
        <v>466.79999999999802</v>
      </c>
      <c r="R234" s="172">
        <v>467.30999999999801</v>
      </c>
      <c r="S234" s="169">
        <v>10.799400000000517</v>
      </c>
      <c r="X234" s="166">
        <v>269.29999999999802</v>
      </c>
      <c r="Y234" s="169" t="e">
        <f t="shared" si="17"/>
        <v>#NAME?</v>
      </c>
      <c r="Z234" s="173">
        <v>269.29999999999802</v>
      </c>
      <c r="AA234" s="166">
        <v>271.654</v>
      </c>
      <c r="AB234" s="171">
        <v>35.596800000000009</v>
      </c>
      <c r="AC234" s="166">
        <v>5411.9</v>
      </c>
      <c r="AD234" s="169">
        <f t="shared" si="19"/>
        <v>6.5775051275892036</v>
      </c>
    </row>
    <row r="235" spans="4:30">
      <c r="D235" s="166">
        <v>410.30999999999801</v>
      </c>
      <c r="E235" s="168" t="e">
        <f t="shared" si="15"/>
        <v>#NAME?</v>
      </c>
      <c r="F235" s="169">
        <v>410.30999999999801</v>
      </c>
      <c r="G235" s="170">
        <v>411.17</v>
      </c>
      <c r="H235" s="169">
        <v>18.765540000000279</v>
      </c>
      <c r="I235" s="166">
        <v>4708.2000000000698</v>
      </c>
      <c r="J235" s="169">
        <f t="shared" si="18"/>
        <v>3.9857142857142862</v>
      </c>
      <c r="O235" s="166">
        <v>466.80999999999801</v>
      </c>
      <c r="P235" s="169" t="e">
        <f t="shared" si="16"/>
        <v>#NAME?</v>
      </c>
      <c r="Q235" s="171">
        <v>466.80999999999801</v>
      </c>
      <c r="R235" s="172">
        <v>467.319999999998</v>
      </c>
      <c r="S235" s="169">
        <v>10.79680000000052</v>
      </c>
      <c r="X235" s="166">
        <v>269.30999999999801</v>
      </c>
      <c r="Y235" s="169" t="e">
        <f t="shared" si="17"/>
        <v>#NAME?</v>
      </c>
      <c r="Z235" s="173">
        <v>269.30999999999801</v>
      </c>
      <c r="AA235" s="166">
        <v>271.39999999999998</v>
      </c>
      <c r="AB235" s="171">
        <v>31.168299999999999</v>
      </c>
      <c r="AC235" s="166">
        <v>4694.7</v>
      </c>
      <c r="AD235" s="169">
        <f t="shared" si="19"/>
        <v>6.6390397682493019</v>
      </c>
    </row>
    <row r="236" spans="4:30">
      <c r="D236" s="166">
        <v>410.319999999998</v>
      </c>
      <c r="E236" s="168" t="e">
        <f t="shared" si="15"/>
        <v>#NAME?</v>
      </c>
      <c r="F236" s="169">
        <v>410.319999999998</v>
      </c>
      <c r="G236" s="170">
        <v>411.56</v>
      </c>
      <c r="H236" s="169">
        <v>22.147019999999905</v>
      </c>
      <c r="I236" s="166">
        <v>5556.5999999999767</v>
      </c>
      <c r="J236" s="169">
        <f t="shared" si="18"/>
        <v>3.9857142857142853</v>
      </c>
      <c r="O236" s="166">
        <v>466.819999999998</v>
      </c>
      <c r="P236" s="169" t="e">
        <f t="shared" si="16"/>
        <v>#NAME?</v>
      </c>
      <c r="Q236" s="171">
        <v>466.819999999998</v>
      </c>
      <c r="R236" s="172">
        <v>467.32999999999799</v>
      </c>
      <c r="S236" s="169">
        <v>10.794200000000522</v>
      </c>
      <c r="X236" s="166">
        <v>269.319999999998</v>
      </c>
      <c r="Y236" s="169" t="e">
        <f t="shared" si="17"/>
        <v>#NAME?</v>
      </c>
      <c r="Z236" s="173">
        <v>269.319999999998</v>
      </c>
      <c r="AA236" s="166">
        <v>271.255</v>
      </c>
      <c r="AB236" s="171">
        <v>25.270199999999996</v>
      </c>
      <c r="AC236" s="166">
        <v>3802</v>
      </c>
      <c r="AD236" s="169">
        <f t="shared" si="19"/>
        <v>6.6465544450289311</v>
      </c>
    </row>
    <row r="237" spans="4:30">
      <c r="D237" s="166">
        <v>410.32999999999799</v>
      </c>
      <c r="E237" s="168" t="e">
        <f t="shared" si="15"/>
        <v>#NAME?</v>
      </c>
      <c r="F237" s="169">
        <v>410.32999999999799</v>
      </c>
      <c r="G237" s="170">
        <v>411</v>
      </c>
      <c r="H237" s="169">
        <v>25.491831428571146</v>
      </c>
      <c r="I237" s="166">
        <v>6395.7999999999302</v>
      </c>
      <c r="J237" s="169">
        <f t="shared" si="18"/>
        <v>3.9857142857142853</v>
      </c>
      <c r="O237" s="166">
        <v>466.82999999999799</v>
      </c>
      <c r="P237" s="169" t="e">
        <f t="shared" si="16"/>
        <v>#NAME?</v>
      </c>
      <c r="Q237" s="171">
        <v>466.82999999999799</v>
      </c>
      <c r="R237" s="172">
        <v>467.33999999999799</v>
      </c>
      <c r="S237" s="169">
        <v>10.791600000000525</v>
      </c>
      <c r="X237" s="166">
        <v>269.32999999999799</v>
      </c>
      <c r="Y237" s="169" t="e">
        <f t="shared" si="17"/>
        <v>#NAME?</v>
      </c>
      <c r="Z237" s="173">
        <v>269.32999999999799</v>
      </c>
      <c r="AA237" s="166">
        <v>271.03300000000002</v>
      </c>
      <c r="AB237" s="171">
        <v>30.037300000000002</v>
      </c>
      <c r="AC237" s="166">
        <v>4519.8999999999996</v>
      </c>
      <c r="AD237" s="169">
        <f t="shared" si="19"/>
        <v>6.6455673798092887</v>
      </c>
    </row>
    <row r="238" spans="4:30">
      <c r="D238" s="166">
        <v>410.33999999999799</v>
      </c>
      <c r="E238" s="168" t="e">
        <f t="shared" si="15"/>
        <v>#NAME?</v>
      </c>
      <c r="F238" s="169">
        <v>410.33999999999799</v>
      </c>
      <c r="G238" s="170">
        <v>411.63</v>
      </c>
      <c r="H238" s="169">
        <v>19.812587142857236</v>
      </c>
      <c r="I238" s="166">
        <v>4970.9000000000233</v>
      </c>
      <c r="J238" s="169">
        <f t="shared" si="18"/>
        <v>3.9857142857142862</v>
      </c>
      <c r="O238" s="166">
        <v>466.83999999999799</v>
      </c>
      <c r="P238" s="169" t="e">
        <f t="shared" si="16"/>
        <v>#NAME?</v>
      </c>
      <c r="Q238" s="171">
        <v>466.83999999999799</v>
      </c>
      <c r="R238" s="172">
        <v>467.34999999999798</v>
      </c>
      <c r="S238" s="169">
        <v>10.789000000000526</v>
      </c>
      <c r="X238" s="166">
        <v>269.33999999999799</v>
      </c>
      <c r="Y238" s="169" t="e">
        <f t="shared" si="17"/>
        <v>#NAME?</v>
      </c>
      <c r="Z238" s="173">
        <v>269.33999999999799</v>
      </c>
      <c r="AA238" s="166">
        <v>271.50409999999999</v>
      </c>
      <c r="AB238" s="171">
        <v>23.7867</v>
      </c>
      <c r="AC238" s="166">
        <v>3562.9</v>
      </c>
      <c r="AD238" s="169">
        <f t="shared" si="19"/>
        <v>6.6762188105195204</v>
      </c>
    </row>
    <row r="239" spans="4:30">
      <c r="D239" s="166">
        <v>410.34999999999798</v>
      </c>
      <c r="E239" s="168" t="e">
        <f t="shared" si="15"/>
        <v>#NAME?</v>
      </c>
      <c r="F239" s="169">
        <v>410.34999999999798</v>
      </c>
      <c r="G239" s="170">
        <v>411.48</v>
      </c>
      <c r="H239" s="169">
        <v>22.183290000000273</v>
      </c>
      <c r="I239" s="166">
        <v>5565.7000000000698</v>
      </c>
      <c r="J239" s="169">
        <f t="shared" si="18"/>
        <v>3.9857142857142853</v>
      </c>
      <c r="O239" s="166">
        <v>466.84999999999798</v>
      </c>
      <c r="P239" s="169" t="e">
        <f t="shared" si="16"/>
        <v>#NAME?</v>
      </c>
      <c r="Q239" s="171">
        <v>466.84999999999798</v>
      </c>
      <c r="R239" s="172">
        <v>467.35999999999802</v>
      </c>
      <c r="S239" s="169">
        <v>10.786400000000514</v>
      </c>
      <c r="X239" s="166">
        <v>269.34999999999798</v>
      </c>
      <c r="Y239" s="169" t="e">
        <f t="shared" si="17"/>
        <v>#NAME?</v>
      </c>
      <c r="Z239" s="173">
        <v>269.34999999999798</v>
      </c>
      <c r="AA239" s="166">
        <v>271.74650000000003</v>
      </c>
      <c r="AB239" s="171">
        <v>19.486900000000006</v>
      </c>
      <c r="AC239" s="166">
        <v>2941.3</v>
      </c>
      <c r="AD239" s="169">
        <f t="shared" si="19"/>
        <v>6.6252677387549737</v>
      </c>
    </row>
    <row r="240" spans="4:30">
      <c r="D240" s="166">
        <v>410.35999999999802</v>
      </c>
      <c r="E240" s="168" t="e">
        <f t="shared" si="15"/>
        <v>#NAME?</v>
      </c>
      <c r="F240" s="169">
        <v>410.35999999999802</v>
      </c>
      <c r="G240" s="170">
        <v>411.83</v>
      </c>
      <c r="H240" s="169">
        <v>19.767150000000001</v>
      </c>
      <c r="I240" s="166">
        <v>4959.5</v>
      </c>
      <c r="J240" s="169">
        <f t="shared" si="18"/>
        <v>3.9857142857142862</v>
      </c>
      <c r="O240" s="166">
        <v>466.85999999999802</v>
      </c>
      <c r="P240" s="169" t="e">
        <f t="shared" si="16"/>
        <v>#NAME?</v>
      </c>
      <c r="Q240" s="171">
        <v>466.85999999999802</v>
      </c>
      <c r="R240" s="172">
        <v>467.36999999999802</v>
      </c>
      <c r="S240" s="169">
        <v>10.783800000000516</v>
      </c>
      <c r="X240" s="166">
        <v>269.35999999999802</v>
      </c>
      <c r="Y240" s="169" t="e">
        <f t="shared" si="17"/>
        <v>#NAME?</v>
      </c>
      <c r="Z240" s="173">
        <v>269.35999999999802</v>
      </c>
      <c r="AA240" s="166">
        <v>271.94</v>
      </c>
      <c r="AB240" s="171">
        <v>25.700500000000002</v>
      </c>
      <c r="AC240" s="166">
        <v>3885.1</v>
      </c>
      <c r="AD240" s="169">
        <f t="shared" si="19"/>
        <v>6.6151450413116786</v>
      </c>
    </row>
    <row r="241" spans="4:30">
      <c r="D241" s="166">
        <v>410.36999999999802</v>
      </c>
      <c r="E241" s="168" t="e">
        <f t="shared" si="15"/>
        <v>#NAME?</v>
      </c>
      <c r="F241" s="169">
        <v>410.36999999999802</v>
      </c>
      <c r="G241" s="170">
        <v>411.98</v>
      </c>
      <c r="H241" s="169">
        <v>12.441805714285623</v>
      </c>
      <c r="I241" s="166">
        <v>3121.5999999999767</v>
      </c>
      <c r="J241" s="169">
        <f t="shared" si="18"/>
        <v>3.9857142857142862</v>
      </c>
      <c r="O241" s="166">
        <v>466.86999999999802</v>
      </c>
      <c r="P241" s="169" t="e">
        <f t="shared" si="16"/>
        <v>#NAME?</v>
      </c>
      <c r="Q241" s="171">
        <v>466.86999999999802</v>
      </c>
      <c r="R241" s="172">
        <v>467.37999999999801</v>
      </c>
      <c r="S241" s="169">
        <v>10.781200000000519</v>
      </c>
      <c r="X241" s="166">
        <v>269.36999999999802</v>
      </c>
      <c r="Y241" s="169" t="e">
        <f t="shared" si="17"/>
        <v>#NAME?</v>
      </c>
      <c r="Z241" s="173">
        <v>269.36999999999802</v>
      </c>
      <c r="AA241" s="166">
        <v>271.786</v>
      </c>
      <c r="AB241" s="171">
        <v>28.560400000000001</v>
      </c>
      <c r="AC241" s="166">
        <v>4325.7</v>
      </c>
      <c r="AD241" s="169">
        <f t="shared" si="19"/>
        <v>6.6024920822063491</v>
      </c>
    </row>
    <row r="242" spans="4:30">
      <c r="D242" s="166">
        <v>410.37999999999801</v>
      </c>
      <c r="E242" s="168" t="e">
        <f t="shared" si="15"/>
        <v>#NAME?</v>
      </c>
      <c r="F242" s="169">
        <v>410.37999999999801</v>
      </c>
      <c r="G242" s="170">
        <v>410.75</v>
      </c>
      <c r="H242" s="169">
        <v>22.283331428571611</v>
      </c>
      <c r="I242" s="166">
        <v>5590.8000000000466</v>
      </c>
      <c r="J242" s="169">
        <f t="shared" si="18"/>
        <v>3.9857142857142853</v>
      </c>
      <c r="O242" s="166">
        <v>466.87999999999801</v>
      </c>
      <c r="P242" s="169" t="e">
        <f t="shared" si="16"/>
        <v>#NAME?</v>
      </c>
      <c r="Q242" s="171">
        <v>466.87999999999801</v>
      </c>
      <c r="R242" s="172">
        <v>467.389999999998</v>
      </c>
      <c r="S242" s="169">
        <v>10.778600000000521</v>
      </c>
      <c r="X242" s="166">
        <v>269.37999999999801</v>
      </c>
      <c r="Y242" s="169" t="e">
        <f t="shared" si="17"/>
        <v>#NAME?</v>
      </c>
      <c r="Z242" s="173">
        <v>269.37999999999801</v>
      </c>
      <c r="AA242" s="166">
        <v>272.05</v>
      </c>
      <c r="AB242" s="171">
        <v>18.690600000000007</v>
      </c>
      <c r="AC242" s="166">
        <v>2828.8</v>
      </c>
      <c r="AD242" s="169">
        <f t="shared" si="19"/>
        <v>6.6072539592760204</v>
      </c>
    </row>
    <row r="243" spans="4:30">
      <c r="D243" s="166">
        <v>410.389999999998</v>
      </c>
      <c r="E243" s="168" t="e">
        <f t="shared" si="15"/>
        <v>#NAME?</v>
      </c>
      <c r="F243" s="169">
        <v>410.389999999998</v>
      </c>
      <c r="G243" s="170">
        <v>410.59</v>
      </c>
      <c r="H243" s="169">
        <v>21.981214285714287</v>
      </c>
      <c r="I243" s="166">
        <v>5515</v>
      </c>
      <c r="J243" s="169">
        <f t="shared" si="18"/>
        <v>3.9857142857142862</v>
      </c>
      <c r="O243" s="166">
        <v>466.889999999998</v>
      </c>
      <c r="P243" s="169" t="e">
        <f t="shared" si="16"/>
        <v>#NAME?</v>
      </c>
      <c r="Q243" s="171">
        <v>466.889999999998</v>
      </c>
      <c r="R243" s="172">
        <v>467.39999999999799</v>
      </c>
      <c r="S243" s="169">
        <v>10.776000000000524</v>
      </c>
      <c r="X243" s="166">
        <v>269.389999999998</v>
      </c>
      <c r="Y243" s="169" t="e">
        <f t="shared" si="17"/>
        <v>#NAME?</v>
      </c>
      <c r="Z243" s="173">
        <v>269.389999999998</v>
      </c>
      <c r="AA243" s="166">
        <v>271.89499999999998</v>
      </c>
      <c r="AB243" s="171">
        <v>30.690599999999982</v>
      </c>
      <c r="AC243" s="166">
        <v>4665.7</v>
      </c>
      <c r="AD243" s="169">
        <f t="shared" si="19"/>
        <v>6.5779197119403268</v>
      </c>
    </row>
    <row r="244" spans="4:30">
      <c r="D244" s="166">
        <v>410.39999999999799</v>
      </c>
      <c r="E244" s="168" t="e">
        <f t="shared" si="15"/>
        <v>#NAME?</v>
      </c>
      <c r="F244" s="169">
        <v>410.39999999999799</v>
      </c>
      <c r="G244" s="170">
        <v>411.84</v>
      </c>
      <c r="H244" s="169">
        <v>16.385669999999905</v>
      </c>
      <c r="I244" s="166">
        <v>4111.0999999999767</v>
      </c>
      <c r="J244" s="169">
        <f t="shared" si="18"/>
        <v>3.9857142857142853</v>
      </c>
      <c r="O244" s="166">
        <v>466.89999999999799</v>
      </c>
      <c r="P244" s="169" t="e">
        <f t="shared" si="16"/>
        <v>#NAME?</v>
      </c>
      <c r="Q244" s="171">
        <v>466.89999999999799</v>
      </c>
      <c r="R244" s="172">
        <v>467.40999999999798</v>
      </c>
      <c r="S244" s="169">
        <v>10.773400000000526</v>
      </c>
      <c r="X244" s="166">
        <v>269.39999999999799</v>
      </c>
      <c r="Y244" s="169" t="e">
        <f t="shared" si="17"/>
        <v>#NAME?</v>
      </c>
      <c r="Z244" s="173">
        <v>269.39999999999799</v>
      </c>
      <c r="AA244" s="166">
        <v>271.46199999999999</v>
      </c>
      <c r="AB244" s="171">
        <v>34.12080000000001</v>
      </c>
      <c r="AC244" s="166">
        <v>5136.5</v>
      </c>
      <c r="AD244" s="169">
        <f t="shared" si="19"/>
        <v>6.6428112527985999</v>
      </c>
    </row>
    <row r="245" spans="4:30">
      <c r="D245" s="166">
        <v>410.40999999999798</v>
      </c>
      <c r="E245" s="168" t="e">
        <f t="shared" si="15"/>
        <v>#NAME?</v>
      </c>
      <c r="F245" s="169">
        <v>410.40999999999798</v>
      </c>
      <c r="G245" s="170">
        <v>410.99</v>
      </c>
      <c r="H245" s="169">
        <v>23.906314285714288</v>
      </c>
      <c r="I245" s="166">
        <v>5974.8000000000466</v>
      </c>
      <c r="J245" s="174">
        <f t="shared" si="18"/>
        <v>4.0011907152899013</v>
      </c>
      <c r="O245" s="166">
        <v>466.90999999999798</v>
      </c>
      <c r="P245" s="169" t="e">
        <f t="shared" si="16"/>
        <v>#NAME?</v>
      </c>
      <c r="Q245" s="171">
        <v>466.90999999999798</v>
      </c>
      <c r="R245" s="172">
        <v>467.41999999999803</v>
      </c>
      <c r="S245" s="169">
        <v>10.770800000000513</v>
      </c>
      <c r="X245" s="166">
        <v>269.40999999999798</v>
      </c>
      <c r="Y245" s="169" t="e">
        <f t="shared" si="17"/>
        <v>#NAME?</v>
      </c>
      <c r="Z245" s="173">
        <v>269.40999999999798</v>
      </c>
      <c r="AA245" s="166">
        <v>271.18900000000002</v>
      </c>
      <c r="AB245" s="171">
        <v>26.727499999999999</v>
      </c>
      <c r="AC245" s="166">
        <v>4030.1</v>
      </c>
      <c r="AD245" s="169">
        <f t="shared" si="19"/>
        <v>6.6319694300389562</v>
      </c>
    </row>
    <row r="246" spans="4:30">
      <c r="D246" s="166">
        <v>410.41999999999803</v>
      </c>
      <c r="E246" s="168" t="e">
        <f t="shared" si="15"/>
        <v>#NAME?</v>
      </c>
      <c r="F246" s="169">
        <v>410.41999999999803</v>
      </c>
      <c r="G246" s="170">
        <v>410.68</v>
      </c>
      <c r="H246" s="169">
        <v>20.263371428571428</v>
      </c>
      <c r="I246" s="166">
        <v>5084</v>
      </c>
      <c r="J246" s="169">
        <f t="shared" si="18"/>
        <v>3.9857142857142862</v>
      </c>
      <c r="O246" s="166">
        <v>466.91999999999803</v>
      </c>
      <c r="P246" s="169" t="e">
        <f t="shared" si="16"/>
        <v>#NAME?</v>
      </c>
      <c r="Q246" s="171">
        <v>466.91999999999803</v>
      </c>
      <c r="R246" s="172">
        <v>467.42999999999802</v>
      </c>
      <c r="S246" s="169">
        <v>10.768200000000515</v>
      </c>
      <c r="X246" s="166">
        <v>269.41999999999803</v>
      </c>
      <c r="Y246" s="169" t="e">
        <f t="shared" si="17"/>
        <v>#NAME?</v>
      </c>
      <c r="Z246" s="173">
        <v>269.41999999999803</v>
      </c>
      <c r="AA246" s="166">
        <v>271.24400000000003</v>
      </c>
      <c r="AB246" s="171">
        <v>27.902200000000001</v>
      </c>
      <c r="AC246" s="166">
        <v>4190.5</v>
      </c>
      <c r="AD246" s="169">
        <f t="shared" si="19"/>
        <v>6.6584417133993554</v>
      </c>
    </row>
    <row r="247" spans="4:30">
      <c r="D247" s="166">
        <v>410.42999999999802</v>
      </c>
      <c r="E247" s="168" t="e">
        <f t="shared" si="15"/>
        <v>#NAME?</v>
      </c>
      <c r="F247" s="169">
        <v>410.42999999999802</v>
      </c>
      <c r="G247" s="170">
        <v>411.55</v>
      </c>
      <c r="H247" s="169">
        <v>15.901804285714102</v>
      </c>
      <c r="I247" s="166">
        <v>3989.6999999999534</v>
      </c>
      <c r="J247" s="169">
        <f t="shared" si="18"/>
        <v>3.9857142857142862</v>
      </c>
      <c r="O247" s="166">
        <v>466.92999999999802</v>
      </c>
      <c r="P247" s="169" t="e">
        <f t="shared" si="16"/>
        <v>#NAME?</v>
      </c>
      <c r="Q247" s="171">
        <v>466.92999999999802</v>
      </c>
      <c r="R247" s="172">
        <v>467.43999999999801</v>
      </c>
      <c r="S247" s="169">
        <v>10.765600000000518</v>
      </c>
      <c r="X247" s="166">
        <v>269.42999999999802</v>
      </c>
      <c r="Y247" s="169" t="e">
        <f t="shared" si="17"/>
        <v>#NAME?</v>
      </c>
      <c r="Z247" s="173">
        <v>269.42999999999802</v>
      </c>
      <c r="AA247" s="166">
        <v>271.06</v>
      </c>
      <c r="AB247" s="171">
        <v>27.478199999999998</v>
      </c>
      <c r="AC247" s="166">
        <v>4121.2</v>
      </c>
      <c r="AD247" s="169">
        <f t="shared" si="19"/>
        <v>6.6675240221294763</v>
      </c>
    </row>
    <row r="248" spans="4:30">
      <c r="D248" s="166">
        <v>410.43999999999801</v>
      </c>
      <c r="E248" s="168" t="e">
        <f t="shared" si="15"/>
        <v>#NAME?</v>
      </c>
      <c r="F248" s="169">
        <v>410.43999999999801</v>
      </c>
      <c r="G248" s="170">
        <v>410.73</v>
      </c>
      <c r="H248" s="169">
        <v>21.098777142857049</v>
      </c>
      <c r="I248" s="166">
        <v>5293.5999999999767</v>
      </c>
      <c r="J248" s="169">
        <f t="shared" si="18"/>
        <v>3.9857142857142853</v>
      </c>
      <c r="O248" s="166">
        <v>466.93999999999801</v>
      </c>
      <c r="P248" s="169" t="e">
        <f t="shared" si="16"/>
        <v>#NAME?</v>
      </c>
      <c r="Q248" s="171">
        <v>466.93999999999801</v>
      </c>
      <c r="R248" s="172">
        <v>467.449999999998</v>
      </c>
      <c r="S248" s="169">
        <v>10.76300000000052</v>
      </c>
      <c r="X248" s="166">
        <v>269.43999999999801</v>
      </c>
      <c r="Y248" s="169" t="e">
        <f t="shared" si="17"/>
        <v>#NAME?</v>
      </c>
      <c r="Z248" s="173">
        <v>269.43999999999801</v>
      </c>
      <c r="AA248" s="166">
        <v>270.70699999999999</v>
      </c>
      <c r="AB248" s="171">
        <v>27.288899999999995</v>
      </c>
      <c r="AC248" s="166">
        <v>4108.6000000000004</v>
      </c>
      <c r="AD248" s="169">
        <f t="shared" si="19"/>
        <v>6.6418974833276518</v>
      </c>
    </row>
    <row r="249" spans="4:30">
      <c r="D249" s="166">
        <v>410.449999999998</v>
      </c>
      <c r="E249" s="168" t="e">
        <f t="shared" si="15"/>
        <v>#NAME?</v>
      </c>
      <c r="F249" s="169">
        <v>410.449999999998</v>
      </c>
      <c r="G249" s="170">
        <v>411.3</v>
      </c>
      <c r="H249" s="169">
        <v>15.82647428571447</v>
      </c>
      <c r="I249" s="166">
        <v>3970.8000000000466</v>
      </c>
      <c r="J249" s="169">
        <f t="shared" si="18"/>
        <v>3.9857142857142853</v>
      </c>
      <c r="O249" s="166">
        <v>466.949999999998</v>
      </c>
      <c r="P249" s="169" t="e">
        <f t="shared" si="16"/>
        <v>#NAME?</v>
      </c>
      <c r="Q249" s="171">
        <v>466.949999999998</v>
      </c>
      <c r="R249" s="172">
        <v>467.45999999999799</v>
      </c>
      <c r="S249" s="169">
        <v>10.760400000000523</v>
      </c>
      <c r="X249" s="166">
        <v>269.449999999998</v>
      </c>
      <c r="Y249" s="169" t="e">
        <f t="shared" si="17"/>
        <v>#NAME?</v>
      </c>
      <c r="Z249" s="173">
        <v>269.449999999998</v>
      </c>
      <c r="AA249" s="166">
        <v>271.58999999999997</v>
      </c>
      <c r="AB249" s="171">
        <v>10.4709</v>
      </c>
      <c r="AC249" s="166">
        <v>1581</v>
      </c>
      <c r="AD249" s="169">
        <f t="shared" si="19"/>
        <v>6.6229601518026566</v>
      </c>
    </row>
    <row r="250" spans="4:30">
      <c r="D250" s="166">
        <v>410.45999999999799</v>
      </c>
      <c r="E250" s="168" t="e">
        <f t="shared" si="15"/>
        <v>#NAME?</v>
      </c>
      <c r="F250" s="169">
        <v>410.45999999999799</v>
      </c>
      <c r="G250" s="170">
        <v>409.89</v>
      </c>
      <c r="H250" s="169">
        <v>24.095635714285713</v>
      </c>
      <c r="I250" s="166">
        <v>6045.5</v>
      </c>
      <c r="J250" s="169">
        <f t="shared" si="18"/>
        <v>3.9857142857142853</v>
      </c>
      <c r="O250" s="166">
        <v>466.95999999999799</v>
      </c>
      <c r="P250" s="169" t="e">
        <f t="shared" si="16"/>
        <v>#NAME?</v>
      </c>
      <c r="Q250" s="171">
        <v>466.95999999999799</v>
      </c>
      <c r="R250" s="172">
        <v>467.46999999999798</v>
      </c>
      <c r="S250" s="169">
        <v>10.757800000000525</v>
      </c>
      <c r="X250" s="166">
        <v>269.45999999999799</v>
      </c>
      <c r="Y250" s="169" t="e">
        <f t="shared" si="17"/>
        <v>#NAME?</v>
      </c>
      <c r="Z250" s="173">
        <v>269.45999999999799</v>
      </c>
      <c r="AA250" s="166">
        <v>271.97699999999998</v>
      </c>
      <c r="AB250" s="171">
        <v>13.314099999999998</v>
      </c>
      <c r="AC250" s="166">
        <v>2015.4</v>
      </c>
      <c r="AD250" s="169">
        <f t="shared" si="19"/>
        <v>6.6061823955542316</v>
      </c>
    </row>
    <row r="251" spans="4:30">
      <c r="D251" s="166">
        <v>410.46999999999798</v>
      </c>
      <c r="E251" s="168" t="e">
        <f t="shared" si="15"/>
        <v>#NAME?</v>
      </c>
      <c r="F251" s="169">
        <v>410.46999999999798</v>
      </c>
      <c r="G251" s="170">
        <v>410.74</v>
      </c>
      <c r="H251" s="169">
        <v>15.371704285714564</v>
      </c>
      <c r="I251" s="166">
        <v>3856.7000000000698</v>
      </c>
      <c r="J251" s="169">
        <f t="shared" si="18"/>
        <v>3.9857142857142862</v>
      </c>
      <c r="O251" s="166">
        <v>466.96999999999798</v>
      </c>
      <c r="P251" s="169" t="e">
        <f t="shared" si="16"/>
        <v>#NAME?</v>
      </c>
      <c r="Q251" s="171">
        <v>466.96999999999798</v>
      </c>
      <c r="R251" s="172">
        <v>467.47999999999797</v>
      </c>
      <c r="S251" s="169">
        <v>10.755200000000528</v>
      </c>
      <c r="X251" s="166">
        <v>269.46999999999798</v>
      </c>
      <c r="Y251" s="169" t="e">
        <f t="shared" si="17"/>
        <v>#NAME?</v>
      </c>
      <c r="Z251" s="173">
        <v>269.46999999999798</v>
      </c>
      <c r="AA251" s="166">
        <v>271.67700000000002</v>
      </c>
      <c r="AB251" s="171">
        <v>33.384400000000007</v>
      </c>
      <c r="AC251" s="166">
        <v>5032.3</v>
      </c>
      <c r="AD251" s="169">
        <f t="shared" si="19"/>
        <v>6.6340242036444579</v>
      </c>
    </row>
    <row r="252" spans="4:30">
      <c r="D252" s="166">
        <v>410.47999999999797</v>
      </c>
      <c r="E252" s="168" t="e">
        <f t="shared" si="15"/>
        <v>#NAME?</v>
      </c>
      <c r="F252" s="169">
        <v>410.47999999999797</v>
      </c>
      <c r="G252" s="170">
        <v>409.33</v>
      </c>
      <c r="H252" s="169">
        <v>24.497794285713912</v>
      </c>
      <c r="I252" s="166">
        <v>6146.3999999999069</v>
      </c>
      <c r="J252" s="169">
        <f t="shared" si="18"/>
        <v>3.9857142857142853</v>
      </c>
      <c r="O252" s="166">
        <v>466.97999999999797</v>
      </c>
      <c r="P252" s="169" t="e">
        <f t="shared" si="16"/>
        <v>#NAME?</v>
      </c>
      <c r="Q252" s="171">
        <v>466.97999999999797</v>
      </c>
      <c r="R252" s="172">
        <v>467.48999999999802</v>
      </c>
      <c r="S252" s="169">
        <v>10.752600000000514</v>
      </c>
      <c r="X252" s="166">
        <v>269.47999999999797</v>
      </c>
      <c r="Y252" s="169" t="e">
        <f t="shared" si="17"/>
        <v>#NAME?</v>
      </c>
      <c r="Z252" s="173">
        <v>269.47999999999797</v>
      </c>
      <c r="AA252" s="166">
        <v>271.55599999999998</v>
      </c>
      <c r="AB252" s="171">
        <v>22.874299999999998</v>
      </c>
      <c r="AC252" s="166">
        <v>3259.3</v>
      </c>
      <c r="AD252" s="169">
        <f t="shared" si="19"/>
        <v>7.0181634093210192</v>
      </c>
    </row>
    <row r="253" spans="4:30">
      <c r="D253" s="166">
        <v>410.48999999999802</v>
      </c>
      <c r="E253" s="168" t="e">
        <f t="shared" si="15"/>
        <v>#NAME?</v>
      </c>
      <c r="F253" s="169">
        <v>410.48999999999802</v>
      </c>
      <c r="G253" s="170">
        <v>409.46</v>
      </c>
      <c r="H253" s="169">
        <v>18.114672857142953</v>
      </c>
      <c r="I253" s="166">
        <v>4544.9000000000233</v>
      </c>
      <c r="J253" s="169">
        <f t="shared" si="18"/>
        <v>3.9857142857142862</v>
      </c>
      <c r="O253" s="166">
        <v>466.98999999999802</v>
      </c>
      <c r="P253" s="169" t="e">
        <f t="shared" si="16"/>
        <v>#NAME?</v>
      </c>
      <c r="Q253" s="171">
        <v>466.98999999999802</v>
      </c>
      <c r="R253" s="172">
        <v>467.49999999999801</v>
      </c>
      <c r="S253" s="169">
        <v>10.750000000000517</v>
      </c>
      <c r="X253" s="166">
        <v>269.48999999999802</v>
      </c>
      <c r="Y253" s="169" t="e">
        <f t="shared" si="17"/>
        <v>#NAME?</v>
      </c>
      <c r="Z253" s="173">
        <v>269.48999999999802</v>
      </c>
      <c r="AA253" s="166">
        <v>271.44639999999998</v>
      </c>
      <c r="AB253" s="171">
        <v>33.323600000000006</v>
      </c>
      <c r="AC253" s="166">
        <v>4986.7</v>
      </c>
      <c r="AD253" s="169">
        <f t="shared" si="19"/>
        <v>6.6824954378647217</v>
      </c>
    </row>
    <row r="254" spans="4:30">
      <c r="D254" s="166">
        <v>410.49999999999801</v>
      </c>
      <c r="E254" s="168" t="e">
        <f t="shared" si="15"/>
        <v>#NAME?</v>
      </c>
      <c r="F254" s="169">
        <v>410.49999999999801</v>
      </c>
      <c r="G254" s="170">
        <v>409.81</v>
      </c>
      <c r="H254" s="169">
        <v>16.106669999999905</v>
      </c>
      <c r="I254" s="166">
        <v>4041.0999999999767</v>
      </c>
      <c r="J254" s="169">
        <f t="shared" si="18"/>
        <v>3.9857142857142853</v>
      </c>
      <c r="O254" s="166">
        <v>466.99999999999801</v>
      </c>
      <c r="P254" s="169" t="e">
        <f t="shared" si="16"/>
        <v>#NAME?</v>
      </c>
      <c r="Q254" s="171">
        <v>466.99999999999801</v>
      </c>
      <c r="R254" s="172">
        <v>467.509999999998</v>
      </c>
      <c r="S254" s="169">
        <v>10.747400000000519</v>
      </c>
      <c r="X254" s="166">
        <v>269.49999999999801</v>
      </c>
      <c r="Y254" s="169" t="e">
        <f t="shared" si="17"/>
        <v>#NAME?</v>
      </c>
      <c r="Z254" s="173">
        <v>269.49999999999801</v>
      </c>
      <c r="AA254" s="166">
        <v>270.91199999999998</v>
      </c>
      <c r="AB254" s="171">
        <v>31.401</v>
      </c>
      <c r="AC254" s="166">
        <v>4731.8999999999996</v>
      </c>
      <c r="AD254" s="169">
        <f t="shared" si="19"/>
        <v>6.6360235846066065</v>
      </c>
    </row>
    <row r="255" spans="4:30">
      <c r="D255" s="166">
        <v>410.509999999998</v>
      </c>
      <c r="E255" s="168" t="e">
        <f t="shared" si="15"/>
        <v>#NAME?</v>
      </c>
      <c r="F255" s="169">
        <v>410.509999999998</v>
      </c>
      <c r="G255" s="170">
        <v>409.91</v>
      </c>
      <c r="H255" s="169">
        <v>14.621592857143321</v>
      </c>
      <c r="I255" s="166">
        <v>3668.5000000001164</v>
      </c>
      <c r="J255" s="169">
        <f t="shared" si="18"/>
        <v>3.9857142857142862</v>
      </c>
      <c r="O255" s="166">
        <v>467.009999999998</v>
      </c>
      <c r="P255" s="169" t="e">
        <f t="shared" si="16"/>
        <v>#NAME?</v>
      </c>
      <c r="Q255" s="171">
        <v>467.009999999998</v>
      </c>
      <c r="R255" s="172">
        <v>467.51999999999799</v>
      </c>
      <c r="S255" s="169">
        <v>10.744800000000522</v>
      </c>
      <c r="X255" s="166">
        <v>269.509999999998</v>
      </c>
      <c r="Y255" s="169" t="e">
        <f t="shared" si="17"/>
        <v>#NAME?</v>
      </c>
      <c r="Z255" s="173">
        <v>269.509999999998</v>
      </c>
      <c r="AA255" s="166">
        <v>270.30500000000001</v>
      </c>
      <c r="AB255" s="171">
        <v>30.543400000000002</v>
      </c>
      <c r="AC255" s="166">
        <v>4545.2</v>
      </c>
      <c r="AD255" s="169">
        <f t="shared" si="19"/>
        <v>6.7199243157616833</v>
      </c>
    </row>
    <row r="256" spans="4:30">
      <c r="D256" s="166">
        <v>410.51999999999799</v>
      </c>
      <c r="E256" s="168" t="e">
        <f t="shared" si="15"/>
        <v>#NAME?</v>
      </c>
      <c r="F256" s="169">
        <v>410.51999999999799</v>
      </c>
      <c r="G256" s="170">
        <v>409.06</v>
      </c>
      <c r="H256" s="169">
        <v>17.786249999999537</v>
      </c>
      <c r="I256" s="166">
        <v>4462.4999999998836</v>
      </c>
      <c r="J256" s="169">
        <f t="shared" si="18"/>
        <v>3.9857142857142862</v>
      </c>
      <c r="O256" s="166">
        <v>467.01999999999799</v>
      </c>
      <c r="P256" s="169" t="e">
        <f t="shared" si="16"/>
        <v>#NAME?</v>
      </c>
      <c r="Q256" s="171">
        <v>467.01999999999799</v>
      </c>
      <c r="R256" s="172">
        <v>467.52999999999798</v>
      </c>
      <c r="S256" s="169">
        <v>10.742200000000524</v>
      </c>
      <c r="X256" s="166">
        <v>269.51999999999799</v>
      </c>
      <c r="Y256" s="169" t="e">
        <f t="shared" si="17"/>
        <v>#NAME?</v>
      </c>
      <c r="Z256" s="173">
        <v>269.51999999999799</v>
      </c>
      <c r="AA256" s="166">
        <v>269.53500000000003</v>
      </c>
      <c r="AB256" s="171">
        <v>30.411299999999997</v>
      </c>
      <c r="AC256" s="166">
        <v>4487.5</v>
      </c>
      <c r="AD256" s="169">
        <f t="shared" si="19"/>
        <v>6.7768913649025055</v>
      </c>
    </row>
    <row r="257" spans="4:30">
      <c r="D257" s="166">
        <v>410.52999999999798</v>
      </c>
      <c r="E257" s="168" t="e">
        <f t="shared" si="15"/>
        <v>#NAME?</v>
      </c>
      <c r="F257" s="169">
        <v>410.52999999999798</v>
      </c>
      <c r="G257" s="170">
        <v>409.21</v>
      </c>
      <c r="H257" s="169">
        <v>14.949617142857329</v>
      </c>
      <c r="I257" s="166">
        <v>3750.8000000000466</v>
      </c>
      <c r="J257" s="169">
        <f t="shared" si="18"/>
        <v>3.9857142857142862</v>
      </c>
      <c r="O257" s="166">
        <v>467.02999999999798</v>
      </c>
      <c r="P257" s="169" t="e">
        <f t="shared" si="16"/>
        <v>#NAME?</v>
      </c>
      <c r="Q257" s="171">
        <v>467.02999999999798</v>
      </c>
      <c r="R257" s="172">
        <v>467.53999999999797</v>
      </c>
      <c r="S257" s="169">
        <v>10.739600000000527</v>
      </c>
      <c r="X257" s="166">
        <v>269.52999999999798</v>
      </c>
      <c r="Y257" s="169" t="e">
        <f t="shared" si="17"/>
        <v>#NAME?</v>
      </c>
      <c r="Z257" s="173">
        <v>269.52999999999798</v>
      </c>
      <c r="AA257" s="166">
        <v>269.30799999999999</v>
      </c>
      <c r="AB257" s="171">
        <v>23.912900000000008</v>
      </c>
      <c r="AC257" s="166">
        <v>3589.7</v>
      </c>
      <c r="AD257" s="169">
        <f t="shared" si="19"/>
        <v>6.6615316043123407</v>
      </c>
    </row>
    <row r="258" spans="4:30">
      <c r="D258" s="166">
        <v>410.53999999999797</v>
      </c>
      <c r="E258" s="168" t="e">
        <f t="shared" si="15"/>
        <v>#NAME?</v>
      </c>
      <c r="F258" s="169">
        <v>410.53999999999797</v>
      </c>
      <c r="G258" s="170">
        <v>409.02</v>
      </c>
      <c r="H258" s="169">
        <v>16.278454285714101</v>
      </c>
      <c r="I258" s="166">
        <v>4084.1999999999534</v>
      </c>
      <c r="J258" s="169">
        <f t="shared" si="18"/>
        <v>3.9857142857142862</v>
      </c>
      <c r="O258" s="166">
        <v>467.03999999999797</v>
      </c>
      <c r="P258" s="169" t="e">
        <f t="shared" si="16"/>
        <v>#NAME?</v>
      </c>
      <c r="Q258" s="171">
        <v>467.03999999999797</v>
      </c>
      <c r="R258" s="172">
        <v>467.54999999999802</v>
      </c>
      <c r="S258" s="169">
        <v>10.737000000000513</v>
      </c>
      <c r="X258" s="166">
        <v>269.53999999999797</v>
      </c>
      <c r="Y258" s="169" t="e">
        <f t="shared" si="17"/>
        <v>#NAME?</v>
      </c>
      <c r="Z258" s="173">
        <v>269.53999999999797</v>
      </c>
      <c r="AA258" s="166">
        <v>268.86110000000002</v>
      </c>
      <c r="AB258" s="171">
        <v>24.5305</v>
      </c>
      <c r="AC258" s="166">
        <v>3511.8</v>
      </c>
      <c r="AD258" s="169">
        <f t="shared" si="19"/>
        <v>6.9851643032063331</v>
      </c>
    </row>
    <row r="259" spans="4:30">
      <c r="D259" s="166">
        <v>410.54999999999802</v>
      </c>
      <c r="E259" s="168" t="e">
        <f t="shared" si="15"/>
        <v>#NAME?</v>
      </c>
      <c r="F259" s="169">
        <v>410.54999999999802</v>
      </c>
      <c r="G259" s="170">
        <v>409.02</v>
      </c>
      <c r="H259" s="169">
        <v>14.94722571428553</v>
      </c>
      <c r="I259" s="166">
        <v>3750.1999999999534</v>
      </c>
      <c r="J259" s="169">
        <f t="shared" si="18"/>
        <v>3.9857142857142862</v>
      </c>
      <c r="O259" s="166">
        <v>467.04999999999802</v>
      </c>
      <c r="P259" s="169" t="e">
        <f t="shared" si="16"/>
        <v>#NAME?</v>
      </c>
      <c r="Q259" s="171">
        <v>467.04999999999802</v>
      </c>
      <c r="R259" s="172">
        <v>467.55999999999801</v>
      </c>
      <c r="S259" s="169">
        <v>10.734400000000516</v>
      </c>
      <c r="X259" s="166">
        <v>269.54999999999802</v>
      </c>
      <c r="Y259" s="169" t="e">
        <f t="shared" si="17"/>
        <v>#NAME?</v>
      </c>
      <c r="Z259" s="173">
        <v>269.54999999999802</v>
      </c>
      <c r="AA259" s="166">
        <v>268.61399999999998</v>
      </c>
      <c r="AB259" s="171">
        <v>23.887600000000006</v>
      </c>
      <c r="AC259" s="166">
        <v>3597.3</v>
      </c>
      <c r="AD259" s="169">
        <f t="shared" si="19"/>
        <v>6.6404247630167088</v>
      </c>
    </row>
    <row r="260" spans="4:30">
      <c r="D260" s="166">
        <v>410.55999999999801</v>
      </c>
      <c r="E260" s="168" t="e">
        <f t="shared" ref="E260:E323" si="20">VLOOKUP(D260,THONGSOHO_BK,2,1)+(VLOOKUP(D260+1,THONGSOHO_BK,2,1)-VLOOKUP(D260,THONGSOHO_BK,2,1))/1*(D260-VLOOKUP(D260,THONGSOHO_BK,1,1))-48.55</f>
        <v>#NAME?</v>
      </c>
      <c r="F260" s="169">
        <v>410.55999999999801</v>
      </c>
      <c r="G260" s="170">
        <v>409.31</v>
      </c>
      <c r="H260" s="169">
        <v>15.91</v>
      </c>
      <c r="I260" s="166">
        <v>3992.1</v>
      </c>
      <c r="J260" s="169">
        <f t="shared" si="18"/>
        <v>3.9853711079381782</v>
      </c>
      <c r="O260" s="166">
        <v>467.05999999999801</v>
      </c>
      <c r="P260" s="169" t="e">
        <f t="shared" ref="P260:P323" si="21">VLOOKUP(O260,THONGSOHO_BTS,2,1)+(VLOOKUP(O260+5,THONGSOHO_BTS,2,1)-VLOOKUP(O260,THONGSOHO_BTS,2,1))/5*(O260-VLOOKUP(O260,THONGSOHO_BTS,1,1))-264.29</f>
        <v>#NAME?</v>
      </c>
      <c r="Q260" s="171">
        <v>467.05999999999801</v>
      </c>
      <c r="R260" s="172">
        <v>467.569999999998</v>
      </c>
      <c r="S260" s="169">
        <v>10.731800000000518</v>
      </c>
      <c r="X260" s="166">
        <v>269.55999999999801</v>
      </c>
      <c r="Y260" s="169" t="e">
        <f t="shared" ref="Y260:Y323" si="22">VLOOKUP(X260,THONGSOHO_SP3,2,1)+(VLOOKUP(X260+2,THONGSOHO_SP3,2,1)-VLOOKUP(X260,THONGSOHO_SP3,2,1))/2*(X260-VLOOKUP(X260,THONGSOHO_SP3,1,1))-156.13</f>
        <v>#NAME?</v>
      </c>
      <c r="Z260" s="173">
        <v>269.55999999999801</v>
      </c>
      <c r="AA260" s="166">
        <v>268.22000000000003</v>
      </c>
      <c r="AB260" s="171">
        <v>23.505900000000004</v>
      </c>
      <c r="AC260" s="166">
        <v>3597.3</v>
      </c>
      <c r="AD260" s="169">
        <f t="shared" si="19"/>
        <v>6.5343174047202073</v>
      </c>
    </row>
    <row r="261" spans="4:30">
      <c r="D261" s="166">
        <v>410.569999999998</v>
      </c>
      <c r="E261" s="168" t="e">
        <f t="shared" si="20"/>
        <v>#NAME?</v>
      </c>
      <c r="F261" s="169">
        <v>410.569999999998</v>
      </c>
      <c r="G261" s="170">
        <v>409.6</v>
      </c>
      <c r="H261" s="169">
        <v>17.482538571428758</v>
      </c>
      <c r="I261" s="166">
        <v>4386.3000000000466</v>
      </c>
      <c r="J261" s="169">
        <f t="shared" ref="J261:J322" si="23">H261/I261*10^3</f>
        <v>3.9857142857142862</v>
      </c>
      <c r="O261" s="166">
        <v>467.069999999998</v>
      </c>
      <c r="P261" s="169" t="e">
        <f t="shared" si="21"/>
        <v>#NAME?</v>
      </c>
      <c r="Q261" s="171">
        <v>467.069999999998</v>
      </c>
      <c r="R261" s="172">
        <v>467.57999999999799</v>
      </c>
      <c r="S261" s="169">
        <v>10.729200000000521</v>
      </c>
      <c r="X261" s="166">
        <v>269.569999999998</v>
      </c>
      <c r="Y261" s="169" t="e">
        <f t="shared" si="22"/>
        <v>#NAME?</v>
      </c>
      <c r="Z261" s="173">
        <v>269.569999999998</v>
      </c>
      <c r="AA261" s="166">
        <v>267.83999999999997</v>
      </c>
      <c r="AB261" s="171">
        <v>24.19</v>
      </c>
      <c r="AC261" s="166">
        <v>3582.7</v>
      </c>
      <c r="AD261" s="169">
        <f t="shared" si="19"/>
        <v>6.7518910319033134</v>
      </c>
    </row>
    <row r="262" spans="4:30">
      <c r="D262" s="166">
        <v>410.57999999999799</v>
      </c>
      <c r="E262" s="168" t="e">
        <f t="shared" si="20"/>
        <v>#NAME?</v>
      </c>
      <c r="F262" s="169">
        <v>410.57999999999799</v>
      </c>
      <c r="G262" s="170">
        <v>410.92</v>
      </c>
      <c r="H262" s="169">
        <v>10.603195714285437</v>
      </c>
      <c r="I262" s="166">
        <v>2660.2999999999302</v>
      </c>
      <c r="J262" s="169">
        <f t="shared" si="23"/>
        <v>3.9857142857142862</v>
      </c>
      <c r="O262" s="166">
        <v>467.07999999999799</v>
      </c>
      <c r="P262" s="169" t="e">
        <f t="shared" si="21"/>
        <v>#NAME?</v>
      </c>
      <c r="Q262" s="171">
        <v>467.07999999999799</v>
      </c>
      <c r="R262" s="172">
        <v>467.58999999999799</v>
      </c>
      <c r="S262" s="169">
        <v>10.726600000000523</v>
      </c>
      <c r="X262" s="166">
        <v>269.57999999999799</v>
      </c>
      <c r="Y262" s="169" t="e">
        <f t="shared" si="22"/>
        <v>#NAME?</v>
      </c>
      <c r="Z262" s="173">
        <v>269.57999999999799</v>
      </c>
      <c r="AA262" s="166">
        <v>268.12400000000002</v>
      </c>
      <c r="AB262" s="171">
        <v>15.892499999999995</v>
      </c>
      <c r="AC262" s="166">
        <v>2390.6999999999998</v>
      </c>
      <c r="AD262" s="169">
        <f t="shared" ref="AD262:AD325" si="24">AB262/AC262*10^3</f>
        <v>6.6476345840130495</v>
      </c>
    </row>
    <row r="263" spans="4:30">
      <c r="D263" s="166">
        <v>410.58999999999799</v>
      </c>
      <c r="E263" s="168" t="e">
        <f t="shared" si="20"/>
        <v>#NAME?</v>
      </c>
      <c r="F263" s="169">
        <v>410.58999999999799</v>
      </c>
      <c r="G263" s="170">
        <v>411.31</v>
      </c>
      <c r="H263" s="169">
        <v>9.3560657142858084</v>
      </c>
      <c r="I263" s="166">
        <v>2347.4000000000233</v>
      </c>
      <c r="J263" s="169">
        <f t="shared" si="23"/>
        <v>3.9857142857142862</v>
      </c>
      <c r="O263" s="166">
        <v>467.08999999999799</v>
      </c>
      <c r="P263" s="169" t="e">
        <f t="shared" si="21"/>
        <v>#NAME?</v>
      </c>
      <c r="Q263" s="171">
        <v>467.08999999999799</v>
      </c>
      <c r="R263" s="172">
        <v>467.59999999999798</v>
      </c>
      <c r="S263" s="169">
        <v>10.724000000000526</v>
      </c>
      <c r="X263" s="166">
        <v>269.58999999999799</v>
      </c>
      <c r="Y263" s="169" t="e">
        <f t="shared" si="22"/>
        <v>#NAME?</v>
      </c>
      <c r="Z263" s="173">
        <v>269.58999999999799</v>
      </c>
      <c r="AA263" s="166">
        <v>268.76420000000002</v>
      </c>
      <c r="AB263" s="171">
        <v>5.1791999999999989</v>
      </c>
      <c r="AC263" s="166">
        <v>782.7</v>
      </c>
      <c r="AD263" s="169">
        <f t="shared" si="24"/>
        <v>6.617094672288232</v>
      </c>
    </row>
    <row r="264" spans="4:30">
      <c r="D264" s="166">
        <v>410.59999999999798</v>
      </c>
      <c r="E264" s="168" t="e">
        <f t="shared" si="20"/>
        <v>#NAME?</v>
      </c>
      <c r="F264" s="169">
        <v>410.59999999999798</v>
      </c>
      <c r="G264" s="170">
        <v>411.85</v>
      </c>
      <c r="H264" s="169">
        <v>6.6928114285717086</v>
      </c>
      <c r="I264" s="166">
        <v>1679.2000000000698</v>
      </c>
      <c r="J264" s="169">
        <f t="shared" si="23"/>
        <v>3.9857142857142867</v>
      </c>
      <c r="O264" s="166">
        <v>467.09999999999798</v>
      </c>
      <c r="P264" s="169" t="e">
        <f t="shared" si="21"/>
        <v>#NAME?</v>
      </c>
      <c r="Q264" s="171">
        <v>467.09999999999798</v>
      </c>
      <c r="R264" s="172">
        <v>467.60999999999802</v>
      </c>
      <c r="S264" s="169">
        <v>10.721400000000514</v>
      </c>
      <c r="X264" s="166">
        <v>269.59999999999798</v>
      </c>
      <c r="Y264" s="169" t="e">
        <f t="shared" si="22"/>
        <v>#NAME?</v>
      </c>
      <c r="Z264" s="173">
        <v>269.59999999999798</v>
      </c>
      <c r="AA264" s="166">
        <v>268.59800000000001</v>
      </c>
      <c r="AB264" s="171">
        <v>13.794500000000003</v>
      </c>
      <c r="AC264" s="166">
        <v>2069</v>
      </c>
      <c r="AD264" s="169">
        <f t="shared" si="24"/>
        <v>6.6672305461575654</v>
      </c>
    </row>
    <row r="265" spans="4:30">
      <c r="D265" s="166">
        <v>410.60999999999802</v>
      </c>
      <c r="E265" s="168" t="e">
        <f t="shared" si="20"/>
        <v>#NAME?</v>
      </c>
      <c r="F265" s="169">
        <v>410.60999999999802</v>
      </c>
      <c r="G265" s="170">
        <v>411.87</v>
      </c>
      <c r="H265" s="169">
        <v>6.5086714285709641</v>
      </c>
      <c r="I265" s="166">
        <v>1632.9999999998836</v>
      </c>
      <c r="J265" s="169">
        <f t="shared" si="23"/>
        <v>3.9857142857142853</v>
      </c>
      <c r="O265" s="166">
        <v>467.10999999999802</v>
      </c>
      <c r="P265" s="169" t="e">
        <f t="shared" si="21"/>
        <v>#NAME?</v>
      </c>
      <c r="Q265" s="171">
        <v>467.10999999999802</v>
      </c>
      <c r="R265" s="172">
        <v>467.61999999999802</v>
      </c>
      <c r="S265" s="169">
        <v>10.718800000000517</v>
      </c>
      <c r="X265" s="166">
        <v>269.60999999999802</v>
      </c>
      <c r="Y265" s="169" t="e">
        <f t="shared" si="22"/>
        <v>#NAME?</v>
      </c>
      <c r="Z265" s="173">
        <v>269.60999999999802</v>
      </c>
      <c r="AA265" s="166">
        <v>268.58800000000002</v>
      </c>
      <c r="AB265" s="171">
        <v>10.6221</v>
      </c>
      <c r="AC265" s="166">
        <v>1592.9</v>
      </c>
      <c r="AD265" s="169">
        <f t="shared" si="24"/>
        <v>6.6684035407119087</v>
      </c>
    </row>
    <row r="266" spans="4:30">
      <c r="D266" s="166">
        <v>410.61999999999802</v>
      </c>
      <c r="E266" s="168" t="e">
        <f t="shared" si="20"/>
        <v>#NAME?</v>
      </c>
      <c r="F266" s="169">
        <v>410.61999999999802</v>
      </c>
      <c r="G266" s="170">
        <v>411.01</v>
      </c>
      <c r="H266" s="169">
        <v>9.9583071428571444</v>
      </c>
      <c r="I266" s="166">
        <v>2498.5</v>
      </c>
      <c r="J266" s="169">
        <f t="shared" si="23"/>
        <v>3.9857142857142862</v>
      </c>
      <c r="O266" s="166">
        <v>467.11999999999802</v>
      </c>
      <c r="P266" s="169" t="e">
        <f t="shared" si="21"/>
        <v>#NAME?</v>
      </c>
      <c r="Q266" s="171">
        <v>467.11999999999802</v>
      </c>
      <c r="R266" s="172">
        <v>467.62999999999801</v>
      </c>
      <c r="S266" s="169">
        <v>10.716200000000518</v>
      </c>
      <c r="X266" s="166">
        <v>269.61999999999802</v>
      </c>
      <c r="Y266" s="169" t="e">
        <f t="shared" si="22"/>
        <v>#NAME?</v>
      </c>
      <c r="Z266" s="173">
        <v>269.61999999999802</v>
      </c>
      <c r="AA266" s="166">
        <v>268.91000000000003</v>
      </c>
      <c r="AB266" s="171">
        <v>4.3750000000000009</v>
      </c>
      <c r="AC266" s="166">
        <v>656.6</v>
      </c>
      <c r="AD266" s="169">
        <f t="shared" si="24"/>
        <v>6.66311300639659</v>
      </c>
    </row>
    <row r="267" spans="4:30">
      <c r="D267" s="166">
        <v>410.62999999999801</v>
      </c>
      <c r="E267" s="168" t="e">
        <f t="shared" si="20"/>
        <v>#NAME?</v>
      </c>
      <c r="F267" s="169">
        <v>410.62999999999801</v>
      </c>
      <c r="G267" s="170">
        <v>409.17</v>
      </c>
      <c r="H267" s="169">
        <v>13.639911428571706</v>
      </c>
      <c r="I267" s="166">
        <v>3422.2000000000698</v>
      </c>
      <c r="J267" s="169">
        <f t="shared" si="23"/>
        <v>3.9857142857142853</v>
      </c>
      <c r="O267" s="166">
        <v>467.12999999999801</v>
      </c>
      <c r="P267" s="169" t="e">
        <f t="shared" si="21"/>
        <v>#NAME?</v>
      </c>
      <c r="Q267" s="171">
        <v>467.12999999999801</v>
      </c>
      <c r="R267" s="172">
        <v>467.639999999998</v>
      </c>
      <c r="S267" s="169">
        <v>10.71360000000052</v>
      </c>
      <c r="X267" s="166">
        <v>269.62999999999801</v>
      </c>
      <c r="Y267" s="169" t="e">
        <f t="shared" si="22"/>
        <v>#NAME?</v>
      </c>
      <c r="Z267" s="173">
        <v>269.62999999999801</v>
      </c>
      <c r="AA267" s="166">
        <v>269.238</v>
      </c>
      <c r="AB267" s="171">
        <v>6.8930000000000007</v>
      </c>
      <c r="AC267" s="166">
        <v>1043.5999999999999</v>
      </c>
      <c r="AD267" s="169">
        <f t="shared" si="24"/>
        <v>6.6050210808738994</v>
      </c>
    </row>
    <row r="268" spans="4:30">
      <c r="D268" s="166">
        <v>410.639999999998</v>
      </c>
      <c r="E268" s="168" t="e">
        <f t="shared" si="20"/>
        <v>#NAME?</v>
      </c>
      <c r="F268" s="169">
        <v>410.639999999998</v>
      </c>
      <c r="G268" s="170">
        <v>409.21</v>
      </c>
      <c r="H268" s="169">
        <v>5.69</v>
      </c>
      <c r="I268" s="166">
        <v>1281</v>
      </c>
      <c r="J268" s="174">
        <f t="shared" si="23"/>
        <v>4.4418423106947698</v>
      </c>
      <c r="O268" s="166">
        <v>467.139999999998</v>
      </c>
      <c r="P268" s="169" t="e">
        <f t="shared" si="21"/>
        <v>#NAME?</v>
      </c>
      <c r="Q268" s="171">
        <v>467.139999999998</v>
      </c>
      <c r="R268" s="172">
        <v>467.64999999999799</v>
      </c>
      <c r="S268" s="169">
        <v>10.711000000000523</v>
      </c>
      <c r="X268" s="166">
        <v>269.639999999998</v>
      </c>
      <c r="Y268" s="169" t="e">
        <f t="shared" si="22"/>
        <v>#NAME?</v>
      </c>
      <c r="Z268" s="173">
        <v>269.639999999998</v>
      </c>
      <c r="AA268" s="166">
        <v>269.26319999999998</v>
      </c>
      <c r="AB268" s="171">
        <v>15.623800000000001</v>
      </c>
      <c r="AC268" s="166">
        <v>2357.8000000000002</v>
      </c>
      <c r="AD268" s="169">
        <f t="shared" si="24"/>
        <v>6.6264314191195179</v>
      </c>
    </row>
    <row r="269" spans="4:30">
      <c r="D269" s="166">
        <v>410.64999999999799</v>
      </c>
      <c r="E269" s="168" t="e">
        <f t="shared" si="20"/>
        <v>#NAME?</v>
      </c>
      <c r="F269" s="169">
        <v>410.64999999999799</v>
      </c>
      <c r="G269" s="170">
        <v>409.94</v>
      </c>
      <c r="H269" s="169">
        <v>3.6891771428570492</v>
      </c>
      <c r="I269" s="166">
        <v>925.59999999997672</v>
      </c>
      <c r="J269" s="169">
        <f t="shared" si="23"/>
        <v>3.9857142857142853</v>
      </c>
      <c r="O269" s="166">
        <v>467.14999999999799</v>
      </c>
      <c r="P269" s="169" t="e">
        <f t="shared" si="21"/>
        <v>#NAME?</v>
      </c>
      <c r="Q269" s="171">
        <v>467.14999999999799</v>
      </c>
      <c r="R269" s="172">
        <v>467.65999999999798</v>
      </c>
      <c r="S269" s="169">
        <v>10.708400000000525</v>
      </c>
      <c r="X269" s="166">
        <v>269.64999999999799</v>
      </c>
      <c r="Y269" s="169" t="e">
        <f t="shared" si="22"/>
        <v>#NAME?</v>
      </c>
      <c r="Z269" s="173">
        <v>269.64999999999799</v>
      </c>
      <c r="AA269" s="166">
        <v>268.77600000000001</v>
      </c>
      <c r="AB269" s="171">
        <v>16.562000000000001</v>
      </c>
      <c r="AC269" s="166">
        <v>3510.9</v>
      </c>
      <c r="AD269" s="169">
        <f t="shared" si="24"/>
        <v>4.7173089521205398</v>
      </c>
    </row>
    <row r="270" spans="4:30">
      <c r="D270" s="166">
        <v>410.65999999999798</v>
      </c>
      <c r="E270" s="168" t="e">
        <f t="shared" si="20"/>
        <v>#NAME?</v>
      </c>
      <c r="F270" s="169">
        <v>410.65999999999798</v>
      </c>
      <c r="G270" s="170">
        <v>409</v>
      </c>
      <c r="H270" s="169">
        <v>10.101792857142394</v>
      </c>
      <c r="I270" s="166">
        <v>2534.4999999998836</v>
      </c>
      <c r="J270" s="169">
        <f t="shared" si="23"/>
        <v>3.9857142857142862</v>
      </c>
      <c r="O270" s="166">
        <v>467.15999999999798</v>
      </c>
      <c r="P270" s="169" t="e">
        <f t="shared" si="21"/>
        <v>#NAME?</v>
      </c>
      <c r="Q270" s="171">
        <v>467.15999999999798</v>
      </c>
      <c r="R270" s="172">
        <v>467.66999999999803</v>
      </c>
      <c r="S270" s="169">
        <v>10.705800000000513</v>
      </c>
      <c r="X270" s="166">
        <v>269.65999999999798</v>
      </c>
      <c r="Y270" s="169" t="e">
        <f t="shared" si="22"/>
        <v>#NAME?</v>
      </c>
      <c r="Z270" s="173">
        <v>269.65999999999798</v>
      </c>
      <c r="AA270" s="166">
        <v>268.572</v>
      </c>
      <c r="AB270" s="171">
        <v>8.6363999999999983</v>
      </c>
      <c r="AC270" s="166">
        <v>1305.8</v>
      </c>
      <c r="AD270" s="169">
        <f t="shared" si="24"/>
        <v>6.6138765507734716</v>
      </c>
    </row>
    <row r="271" spans="4:30">
      <c r="D271" s="166">
        <v>410.66999999999803</v>
      </c>
      <c r="E271" s="168" t="e">
        <f t="shared" si="20"/>
        <v>#NAME?</v>
      </c>
      <c r="F271" s="169">
        <v>410.66999999999803</v>
      </c>
      <c r="G271" s="170">
        <v>409.24</v>
      </c>
      <c r="H271" s="169">
        <v>5.6625042857145642</v>
      </c>
      <c r="I271" s="166">
        <v>1420.7000000000698</v>
      </c>
      <c r="J271" s="169">
        <f t="shared" si="23"/>
        <v>3.9857142857142862</v>
      </c>
      <c r="O271" s="166">
        <v>467.16999999999803</v>
      </c>
      <c r="P271" s="169" t="e">
        <f t="shared" si="21"/>
        <v>#NAME?</v>
      </c>
      <c r="Q271" s="171">
        <v>467.16999999999803</v>
      </c>
      <c r="R271" s="172">
        <v>467.67999999999802</v>
      </c>
      <c r="S271" s="169">
        <v>10.703200000000516</v>
      </c>
      <c r="X271" s="166">
        <v>269.66999999999803</v>
      </c>
      <c r="Y271" s="169" t="e">
        <f t="shared" si="22"/>
        <v>#NAME?</v>
      </c>
      <c r="Z271" s="173">
        <v>269.66999999999803</v>
      </c>
      <c r="AA271" s="166">
        <v>268.214</v>
      </c>
      <c r="AB271" s="171">
        <v>17.638600000000004</v>
      </c>
      <c r="AC271" s="166">
        <v>2670</v>
      </c>
      <c r="AD271" s="169">
        <f t="shared" si="24"/>
        <v>6.6062172284644207</v>
      </c>
    </row>
    <row r="272" spans="4:30">
      <c r="D272" s="166">
        <v>410.67999999999802</v>
      </c>
      <c r="E272" s="168" t="e">
        <f t="shared" si="20"/>
        <v>#NAME?</v>
      </c>
      <c r="F272" s="169">
        <v>410.67999999999802</v>
      </c>
      <c r="G272" s="170">
        <v>408.79</v>
      </c>
      <c r="H272" s="169">
        <v>9.1591714285714314</v>
      </c>
      <c r="I272" s="166">
        <v>2298</v>
      </c>
      <c r="J272" s="169">
        <f t="shared" si="23"/>
        <v>3.9857142857142867</v>
      </c>
      <c r="O272" s="166">
        <v>467.17999999999802</v>
      </c>
      <c r="P272" s="169" t="e">
        <f t="shared" si="21"/>
        <v>#NAME?</v>
      </c>
      <c r="Q272" s="171">
        <v>467.17999999999802</v>
      </c>
      <c r="R272" s="172">
        <v>467.68999999999801</v>
      </c>
      <c r="S272" s="169">
        <v>10.700600000000518</v>
      </c>
      <c r="X272" s="166">
        <v>269.67999999999802</v>
      </c>
      <c r="Y272" s="169" t="e">
        <f t="shared" si="22"/>
        <v>#NAME?</v>
      </c>
      <c r="Z272" s="173">
        <v>269.67999999999802</v>
      </c>
      <c r="AA272" s="166">
        <v>268.01139999999998</v>
      </c>
      <c r="AB272" s="171">
        <v>11.6637</v>
      </c>
      <c r="AC272" s="166">
        <v>1749</v>
      </c>
      <c r="AD272" s="169">
        <f t="shared" si="24"/>
        <v>6.6687821612349909</v>
      </c>
    </row>
    <row r="273" spans="4:30">
      <c r="D273" s="166">
        <v>410.68999999999801</v>
      </c>
      <c r="E273" s="168" t="e">
        <f t="shared" si="20"/>
        <v>#NAME?</v>
      </c>
      <c r="F273" s="169">
        <v>410.68999999999801</v>
      </c>
      <c r="G273" s="170">
        <v>409.37</v>
      </c>
      <c r="H273" s="169">
        <v>4.8245760000000004</v>
      </c>
      <c r="I273" s="166">
        <v>1077.5999999999767</v>
      </c>
      <c r="J273" s="174">
        <f t="shared" si="23"/>
        <v>4.4771492204900749</v>
      </c>
      <c r="O273" s="166">
        <v>467.18999999999801</v>
      </c>
      <c r="P273" s="169" t="e">
        <f t="shared" si="21"/>
        <v>#NAME?</v>
      </c>
      <c r="Q273" s="171">
        <v>467.18999999999801</v>
      </c>
      <c r="R273" s="172">
        <v>467.699999999998</v>
      </c>
      <c r="S273" s="169">
        <v>10.698000000000519</v>
      </c>
      <c r="X273" s="166">
        <v>269.68999999999801</v>
      </c>
      <c r="Y273" s="169" t="e">
        <f t="shared" si="22"/>
        <v>#NAME?</v>
      </c>
      <c r="Z273" s="173">
        <v>269.68999999999801</v>
      </c>
      <c r="AA273" s="166">
        <v>268.12</v>
      </c>
      <c r="AB273" s="171">
        <v>8.5856999999999992</v>
      </c>
      <c r="AC273" s="166">
        <v>1309.3</v>
      </c>
      <c r="AD273" s="169">
        <f t="shared" si="24"/>
        <v>6.5574734591002821</v>
      </c>
    </row>
    <row r="274" spans="4:30">
      <c r="D274" s="166">
        <v>410.699999999998</v>
      </c>
      <c r="E274" s="168" t="e">
        <f t="shared" si="20"/>
        <v>#NAME?</v>
      </c>
      <c r="F274" s="169">
        <v>410.699999999998</v>
      </c>
      <c r="G274" s="170">
        <v>410.13</v>
      </c>
      <c r="H274" s="169">
        <v>8.6258828571431359</v>
      </c>
      <c r="I274" s="166">
        <v>2164.2000000000698</v>
      </c>
      <c r="J274" s="169">
        <f t="shared" si="23"/>
        <v>3.9857142857142862</v>
      </c>
      <c r="O274" s="166">
        <v>467.199999999998</v>
      </c>
      <c r="P274" s="169" t="e">
        <f t="shared" si="21"/>
        <v>#NAME?</v>
      </c>
      <c r="Q274" s="171">
        <v>467.199999999998</v>
      </c>
      <c r="R274" s="172">
        <v>467.70999999999799</v>
      </c>
      <c r="S274" s="169">
        <v>10.695400000000522</v>
      </c>
      <c r="X274" s="166">
        <v>269.699999999998</v>
      </c>
      <c r="Y274" s="169" t="e">
        <f t="shared" si="22"/>
        <v>#NAME?</v>
      </c>
      <c r="Z274" s="173">
        <v>269.699999999998</v>
      </c>
      <c r="AA274" s="166">
        <v>268.36200000000002</v>
      </c>
      <c r="AB274" s="171">
        <v>4.1665000000000001</v>
      </c>
      <c r="AC274" s="166">
        <v>620.20000000000005</v>
      </c>
      <c r="AD274" s="169">
        <f t="shared" si="24"/>
        <v>6.7179941954208324</v>
      </c>
    </row>
    <row r="275" spans="4:30">
      <c r="D275" s="166">
        <v>410.70999999999799</v>
      </c>
      <c r="E275" s="168" t="e">
        <f t="shared" si="20"/>
        <v>#NAME?</v>
      </c>
      <c r="F275" s="169">
        <v>410.70999999999799</v>
      </c>
      <c r="G275" s="170">
        <v>410.33</v>
      </c>
      <c r="H275" s="169">
        <v>6.1957928571423926</v>
      </c>
      <c r="I275" s="166">
        <v>1554.4999999998836</v>
      </c>
      <c r="J275" s="169">
        <f t="shared" si="23"/>
        <v>3.9857142857142853</v>
      </c>
      <c r="O275" s="166">
        <v>467.20999999999799</v>
      </c>
      <c r="P275" s="169" t="e">
        <f t="shared" si="21"/>
        <v>#NAME?</v>
      </c>
      <c r="Q275" s="171">
        <v>467.20999999999799</v>
      </c>
      <c r="R275" s="172">
        <v>467.71999999999798</v>
      </c>
      <c r="S275" s="169">
        <v>10.692800000000524</v>
      </c>
      <c r="X275" s="166">
        <v>269.70999999999799</v>
      </c>
      <c r="Y275" s="169" t="e">
        <f t="shared" si="22"/>
        <v>#NAME?</v>
      </c>
      <c r="Z275" s="173">
        <v>269.70999999999799</v>
      </c>
      <c r="AA275" s="166">
        <v>271.01</v>
      </c>
      <c r="AB275" s="171">
        <v>8.488900000000001</v>
      </c>
      <c r="AC275" s="166">
        <v>1273.0999999999999</v>
      </c>
      <c r="AD275" s="169">
        <f t="shared" si="24"/>
        <v>6.6678972586599645</v>
      </c>
    </row>
    <row r="276" spans="4:30">
      <c r="D276" s="166">
        <v>410.71999999999798</v>
      </c>
      <c r="E276" s="168" t="e">
        <f t="shared" si="20"/>
        <v>#NAME?</v>
      </c>
      <c r="F276" s="169">
        <v>410.71999999999798</v>
      </c>
      <c r="G276" s="170">
        <v>410.12</v>
      </c>
      <c r="H276" s="169">
        <v>6.5222228571429497</v>
      </c>
      <c r="I276" s="166">
        <v>1636.4000000000233</v>
      </c>
      <c r="J276" s="169">
        <f t="shared" si="23"/>
        <v>3.9857142857142853</v>
      </c>
      <c r="O276" s="166">
        <v>467.21999999999798</v>
      </c>
      <c r="P276" s="169" t="e">
        <f t="shared" si="21"/>
        <v>#NAME?</v>
      </c>
      <c r="Q276" s="171">
        <v>467.21999999999798</v>
      </c>
      <c r="R276" s="172">
        <v>467.72999999999797</v>
      </c>
      <c r="S276" s="169">
        <v>10.690200000000527</v>
      </c>
      <c r="X276" s="166">
        <v>269.71999999999798</v>
      </c>
      <c r="Y276" s="169" t="e">
        <f t="shared" si="22"/>
        <v>#NAME?</v>
      </c>
      <c r="Z276" s="173">
        <v>269.71999999999798</v>
      </c>
      <c r="AA276" s="166">
        <v>268.30399999999997</v>
      </c>
      <c r="AB276" s="171">
        <v>12.904700000000002</v>
      </c>
      <c r="AC276" s="166">
        <v>1952</v>
      </c>
      <c r="AD276" s="169">
        <f t="shared" si="24"/>
        <v>6.6110143442622959</v>
      </c>
    </row>
    <row r="277" spans="4:30">
      <c r="D277" s="166">
        <v>410.72999999999797</v>
      </c>
      <c r="E277" s="168" t="e">
        <f t="shared" si="20"/>
        <v>#NAME?</v>
      </c>
      <c r="F277" s="169">
        <v>410.72999999999797</v>
      </c>
      <c r="G277" s="170">
        <v>409.65</v>
      </c>
      <c r="H277" s="169">
        <v>7.017647142857423</v>
      </c>
      <c r="I277" s="166">
        <v>1760.7000000000698</v>
      </c>
      <c r="J277" s="169">
        <f t="shared" si="23"/>
        <v>3.9857142857142867</v>
      </c>
      <c r="O277" s="166">
        <v>467.22999999999797</v>
      </c>
      <c r="P277" s="169" t="e">
        <f t="shared" si="21"/>
        <v>#NAME?</v>
      </c>
      <c r="Q277" s="171">
        <v>467.22999999999797</v>
      </c>
      <c r="R277" s="172">
        <v>467.73999999999802</v>
      </c>
      <c r="S277" s="169">
        <v>10.687600000000515</v>
      </c>
      <c r="X277" s="166">
        <v>269.72999999999797</v>
      </c>
      <c r="Y277" s="169" t="e">
        <f t="shared" si="22"/>
        <v>#NAME?</v>
      </c>
      <c r="Z277" s="173">
        <v>269.72999999999797</v>
      </c>
      <c r="AA277" s="166">
        <v>268.68099999999998</v>
      </c>
      <c r="AB277" s="171">
        <v>3.4270000000000005</v>
      </c>
      <c r="AC277" s="166">
        <v>522.1</v>
      </c>
      <c r="AD277" s="169">
        <f t="shared" si="24"/>
        <v>6.5638766519823797</v>
      </c>
    </row>
    <row r="278" spans="4:30">
      <c r="D278" s="166">
        <v>410.73999999999802</v>
      </c>
      <c r="E278" s="168" t="e">
        <f t="shared" si="20"/>
        <v>#NAME?</v>
      </c>
      <c r="F278" s="169">
        <v>410.73999999999802</v>
      </c>
      <c r="G278" s="170">
        <v>410.88</v>
      </c>
      <c r="H278" s="169">
        <v>4.3516028571430434</v>
      </c>
      <c r="I278" s="166">
        <v>1091.8000000000466</v>
      </c>
      <c r="J278" s="169">
        <f t="shared" si="23"/>
        <v>3.9857142857142862</v>
      </c>
      <c r="O278" s="166">
        <v>467.23999999999802</v>
      </c>
      <c r="P278" s="169" t="e">
        <f t="shared" si="21"/>
        <v>#NAME?</v>
      </c>
      <c r="Q278" s="171">
        <v>467.23999999999802</v>
      </c>
      <c r="R278" s="172">
        <v>467.74999999999699</v>
      </c>
      <c r="S278" s="169">
        <v>10.685000000000782</v>
      </c>
      <c r="X278" s="166">
        <v>269.73999999999802</v>
      </c>
      <c r="Y278" s="169" t="e">
        <f t="shared" si="22"/>
        <v>#NAME?</v>
      </c>
      <c r="Z278" s="173">
        <v>269.73999999999802</v>
      </c>
      <c r="AA278" s="166">
        <v>268.976</v>
      </c>
      <c r="AB278" s="171">
        <v>4.440900000000001</v>
      </c>
      <c r="AC278" s="166">
        <v>670.1</v>
      </c>
      <c r="AD278" s="169">
        <f t="shared" si="24"/>
        <v>6.6272198179376227</v>
      </c>
    </row>
    <row r="279" spans="4:30">
      <c r="D279" s="166">
        <v>410.74999999999699</v>
      </c>
      <c r="E279" s="168" t="e">
        <f t="shared" si="20"/>
        <v>#NAME?</v>
      </c>
      <c r="F279" s="169">
        <v>410.74999999999699</v>
      </c>
      <c r="G279" s="170">
        <v>409.15</v>
      </c>
      <c r="H279" s="169">
        <v>15.779044285714377</v>
      </c>
      <c r="I279" s="166">
        <v>3958.9000000000233</v>
      </c>
      <c r="J279" s="169">
        <f t="shared" si="23"/>
        <v>3.9857142857142853</v>
      </c>
      <c r="O279" s="166">
        <v>467.24999999999699</v>
      </c>
      <c r="P279" s="169" t="e">
        <f t="shared" si="21"/>
        <v>#NAME?</v>
      </c>
      <c r="Q279" s="171">
        <v>467.24999999999699</v>
      </c>
      <c r="R279" s="172">
        <v>467.75999999999698</v>
      </c>
      <c r="S279" s="169">
        <v>10.682400000000785</v>
      </c>
      <c r="X279" s="166">
        <v>269.74999999999699</v>
      </c>
      <c r="Y279" s="169" t="e">
        <f t="shared" si="22"/>
        <v>#NAME?</v>
      </c>
      <c r="Z279" s="173">
        <v>269.74999999999699</v>
      </c>
      <c r="AA279" s="166">
        <v>269.38499999999999</v>
      </c>
      <c r="AB279" s="171">
        <v>3.7492000000000001</v>
      </c>
      <c r="AC279" s="166">
        <v>568.20000000000005</v>
      </c>
      <c r="AD279" s="169">
        <f t="shared" si="24"/>
        <v>6.5983808518127418</v>
      </c>
    </row>
    <row r="280" spans="4:30">
      <c r="D280" s="166">
        <v>410.75999999999698</v>
      </c>
      <c r="E280" s="168" t="e">
        <f t="shared" si="20"/>
        <v>#NAME?</v>
      </c>
      <c r="F280" s="169">
        <v>410.75999999999698</v>
      </c>
      <c r="G280" s="170">
        <v>410.13</v>
      </c>
      <c r="H280" s="169">
        <v>9.2552271428570503</v>
      </c>
      <c r="I280" s="166">
        <v>2322.0999999999767</v>
      </c>
      <c r="J280" s="169">
        <f t="shared" si="23"/>
        <v>3.9857142857142862</v>
      </c>
      <c r="O280" s="166">
        <v>467.25999999999698</v>
      </c>
      <c r="P280" s="169" t="e">
        <f t="shared" si="21"/>
        <v>#NAME?</v>
      </c>
      <c r="Q280" s="171">
        <v>467.25999999999698</v>
      </c>
      <c r="R280" s="172">
        <v>467.76999999999703</v>
      </c>
      <c r="S280" s="169">
        <v>10.679800000000773</v>
      </c>
      <c r="X280" s="166">
        <v>269.75999999999698</v>
      </c>
      <c r="Y280" s="169" t="e">
        <f t="shared" si="22"/>
        <v>#NAME?</v>
      </c>
      <c r="Z280" s="173">
        <v>269.75999999999698</v>
      </c>
      <c r="AA280" s="166">
        <v>271.01</v>
      </c>
      <c r="AB280" s="171">
        <v>8.488900000000001</v>
      </c>
      <c r="AC280" s="166">
        <v>1273.0999999999999</v>
      </c>
      <c r="AD280" s="169">
        <f t="shared" si="24"/>
        <v>6.6678972586599645</v>
      </c>
    </row>
    <row r="281" spans="4:30">
      <c r="D281" s="166">
        <v>410.76999999999703</v>
      </c>
      <c r="E281" s="168" t="e">
        <f t="shared" si="20"/>
        <v>#NAME?</v>
      </c>
      <c r="F281" s="169">
        <v>410.76999999999703</v>
      </c>
      <c r="G281" s="170">
        <v>410.06</v>
      </c>
      <c r="H281" s="169">
        <v>15.6343628571423</v>
      </c>
      <c r="I281" s="166">
        <v>3922.5999999998603</v>
      </c>
      <c r="J281" s="169">
        <f t="shared" si="23"/>
        <v>3.9857142857142853</v>
      </c>
      <c r="O281" s="166">
        <v>467.26999999999703</v>
      </c>
      <c r="P281" s="169" t="e">
        <f t="shared" si="21"/>
        <v>#NAME?</v>
      </c>
      <c r="Q281" s="171">
        <v>467.26999999999703</v>
      </c>
      <c r="R281" s="172">
        <v>467.77999999999702</v>
      </c>
      <c r="S281" s="169">
        <v>10.677200000000775</v>
      </c>
      <c r="X281" s="166">
        <v>269.76999999999703</v>
      </c>
      <c r="Y281" s="169" t="e">
        <f t="shared" si="22"/>
        <v>#NAME?</v>
      </c>
      <c r="Z281" s="173">
        <v>269.76999999999703</v>
      </c>
      <c r="AA281" s="166">
        <v>269.63</v>
      </c>
      <c r="AB281" s="171">
        <v>5.7106000000000012</v>
      </c>
      <c r="AC281" s="166">
        <v>854.4</v>
      </c>
      <c r="AD281" s="169">
        <f t="shared" si="24"/>
        <v>6.6837546816479412</v>
      </c>
    </row>
    <row r="282" spans="4:30">
      <c r="D282" s="166">
        <v>410.77999999999702</v>
      </c>
      <c r="E282" s="168" t="e">
        <f t="shared" si="20"/>
        <v>#NAME?</v>
      </c>
      <c r="F282" s="169">
        <v>410.77999999999702</v>
      </c>
      <c r="G282" s="170">
        <v>410.98</v>
      </c>
      <c r="H282" s="169">
        <v>10.789727142857052</v>
      </c>
      <c r="I282" s="166">
        <v>2707.0999999999767</v>
      </c>
      <c r="J282" s="169">
        <f t="shared" si="23"/>
        <v>3.9857142857142862</v>
      </c>
      <c r="O282" s="166">
        <v>467.27999999999702</v>
      </c>
      <c r="P282" s="169" t="e">
        <f t="shared" si="21"/>
        <v>#NAME?</v>
      </c>
      <c r="Q282" s="171">
        <v>467.27999999999702</v>
      </c>
      <c r="R282" s="172">
        <v>467.78999999999701</v>
      </c>
      <c r="S282" s="169">
        <v>10.674600000000778</v>
      </c>
      <c r="X282" s="166">
        <v>269.77999999999702</v>
      </c>
      <c r="Y282" s="169" t="e">
        <f t="shared" si="22"/>
        <v>#NAME?</v>
      </c>
      <c r="Z282" s="173">
        <v>269.77999999999702</v>
      </c>
      <c r="AA282" s="166">
        <v>269.45749999999998</v>
      </c>
      <c r="AB282" s="171">
        <v>18.920300000000001</v>
      </c>
      <c r="AC282" s="166">
        <v>2840.6</v>
      </c>
      <c r="AD282" s="169">
        <f t="shared" si="24"/>
        <v>6.6606702809265652</v>
      </c>
    </row>
    <row r="283" spans="4:30">
      <c r="D283" s="166">
        <v>410.78999999999701</v>
      </c>
      <c r="E283" s="168" t="e">
        <f t="shared" si="20"/>
        <v>#NAME?</v>
      </c>
      <c r="F283" s="169">
        <v>410.78999999999701</v>
      </c>
      <c r="G283" s="170">
        <v>409.91</v>
      </c>
      <c r="H283" s="169">
        <v>19.73406857142885</v>
      </c>
      <c r="I283" s="166">
        <v>4951.2000000000698</v>
      </c>
      <c r="J283" s="169">
        <f t="shared" si="23"/>
        <v>3.9857142857142862</v>
      </c>
      <c r="O283" s="166">
        <v>467.28999999999701</v>
      </c>
      <c r="P283" s="169" t="e">
        <f t="shared" si="21"/>
        <v>#NAME?</v>
      </c>
      <c r="Q283" s="171">
        <v>467.28999999999701</v>
      </c>
      <c r="R283" s="172">
        <v>467.799999999997</v>
      </c>
      <c r="S283" s="169">
        <v>10.67200000000078</v>
      </c>
      <c r="X283" s="166">
        <v>269.78999999999701</v>
      </c>
      <c r="Y283" s="169" t="e">
        <f t="shared" si="22"/>
        <v>#NAME?</v>
      </c>
      <c r="Z283" s="173">
        <v>269.78999999999701</v>
      </c>
      <c r="AA283" s="166">
        <v>269.64100000000002</v>
      </c>
      <c r="AB283" s="171">
        <v>9.7830999999999975</v>
      </c>
      <c r="AC283" s="166">
        <v>1472.8</v>
      </c>
      <c r="AD283" s="169">
        <f t="shared" si="24"/>
        <v>6.642517653449211</v>
      </c>
    </row>
    <row r="284" spans="4:30">
      <c r="D284" s="166">
        <v>410.799999999997</v>
      </c>
      <c r="E284" s="168" t="e">
        <f t="shared" si="20"/>
        <v>#NAME?</v>
      </c>
      <c r="F284" s="169">
        <v>410.799999999997</v>
      </c>
      <c r="G284" s="170">
        <v>409.16</v>
      </c>
      <c r="H284" s="169">
        <v>18.34983000000009</v>
      </c>
      <c r="I284" s="166">
        <v>4603.9000000000233</v>
      </c>
      <c r="J284" s="169">
        <f t="shared" si="23"/>
        <v>3.9857142857142853</v>
      </c>
      <c r="O284" s="166">
        <v>467.299999999997</v>
      </c>
      <c r="P284" s="169" t="e">
        <f t="shared" si="21"/>
        <v>#NAME?</v>
      </c>
      <c r="Q284" s="171">
        <v>467.299999999997</v>
      </c>
      <c r="R284" s="172">
        <v>467.80999999999699</v>
      </c>
      <c r="S284" s="169">
        <v>10.669400000000783</v>
      </c>
      <c r="X284" s="166">
        <v>269.799999999997</v>
      </c>
      <c r="Y284" s="169" t="e">
        <f t="shared" si="22"/>
        <v>#NAME?</v>
      </c>
      <c r="Z284" s="173">
        <v>269.799999999997</v>
      </c>
      <c r="AA284" s="166">
        <v>270.33499999999998</v>
      </c>
      <c r="AB284" s="171">
        <v>5.7957000000000001</v>
      </c>
      <c r="AC284" s="166">
        <v>886.2</v>
      </c>
      <c r="AD284" s="169">
        <f t="shared" si="24"/>
        <v>6.5399458361543665</v>
      </c>
    </row>
    <row r="285" spans="4:30">
      <c r="D285" s="166">
        <v>410.80999999999699</v>
      </c>
      <c r="E285" s="168" t="e">
        <f t="shared" si="20"/>
        <v>#NAME?</v>
      </c>
      <c r="F285" s="169">
        <v>410.80999999999699</v>
      </c>
      <c r="G285" s="170">
        <v>409.9</v>
      </c>
      <c r="H285" s="169">
        <v>11.527084285714192</v>
      </c>
      <c r="I285" s="166">
        <v>2892.0999999999767</v>
      </c>
      <c r="J285" s="169">
        <f t="shared" si="23"/>
        <v>3.9857142857142853</v>
      </c>
      <c r="O285" s="166">
        <v>467.30999999999699</v>
      </c>
      <c r="P285" s="169" t="e">
        <f t="shared" si="21"/>
        <v>#NAME?</v>
      </c>
      <c r="Q285" s="171">
        <v>467.30999999999699</v>
      </c>
      <c r="R285" s="172">
        <v>467.81999999999698</v>
      </c>
      <c r="S285" s="169">
        <v>10.666800000000785</v>
      </c>
      <c r="X285" s="166">
        <v>269.80999999999699</v>
      </c>
      <c r="Y285" s="169" t="e">
        <f t="shared" si="22"/>
        <v>#NAME?</v>
      </c>
      <c r="Z285" s="173">
        <v>269.80999999999699</v>
      </c>
      <c r="AA285" s="166">
        <v>270.46499999999997</v>
      </c>
      <c r="AB285" s="171">
        <v>12.834500000000002</v>
      </c>
      <c r="AC285" s="166">
        <v>1934.5</v>
      </c>
      <c r="AD285" s="169">
        <f t="shared" si="24"/>
        <v>6.6345308865339891</v>
      </c>
    </row>
    <row r="286" spans="4:30">
      <c r="D286" s="166">
        <v>410.81999999999698</v>
      </c>
      <c r="E286" s="168" t="e">
        <f t="shared" si="20"/>
        <v>#NAME?</v>
      </c>
      <c r="F286" s="169">
        <v>410.81999999999698</v>
      </c>
      <c r="G286" s="170">
        <v>410.71</v>
      </c>
      <c r="H286" s="169">
        <v>11.62792285714295</v>
      </c>
      <c r="I286" s="166">
        <v>2917.4000000000233</v>
      </c>
      <c r="J286" s="169">
        <f t="shared" si="23"/>
        <v>3.9857142857142862</v>
      </c>
      <c r="O286" s="166">
        <v>467.31999999999698</v>
      </c>
      <c r="P286" s="169" t="e">
        <f t="shared" si="21"/>
        <v>#NAME?</v>
      </c>
      <c r="Q286" s="171">
        <v>467.31999999999698</v>
      </c>
      <c r="R286" s="172">
        <v>467.82999999999703</v>
      </c>
      <c r="S286" s="169">
        <v>10.664200000000772</v>
      </c>
      <c r="X286" s="166">
        <v>269.81999999999698</v>
      </c>
      <c r="Y286" s="169" t="e">
        <f t="shared" si="22"/>
        <v>#NAME?</v>
      </c>
      <c r="Z286" s="173">
        <v>269.81999999999698</v>
      </c>
      <c r="AA286" s="166">
        <v>271.13400000000001</v>
      </c>
      <c r="AB286" s="171">
        <v>10.4254</v>
      </c>
      <c r="AC286" s="166">
        <v>1570.1</v>
      </c>
      <c r="AD286" s="169">
        <f t="shared" si="24"/>
        <v>6.6399592382650789</v>
      </c>
    </row>
    <row r="287" spans="4:30">
      <c r="D287" s="166">
        <v>410.82999999999703</v>
      </c>
      <c r="E287" s="168" t="e">
        <f t="shared" si="20"/>
        <v>#NAME?</v>
      </c>
      <c r="F287" s="169">
        <v>410.82999999999703</v>
      </c>
      <c r="G287" s="170">
        <v>411.53</v>
      </c>
      <c r="H287" s="169">
        <v>3.8549828571426716</v>
      </c>
      <c r="I287" s="166">
        <v>967.19999999995343</v>
      </c>
      <c r="J287" s="169">
        <f t="shared" si="23"/>
        <v>3.9857142857142862</v>
      </c>
      <c r="O287" s="166">
        <v>467.32999999999703</v>
      </c>
      <c r="P287" s="169" t="e">
        <f t="shared" si="21"/>
        <v>#NAME?</v>
      </c>
      <c r="Q287" s="171">
        <v>467.32999999999703</v>
      </c>
      <c r="R287" s="172">
        <v>467.83999999999702</v>
      </c>
      <c r="S287" s="169">
        <v>10.661600000000774</v>
      </c>
      <c r="X287" s="166">
        <v>269.82999999999703</v>
      </c>
      <c r="Y287" s="169" t="e">
        <f t="shared" si="22"/>
        <v>#NAME?</v>
      </c>
      <c r="Z287" s="173">
        <v>269.82999999999703</v>
      </c>
      <c r="AA287" s="166">
        <v>271.029</v>
      </c>
      <c r="AB287" s="171">
        <v>22.716899999999995</v>
      </c>
      <c r="AC287" s="166">
        <v>3454.2</v>
      </c>
      <c r="AD287" s="169">
        <f t="shared" si="24"/>
        <v>6.576602397081813</v>
      </c>
    </row>
    <row r="288" spans="4:30">
      <c r="D288" s="166">
        <v>410.83999999999702</v>
      </c>
      <c r="E288" s="168" t="e">
        <f t="shared" si="20"/>
        <v>#NAME?</v>
      </c>
      <c r="F288" s="169">
        <v>410.83999999999702</v>
      </c>
      <c r="G288" s="170">
        <v>411.95</v>
      </c>
      <c r="H288" s="169">
        <v>2.5504585714286638</v>
      </c>
      <c r="I288" s="166">
        <v>639.90000000002328</v>
      </c>
      <c r="J288" s="169">
        <f t="shared" si="23"/>
        <v>3.9857142857142853</v>
      </c>
      <c r="O288" s="166">
        <v>467.33999999999702</v>
      </c>
      <c r="P288" s="169" t="e">
        <f t="shared" si="21"/>
        <v>#NAME?</v>
      </c>
      <c r="Q288" s="171">
        <v>467.33999999999702</v>
      </c>
      <c r="R288" s="172">
        <v>467.84999999999701</v>
      </c>
      <c r="S288" s="169">
        <v>10.659000000000777</v>
      </c>
      <c r="X288" s="166">
        <v>269.83999999999702</v>
      </c>
      <c r="Y288" s="169" t="e">
        <f t="shared" si="22"/>
        <v>#NAME?</v>
      </c>
      <c r="Z288" s="173">
        <v>269.83999999999702</v>
      </c>
      <c r="AA288" s="166">
        <v>270.68200000000002</v>
      </c>
      <c r="AB288" s="171">
        <v>21.407999999999994</v>
      </c>
      <c r="AC288" s="166">
        <v>3219.6</v>
      </c>
      <c r="AD288" s="169">
        <f t="shared" si="24"/>
        <v>6.6492732016399536</v>
      </c>
    </row>
    <row r="289" spans="4:30">
      <c r="D289" s="166">
        <v>410.84999999999701</v>
      </c>
      <c r="E289" s="168" t="e">
        <f t="shared" si="20"/>
        <v>#NAME?</v>
      </c>
      <c r="F289" s="169">
        <v>410.84999999999701</v>
      </c>
      <c r="G289" s="170">
        <v>411.65</v>
      </c>
      <c r="H289" s="169">
        <v>6.6645128571427632</v>
      </c>
      <c r="I289" s="166">
        <v>1672.0999999999767</v>
      </c>
      <c r="J289" s="169">
        <f t="shared" si="23"/>
        <v>3.9857142857142853</v>
      </c>
      <c r="O289" s="166">
        <v>467.34999999999701</v>
      </c>
      <c r="P289" s="169" t="e">
        <f t="shared" si="21"/>
        <v>#NAME?</v>
      </c>
      <c r="Q289" s="171">
        <v>467.34999999999701</v>
      </c>
      <c r="R289" s="172">
        <v>467.859999999997</v>
      </c>
      <c r="S289" s="169">
        <v>10.656400000000779</v>
      </c>
      <c r="X289" s="166">
        <v>269.84999999999701</v>
      </c>
      <c r="Y289" s="169" t="e">
        <f t="shared" si="22"/>
        <v>#NAME?</v>
      </c>
      <c r="Z289" s="173">
        <v>269.84999999999701</v>
      </c>
      <c r="AA289" s="166">
        <v>270.60500000000002</v>
      </c>
      <c r="AB289" s="171">
        <v>17.060199999999991</v>
      </c>
      <c r="AC289" s="166">
        <v>2564.7000000000003</v>
      </c>
      <c r="AD289" s="169">
        <f t="shared" si="24"/>
        <v>6.6519281007525208</v>
      </c>
    </row>
    <row r="290" spans="4:30">
      <c r="D290" s="166">
        <v>410.859999999997</v>
      </c>
      <c r="E290" s="168" t="e">
        <f t="shared" si="20"/>
        <v>#NAME?</v>
      </c>
      <c r="F290" s="169">
        <v>410.859999999997</v>
      </c>
      <c r="G290" s="170">
        <v>411.12</v>
      </c>
      <c r="H290" s="169">
        <v>7.6772828571431377</v>
      </c>
      <c r="I290" s="166">
        <v>1926.2000000000698</v>
      </c>
      <c r="J290" s="169">
        <f t="shared" si="23"/>
        <v>3.9857142857142867</v>
      </c>
      <c r="O290" s="166">
        <v>467.359999999997</v>
      </c>
      <c r="P290" s="169" t="e">
        <f t="shared" si="21"/>
        <v>#NAME?</v>
      </c>
      <c r="Q290" s="171">
        <v>467.359999999997</v>
      </c>
      <c r="R290" s="172">
        <v>467.86999999999699</v>
      </c>
      <c r="S290" s="169">
        <v>10.653800000000782</v>
      </c>
      <c r="X290" s="166">
        <v>269.859999999997</v>
      </c>
      <c r="Y290" s="169" t="e">
        <f t="shared" si="22"/>
        <v>#NAME?</v>
      </c>
      <c r="Z290" s="173">
        <v>269.859999999997</v>
      </c>
      <c r="AA290" s="166">
        <v>270.68700000000001</v>
      </c>
      <c r="AB290" s="171">
        <v>3.1678000000000006</v>
      </c>
      <c r="AC290" s="166">
        <v>462.5</v>
      </c>
      <c r="AD290" s="169">
        <f t="shared" si="24"/>
        <v>6.8492972972972987</v>
      </c>
    </row>
    <row r="291" spans="4:30">
      <c r="D291" s="166">
        <v>410.86999999999699</v>
      </c>
      <c r="E291" s="168" t="e">
        <f t="shared" si="20"/>
        <v>#NAME?</v>
      </c>
      <c r="F291" s="169">
        <v>410.86999999999699</v>
      </c>
      <c r="G291" s="170">
        <v>410.8</v>
      </c>
      <c r="H291" s="169">
        <v>6.5138528571425782</v>
      </c>
      <c r="I291" s="166">
        <v>1634.2999999999302</v>
      </c>
      <c r="J291" s="169">
        <f t="shared" si="23"/>
        <v>3.9857142857142853</v>
      </c>
      <c r="O291" s="166">
        <v>467.36999999999699</v>
      </c>
      <c r="P291" s="169" t="e">
        <f t="shared" si="21"/>
        <v>#NAME?</v>
      </c>
      <c r="Q291" s="171">
        <v>467.36999999999699</v>
      </c>
      <c r="R291" s="172">
        <v>467.87999999999698</v>
      </c>
      <c r="S291" s="169">
        <v>10.651200000000784</v>
      </c>
      <c r="X291" s="166">
        <v>269.86999999999699</v>
      </c>
      <c r="Y291" s="169" t="e">
        <f t="shared" si="22"/>
        <v>#NAME?</v>
      </c>
      <c r="Z291" s="173">
        <v>269.86999999999699</v>
      </c>
      <c r="AA291" s="166">
        <v>271.01</v>
      </c>
      <c r="AB291" s="171">
        <v>8.488900000000001</v>
      </c>
      <c r="AC291" s="166">
        <v>1273.0999999999999</v>
      </c>
      <c r="AD291" s="169">
        <f t="shared" si="24"/>
        <v>6.6678972586599645</v>
      </c>
    </row>
    <row r="292" spans="4:30">
      <c r="D292" s="166">
        <v>410.87999999999698</v>
      </c>
      <c r="E292" s="168" t="e">
        <f t="shared" si="20"/>
        <v>#NAME?</v>
      </c>
      <c r="F292" s="169">
        <v>410.87999999999698</v>
      </c>
      <c r="G292" s="170">
        <v>410.43</v>
      </c>
      <c r="H292" s="169">
        <v>6.7294800000000921</v>
      </c>
      <c r="I292" s="166">
        <v>1688.4000000000233</v>
      </c>
      <c r="J292" s="169">
        <f t="shared" si="23"/>
        <v>3.9857142857142853</v>
      </c>
      <c r="O292" s="166">
        <v>467.37999999999698</v>
      </c>
      <c r="P292" s="169" t="e">
        <f t="shared" si="21"/>
        <v>#NAME?</v>
      </c>
      <c r="Q292" s="171">
        <v>467.37999999999698</v>
      </c>
      <c r="R292" s="172">
        <v>467.88999999999697</v>
      </c>
      <c r="S292" s="169">
        <v>10.648600000000787</v>
      </c>
      <c r="X292" s="166">
        <v>269.87999999999698</v>
      </c>
      <c r="Y292" s="169" t="e">
        <f t="shared" si="22"/>
        <v>#NAME?</v>
      </c>
      <c r="Z292" s="173">
        <v>269.87999999999698</v>
      </c>
      <c r="AA292" s="166">
        <v>271.01</v>
      </c>
      <c r="AB292" s="171">
        <v>8.488900000000001</v>
      </c>
      <c r="AC292" s="166">
        <v>1273.0999999999999</v>
      </c>
      <c r="AD292" s="169">
        <f t="shared" si="24"/>
        <v>6.6678972586599645</v>
      </c>
    </row>
    <row r="293" spans="4:30">
      <c r="D293" s="166">
        <v>410.88999999999697</v>
      </c>
      <c r="E293" s="168" t="e">
        <f t="shared" si="20"/>
        <v>#NAME?</v>
      </c>
      <c r="F293" s="169">
        <v>410.88999999999697</v>
      </c>
      <c r="G293" s="170">
        <v>410.05</v>
      </c>
      <c r="H293" s="169">
        <v>6.5740371428572359</v>
      </c>
      <c r="I293" s="166">
        <v>1649.4000000000233</v>
      </c>
      <c r="J293" s="169">
        <f t="shared" si="23"/>
        <v>3.9857142857142862</v>
      </c>
      <c r="O293" s="166">
        <v>467.38999999999697</v>
      </c>
      <c r="P293" s="169" t="e">
        <f t="shared" si="21"/>
        <v>#NAME?</v>
      </c>
      <c r="Q293" s="171">
        <v>467.38999999999697</v>
      </c>
      <c r="R293" s="172">
        <v>467.89999999999702</v>
      </c>
      <c r="S293" s="169">
        <v>10.646000000000774</v>
      </c>
      <c r="X293" s="166">
        <v>269.88999999999697</v>
      </c>
      <c r="Y293" s="169" t="e">
        <f t="shared" si="22"/>
        <v>#NAME?</v>
      </c>
      <c r="Z293" s="173">
        <v>269.88999999999697</v>
      </c>
      <c r="AA293" s="166">
        <v>271.47699999999998</v>
      </c>
      <c r="AB293" s="171">
        <v>8.8282000000000007</v>
      </c>
      <c r="AC293" s="166">
        <v>1783.2</v>
      </c>
      <c r="AD293" s="169">
        <f t="shared" si="24"/>
        <v>4.9507626738447739</v>
      </c>
    </row>
    <row r="294" spans="4:30">
      <c r="D294" s="166">
        <v>410.89999999999702</v>
      </c>
      <c r="E294" s="168" t="e">
        <f t="shared" si="20"/>
        <v>#NAME?</v>
      </c>
      <c r="F294" s="169">
        <v>410.89999999999702</v>
      </c>
      <c r="G294" s="170">
        <v>409.38</v>
      </c>
      <c r="H294" s="169">
        <v>7.2575871428572372</v>
      </c>
      <c r="I294" s="166">
        <v>1820.9000000000233</v>
      </c>
      <c r="J294" s="169">
        <f t="shared" si="23"/>
        <v>3.9857142857142867</v>
      </c>
      <c r="O294" s="166">
        <v>467.39999999999702</v>
      </c>
      <c r="P294" s="169" t="e">
        <f t="shared" si="21"/>
        <v>#NAME?</v>
      </c>
      <c r="Q294" s="171">
        <v>467.39999999999702</v>
      </c>
      <c r="R294" s="172">
        <v>467.90999999999701</v>
      </c>
      <c r="S294" s="169">
        <v>10.643400000000776</v>
      </c>
      <c r="X294" s="166">
        <v>269.89999999999702</v>
      </c>
      <c r="Y294" s="169" t="e">
        <f t="shared" si="22"/>
        <v>#NAME?</v>
      </c>
      <c r="Z294" s="173">
        <v>269.89999999999702</v>
      </c>
      <c r="AA294" s="166">
        <v>271.20499999999998</v>
      </c>
      <c r="AB294" s="171">
        <v>13.4848</v>
      </c>
      <c r="AC294" s="166">
        <v>2021.5</v>
      </c>
      <c r="AD294" s="169">
        <f t="shared" si="24"/>
        <v>6.6706900816225581</v>
      </c>
    </row>
    <row r="295" spans="4:30">
      <c r="D295" s="166">
        <v>410.90999999999701</v>
      </c>
      <c r="E295" s="168" t="e">
        <f t="shared" si="20"/>
        <v>#NAME?</v>
      </c>
      <c r="F295" s="169">
        <v>410.90999999999701</v>
      </c>
      <c r="G295" s="170">
        <v>410.01</v>
      </c>
      <c r="H295" s="169">
        <v>1.7174442857139143</v>
      </c>
      <c r="I295" s="166">
        <v>430.89999999990687</v>
      </c>
      <c r="J295" s="169">
        <f t="shared" si="23"/>
        <v>3.9857142857142853</v>
      </c>
      <c r="O295" s="166">
        <v>467.40999999999701</v>
      </c>
      <c r="P295" s="169" t="e">
        <f t="shared" si="21"/>
        <v>#NAME?</v>
      </c>
      <c r="Q295" s="171">
        <v>467.40999999999701</v>
      </c>
      <c r="R295" s="172">
        <v>467.919999999997</v>
      </c>
      <c r="S295" s="169">
        <v>10.640800000000779</v>
      </c>
      <c r="X295" s="166">
        <v>269.90999999999701</v>
      </c>
      <c r="Y295" s="169" t="e">
        <f t="shared" si="22"/>
        <v>#NAME?</v>
      </c>
      <c r="Z295" s="173">
        <v>269.90999999999701</v>
      </c>
      <c r="AA295" s="166">
        <v>271.03699999999998</v>
      </c>
      <c r="AB295" s="171">
        <v>12.323000000000004</v>
      </c>
      <c r="AC295" s="166">
        <v>1865</v>
      </c>
      <c r="AD295" s="169">
        <f t="shared" si="24"/>
        <v>6.6075067024128709</v>
      </c>
    </row>
    <row r="296" spans="4:30">
      <c r="D296" s="166">
        <v>410.919999999997</v>
      </c>
      <c r="E296" s="168" t="e">
        <f t="shared" si="20"/>
        <v>#NAME?</v>
      </c>
      <c r="F296" s="169">
        <v>410.919999999997</v>
      </c>
      <c r="G296" s="170">
        <v>410.45</v>
      </c>
      <c r="H296" s="169">
        <v>2.699125714285993</v>
      </c>
      <c r="I296" s="166">
        <v>677.20000000006985</v>
      </c>
      <c r="J296" s="169">
        <f t="shared" si="23"/>
        <v>3.9857142857142862</v>
      </c>
      <c r="O296" s="166">
        <v>467.419999999997</v>
      </c>
      <c r="P296" s="169" t="e">
        <f t="shared" si="21"/>
        <v>#NAME?</v>
      </c>
      <c r="Q296" s="171">
        <v>467.419999999997</v>
      </c>
      <c r="R296" s="172">
        <v>467.92999999999699</v>
      </c>
      <c r="S296" s="169">
        <v>10.638200000000781</v>
      </c>
      <c r="X296" s="166">
        <v>269.919999999997</v>
      </c>
      <c r="Y296" s="169" t="e">
        <f t="shared" si="22"/>
        <v>#NAME?</v>
      </c>
      <c r="Z296" s="173">
        <v>269.919999999997</v>
      </c>
      <c r="AA296" s="166">
        <v>270.625</v>
      </c>
      <c r="AB296" s="171">
        <v>15.684799999999999</v>
      </c>
      <c r="AC296" s="166">
        <v>2381.8000000000002</v>
      </c>
      <c r="AD296" s="169">
        <f t="shared" si="24"/>
        <v>6.5852716432949858</v>
      </c>
    </row>
    <row r="297" spans="4:30">
      <c r="D297" s="166">
        <v>410.92999999999699</v>
      </c>
      <c r="E297" s="168" t="e">
        <f t="shared" si="20"/>
        <v>#NAME?</v>
      </c>
      <c r="F297" s="169">
        <v>410.92999999999699</v>
      </c>
      <c r="G297" s="170">
        <v>410.46</v>
      </c>
      <c r="H297" s="169">
        <v>4.648139999999815</v>
      </c>
      <c r="I297" s="166">
        <v>1166.1999999999534</v>
      </c>
      <c r="J297" s="169">
        <f t="shared" si="23"/>
        <v>3.9857142857142862</v>
      </c>
      <c r="O297" s="166">
        <v>467.42999999999699</v>
      </c>
      <c r="P297" s="169" t="e">
        <f t="shared" si="21"/>
        <v>#NAME?</v>
      </c>
      <c r="Q297" s="171">
        <v>467.42999999999699</v>
      </c>
      <c r="R297" s="172">
        <v>467.93999999999699</v>
      </c>
      <c r="S297" s="169">
        <v>10.635600000000784</v>
      </c>
      <c r="X297" s="166">
        <v>269.92999999999699</v>
      </c>
      <c r="Y297" s="169" t="e">
        <f t="shared" si="22"/>
        <v>#NAME?</v>
      </c>
      <c r="Z297" s="173">
        <v>269.92999999999699</v>
      </c>
      <c r="AA297" s="166">
        <v>270.99099999999999</v>
      </c>
      <c r="AB297" s="171">
        <v>3.3496000000000006</v>
      </c>
      <c r="AC297" s="166">
        <v>496.6</v>
      </c>
      <c r="AD297" s="169">
        <f t="shared" si="24"/>
        <v>6.7450664518727352</v>
      </c>
    </row>
    <row r="298" spans="4:30">
      <c r="D298" s="166">
        <v>410.93999999999699</v>
      </c>
      <c r="E298" s="168" t="e">
        <f t="shared" si="20"/>
        <v>#NAME?</v>
      </c>
      <c r="F298" s="169">
        <v>410.93999999999699</v>
      </c>
      <c r="G298" s="170">
        <v>410.52</v>
      </c>
      <c r="H298" s="169">
        <v>4.8522085714286627</v>
      </c>
      <c r="I298" s="166">
        <v>1166.1999999999534</v>
      </c>
      <c r="J298" s="175">
        <f t="shared" si="23"/>
        <v>4.1607001984469694</v>
      </c>
      <c r="O298" s="166">
        <v>467.43999999999699</v>
      </c>
      <c r="P298" s="169" t="e">
        <f t="shared" si="21"/>
        <v>#NAME?</v>
      </c>
      <c r="Q298" s="171">
        <v>467.43999999999699</v>
      </c>
      <c r="R298" s="172">
        <v>467.94999999999698</v>
      </c>
      <c r="S298" s="169">
        <v>10.633000000000786</v>
      </c>
      <c r="X298" s="166">
        <v>269.93999999999699</v>
      </c>
      <c r="Y298" s="169" t="e">
        <f t="shared" si="22"/>
        <v>#NAME?</v>
      </c>
      <c r="Z298" s="173">
        <v>269.93999999999699</v>
      </c>
      <c r="AA298" s="166">
        <v>271.01</v>
      </c>
      <c r="AB298" s="171">
        <v>8.488900000000001</v>
      </c>
      <c r="AC298" s="166">
        <v>1273.0999999999999</v>
      </c>
      <c r="AD298" s="169">
        <f t="shared" si="24"/>
        <v>6.6678972586599645</v>
      </c>
    </row>
    <row r="299" spans="4:30">
      <c r="D299" s="166">
        <v>410.94999999999698</v>
      </c>
      <c r="E299" s="168" t="e">
        <f t="shared" si="20"/>
        <v>#NAME?</v>
      </c>
      <c r="F299" s="169">
        <v>410.94999999999698</v>
      </c>
      <c r="G299" s="170">
        <v>410.51</v>
      </c>
      <c r="H299" s="169">
        <v>6.6736800000000915</v>
      </c>
      <c r="I299" s="166">
        <v>1674.4000000000233</v>
      </c>
      <c r="J299" s="169">
        <f t="shared" si="23"/>
        <v>3.9857142857142853</v>
      </c>
      <c r="O299" s="166">
        <v>467.44999999999698</v>
      </c>
      <c r="P299" s="169" t="e">
        <f t="shared" si="21"/>
        <v>#NAME?</v>
      </c>
      <c r="Q299" s="171">
        <v>467.44999999999698</v>
      </c>
      <c r="R299" s="172">
        <v>467.95999999999702</v>
      </c>
      <c r="S299" s="169">
        <v>10.630400000000773</v>
      </c>
      <c r="X299" s="166">
        <v>269.94999999999698</v>
      </c>
      <c r="Y299" s="169" t="e">
        <f t="shared" si="22"/>
        <v>#NAME?</v>
      </c>
      <c r="Z299" s="173">
        <v>269.94999999999698</v>
      </c>
      <c r="AA299" s="166">
        <v>271.42200000000003</v>
      </c>
      <c r="AB299" s="171">
        <v>2.4226000000000001</v>
      </c>
      <c r="AC299" s="166">
        <v>366.3</v>
      </c>
      <c r="AD299" s="169">
        <f t="shared" si="24"/>
        <v>6.6137046137046136</v>
      </c>
    </row>
    <row r="300" spans="4:30">
      <c r="D300" s="166">
        <v>410.95999999999702</v>
      </c>
      <c r="E300" s="168" t="e">
        <f t="shared" si="20"/>
        <v>#NAME?</v>
      </c>
      <c r="F300" s="169">
        <v>410.95999999999702</v>
      </c>
      <c r="G300" s="170">
        <v>410.42</v>
      </c>
      <c r="H300" s="169">
        <v>7.0945714285714292</v>
      </c>
      <c r="I300" s="166">
        <v>1780</v>
      </c>
      <c r="J300" s="169">
        <f t="shared" si="23"/>
        <v>3.9857142857142862</v>
      </c>
      <c r="O300" s="166">
        <v>467.45999999999702</v>
      </c>
      <c r="P300" s="169" t="e">
        <f t="shared" si="21"/>
        <v>#NAME?</v>
      </c>
      <c r="Q300" s="171">
        <v>467.45999999999702</v>
      </c>
      <c r="R300" s="172">
        <v>467.96999999999701</v>
      </c>
      <c r="S300" s="169">
        <v>10.627800000000775</v>
      </c>
      <c r="X300" s="166">
        <v>269.95999999999702</v>
      </c>
      <c r="Y300" s="169" t="e">
        <f t="shared" si="22"/>
        <v>#NAME?</v>
      </c>
      <c r="Z300" s="173">
        <v>269.95999999999702</v>
      </c>
      <c r="AA300" s="166">
        <v>271.18</v>
      </c>
      <c r="AB300" s="171">
        <v>11.736000000000001</v>
      </c>
      <c r="AC300" s="166">
        <v>1656.7</v>
      </c>
      <c r="AD300" s="169">
        <f t="shared" si="24"/>
        <v>7.0839620933180418</v>
      </c>
    </row>
    <row r="301" spans="4:30">
      <c r="D301" s="166">
        <v>410.96999999999701</v>
      </c>
      <c r="E301" s="168" t="e">
        <f t="shared" si="20"/>
        <v>#NAME?</v>
      </c>
      <c r="F301" s="169">
        <v>410.96999999999701</v>
      </c>
      <c r="G301" s="170">
        <v>410.36</v>
      </c>
      <c r="H301" s="169">
        <v>6.9188014285715234</v>
      </c>
      <c r="I301" s="166">
        <v>1735.9000000000233</v>
      </c>
      <c r="J301" s="169">
        <f t="shared" si="23"/>
        <v>3.9857142857142867</v>
      </c>
      <c r="O301" s="166">
        <v>467.46999999999701</v>
      </c>
      <c r="P301" s="169" t="e">
        <f t="shared" si="21"/>
        <v>#NAME?</v>
      </c>
      <c r="Q301" s="171">
        <v>467.46999999999701</v>
      </c>
      <c r="R301" s="172">
        <v>467.97999999999701</v>
      </c>
      <c r="S301" s="169">
        <v>10.625200000000778</v>
      </c>
      <c r="X301" s="166">
        <v>269.96999999999701</v>
      </c>
      <c r="Y301" s="169" t="e">
        <f t="shared" si="22"/>
        <v>#NAME?</v>
      </c>
      <c r="Z301" s="173">
        <v>269.96999999999701</v>
      </c>
      <c r="AA301" s="166">
        <v>271.14600000000002</v>
      </c>
      <c r="AB301" s="171">
        <v>7.8222000000000032</v>
      </c>
      <c r="AC301" s="166">
        <v>1170.0999999999999</v>
      </c>
      <c r="AD301" s="169">
        <f t="shared" si="24"/>
        <v>6.6850696521664847</v>
      </c>
    </row>
    <row r="302" spans="4:30">
      <c r="D302" s="166">
        <v>410.97999999999701</v>
      </c>
      <c r="E302" s="168" t="e">
        <f t="shared" si="20"/>
        <v>#NAME?</v>
      </c>
      <c r="F302" s="169">
        <v>410.97999999999701</v>
      </c>
      <c r="G302" s="170">
        <v>410.94</v>
      </c>
      <c r="H302" s="169">
        <v>3.3468042857141</v>
      </c>
      <c r="I302" s="166">
        <v>839.69999999995343</v>
      </c>
      <c r="J302" s="169">
        <f t="shared" si="23"/>
        <v>3.9857142857142862</v>
      </c>
      <c r="O302" s="166">
        <v>467.47999999999701</v>
      </c>
      <c r="P302" s="169" t="e">
        <f t="shared" si="21"/>
        <v>#NAME?</v>
      </c>
      <c r="Q302" s="171">
        <v>467.47999999999701</v>
      </c>
      <c r="R302" s="172">
        <v>467.989999999997</v>
      </c>
      <c r="S302" s="169">
        <v>10.62260000000078</v>
      </c>
      <c r="X302" s="166">
        <v>269.97999999999701</v>
      </c>
      <c r="Y302" s="169" t="e">
        <f t="shared" si="22"/>
        <v>#NAME?</v>
      </c>
      <c r="Z302" s="173">
        <v>269.97999999999701</v>
      </c>
      <c r="AA302" s="166">
        <v>271.02499999999998</v>
      </c>
      <c r="AB302" s="171">
        <v>10.110400000000002</v>
      </c>
      <c r="AC302" s="166">
        <v>1540.8</v>
      </c>
      <c r="AD302" s="169">
        <f t="shared" si="24"/>
        <v>6.5617860851505725</v>
      </c>
    </row>
    <row r="303" spans="4:30">
      <c r="D303" s="166">
        <v>410.989999999997</v>
      </c>
      <c r="E303" s="168" t="e">
        <f t="shared" si="20"/>
        <v>#NAME?</v>
      </c>
      <c r="F303" s="169">
        <v>410.989999999997</v>
      </c>
      <c r="G303" s="170">
        <v>411.8</v>
      </c>
      <c r="H303" s="169">
        <v>1.0753457142859</v>
      </c>
      <c r="I303" s="166">
        <v>269.80000000004657</v>
      </c>
      <c r="J303" s="169">
        <f t="shared" si="23"/>
        <v>3.9857142857142862</v>
      </c>
      <c r="O303" s="166">
        <v>467.489999999997</v>
      </c>
      <c r="P303" s="169" t="e">
        <f t="shared" si="21"/>
        <v>#NAME?</v>
      </c>
      <c r="Q303" s="171">
        <v>467.489999999997</v>
      </c>
      <c r="R303" s="172">
        <v>467.99999999999699</v>
      </c>
      <c r="S303" s="169">
        <v>10.620000000000783</v>
      </c>
      <c r="X303" s="166">
        <v>269.989999999997</v>
      </c>
      <c r="Y303" s="169" t="e">
        <f t="shared" si="22"/>
        <v>#NAME?</v>
      </c>
      <c r="Z303" s="173">
        <v>269.989999999997</v>
      </c>
      <c r="AA303" s="166">
        <v>270.78100000000001</v>
      </c>
      <c r="AB303" s="171">
        <v>13.7317</v>
      </c>
      <c r="AC303" s="166">
        <v>2073.4</v>
      </c>
      <c r="AD303" s="169">
        <f t="shared" si="24"/>
        <v>6.6227934793093466</v>
      </c>
    </row>
    <row r="304" spans="4:30">
      <c r="D304" s="166">
        <v>410.99999999999699</v>
      </c>
      <c r="E304" s="168" t="e">
        <f t="shared" si="20"/>
        <v>#NAME?</v>
      </c>
      <c r="F304" s="169">
        <v>410.99999999999699</v>
      </c>
      <c r="G304" s="170">
        <v>411.74</v>
      </c>
      <c r="H304" s="169">
        <v>4.8960514285715231</v>
      </c>
      <c r="I304" s="166">
        <v>1228.4000000000233</v>
      </c>
      <c r="J304" s="169">
        <f t="shared" si="23"/>
        <v>3.9857142857142867</v>
      </c>
      <c r="O304" s="166">
        <v>467.49999999999699</v>
      </c>
      <c r="P304" s="169" t="e">
        <f t="shared" si="21"/>
        <v>#NAME?</v>
      </c>
      <c r="Q304" s="171">
        <v>467.49999999999699</v>
      </c>
      <c r="R304" s="172">
        <v>468.00999999999698</v>
      </c>
      <c r="S304" s="169">
        <v>10.616700000000996</v>
      </c>
      <c r="X304" s="166">
        <v>269.99999999999699</v>
      </c>
      <c r="Y304" s="169" t="e">
        <f t="shared" si="22"/>
        <v>#NAME?</v>
      </c>
      <c r="Z304" s="173">
        <v>269.99999999999699</v>
      </c>
      <c r="AA304" s="166">
        <v>270.45</v>
      </c>
      <c r="AB304" s="171">
        <v>14.184899999999999</v>
      </c>
      <c r="AC304" s="166">
        <v>2139</v>
      </c>
      <c r="AD304" s="169">
        <f t="shared" si="24"/>
        <v>6.631556802244039</v>
      </c>
    </row>
    <row r="305" spans="4:30">
      <c r="D305" s="166">
        <v>411.00999999999698</v>
      </c>
      <c r="E305" s="168" t="e">
        <f t="shared" si="20"/>
        <v>#NAME?</v>
      </c>
      <c r="F305" s="169">
        <v>411.00999999999698</v>
      </c>
      <c r="G305" s="170">
        <v>410.7</v>
      </c>
      <c r="H305" s="169">
        <v>9.7657971428569539</v>
      </c>
      <c r="I305" s="166">
        <v>2450.1999999999534</v>
      </c>
      <c r="J305" s="169">
        <f t="shared" si="23"/>
        <v>3.9857142857142844</v>
      </c>
      <c r="O305" s="166">
        <v>467.50999999999698</v>
      </c>
      <c r="P305" s="169" t="e">
        <f t="shared" si="21"/>
        <v>#NAME?</v>
      </c>
      <c r="Q305" s="171">
        <v>467.50999999999698</v>
      </c>
      <c r="R305" s="172">
        <v>468.01999999999703</v>
      </c>
      <c r="S305" s="169">
        <v>10.613400000000981</v>
      </c>
      <c r="X305" s="166">
        <v>270.00999999999698</v>
      </c>
      <c r="Y305" s="169" t="e">
        <f t="shared" si="22"/>
        <v>#NAME?</v>
      </c>
      <c r="Z305" s="173">
        <v>270.00999999999698</v>
      </c>
      <c r="AA305" s="166">
        <v>270.32900000000001</v>
      </c>
      <c r="AB305" s="171">
        <v>7.3881000000000006</v>
      </c>
      <c r="AC305" s="166">
        <v>1132.2</v>
      </c>
      <c r="AD305" s="169">
        <f t="shared" si="24"/>
        <v>6.5254372019077902</v>
      </c>
    </row>
    <row r="306" spans="4:30">
      <c r="D306" s="166">
        <v>411.01999999999703</v>
      </c>
      <c r="E306" s="168" t="e">
        <f t="shared" si="20"/>
        <v>#NAME?</v>
      </c>
      <c r="F306" s="169">
        <v>411.01999999999703</v>
      </c>
      <c r="G306" s="170">
        <v>409.63</v>
      </c>
      <c r="H306" s="169">
        <v>8.8881428571428582</v>
      </c>
      <c r="I306" s="166">
        <v>2230</v>
      </c>
      <c r="J306" s="169">
        <f t="shared" si="23"/>
        <v>3.9857142857142862</v>
      </c>
      <c r="O306" s="166">
        <v>467.51999999999703</v>
      </c>
      <c r="P306" s="169" t="e">
        <f t="shared" si="21"/>
        <v>#NAME?</v>
      </c>
      <c r="Q306" s="171">
        <v>467.51999999999703</v>
      </c>
      <c r="R306" s="172">
        <v>468.02999999999702</v>
      </c>
      <c r="S306" s="169">
        <v>10.610100000000983</v>
      </c>
      <c r="X306" s="166">
        <v>270.01999999999703</v>
      </c>
      <c r="Y306" s="169" t="e">
        <f t="shared" si="22"/>
        <v>#NAME?</v>
      </c>
      <c r="Z306" s="173">
        <v>270.01999999999703</v>
      </c>
      <c r="AA306" s="166">
        <v>270.48899999999998</v>
      </c>
      <c r="AB306" s="171">
        <v>1.0297000000000001</v>
      </c>
      <c r="AC306" s="166">
        <v>153.5</v>
      </c>
      <c r="AD306" s="169">
        <f t="shared" si="24"/>
        <v>6.7081433224755704</v>
      </c>
    </row>
    <row r="307" spans="4:30">
      <c r="D307" s="166">
        <v>411.02999999999702</v>
      </c>
      <c r="E307" s="168" t="e">
        <f t="shared" si="20"/>
        <v>#NAME?</v>
      </c>
      <c r="F307" s="169">
        <v>411.02999999999702</v>
      </c>
      <c r="G307" s="170">
        <v>409.82</v>
      </c>
      <c r="H307" s="169">
        <v>3.1455257142855286</v>
      </c>
      <c r="I307" s="166">
        <v>789.19999999995343</v>
      </c>
      <c r="J307" s="169">
        <f t="shared" si="23"/>
        <v>3.9857142857142862</v>
      </c>
      <c r="O307" s="166">
        <v>467.52999999999702</v>
      </c>
      <c r="P307" s="169" t="e">
        <f t="shared" si="21"/>
        <v>#NAME?</v>
      </c>
      <c r="Q307" s="171">
        <v>467.52999999999702</v>
      </c>
      <c r="R307" s="172">
        <v>468.03999999999701</v>
      </c>
      <c r="S307" s="169">
        <v>10.606800000000987</v>
      </c>
      <c r="X307" s="166">
        <v>270.02999999999702</v>
      </c>
      <c r="Y307" s="169" t="e">
        <f t="shared" si="22"/>
        <v>#NAME?</v>
      </c>
      <c r="Z307" s="173">
        <v>270.02999999999702</v>
      </c>
      <c r="AA307" s="166">
        <v>271.01</v>
      </c>
      <c r="AB307" s="171">
        <v>8.488900000000001</v>
      </c>
      <c r="AC307" s="166">
        <v>1273.0999999999999</v>
      </c>
      <c r="AD307" s="169">
        <f t="shared" si="24"/>
        <v>6.6678972586599645</v>
      </c>
    </row>
    <row r="308" spans="4:30">
      <c r="D308" s="166">
        <v>411.03999999999701</v>
      </c>
      <c r="E308" s="168" t="e">
        <f t="shared" si="20"/>
        <v>#NAME?</v>
      </c>
      <c r="F308" s="169">
        <v>411.03999999999701</v>
      </c>
      <c r="G308" s="170">
        <v>410</v>
      </c>
      <c r="H308" s="169">
        <v>3.5592428571428569</v>
      </c>
      <c r="I308" s="166">
        <v>893</v>
      </c>
      <c r="J308" s="169">
        <f t="shared" si="23"/>
        <v>3.9857142857142853</v>
      </c>
      <c r="O308" s="166">
        <v>467.53999999999701</v>
      </c>
      <c r="P308" s="169" t="e">
        <f t="shared" si="21"/>
        <v>#NAME?</v>
      </c>
      <c r="Q308" s="171">
        <v>467.53999999999701</v>
      </c>
      <c r="R308" s="172">
        <v>468.049999999997</v>
      </c>
      <c r="S308" s="169">
        <v>10.60350000000099</v>
      </c>
      <c r="X308" s="166">
        <v>270.03999999999701</v>
      </c>
      <c r="Y308" s="169" t="e">
        <f t="shared" si="22"/>
        <v>#NAME?</v>
      </c>
      <c r="Z308" s="173">
        <v>270.03999999999701</v>
      </c>
      <c r="AA308" s="166">
        <v>271.01</v>
      </c>
      <c r="AB308" s="171">
        <v>8.488900000000001</v>
      </c>
      <c r="AC308" s="166">
        <v>1273.0999999999999</v>
      </c>
      <c r="AD308" s="169">
        <f t="shared" si="24"/>
        <v>6.6678972586599645</v>
      </c>
    </row>
    <row r="309" spans="4:30">
      <c r="D309" s="166">
        <v>411.049999999997</v>
      </c>
      <c r="E309" s="168" t="e">
        <f t="shared" si="20"/>
        <v>#NAME?</v>
      </c>
      <c r="F309" s="169">
        <v>411.049999999997</v>
      </c>
      <c r="G309" s="170">
        <v>408.92</v>
      </c>
      <c r="H309" s="169">
        <v>10.011715714285806</v>
      </c>
      <c r="I309" s="166">
        <v>2511.9000000000233</v>
      </c>
      <c r="J309" s="169">
        <f t="shared" si="23"/>
        <v>3.9857142857142853</v>
      </c>
      <c r="O309" s="166">
        <v>467.549999999997</v>
      </c>
      <c r="P309" s="169" t="e">
        <f t="shared" si="21"/>
        <v>#NAME?</v>
      </c>
      <c r="Q309" s="171">
        <v>467.549999999997</v>
      </c>
      <c r="R309" s="172">
        <v>468.05999999999699</v>
      </c>
      <c r="S309" s="169">
        <v>10.600200000000992</v>
      </c>
      <c r="X309" s="166">
        <v>270.049999999997</v>
      </c>
      <c r="Y309" s="169" t="e">
        <f t="shared" si="22"/>
        <v>#NAME?</v>
      </c>
      <c r="Z309" s="173">
        <v>270.049999999997</v>
      </c>
      <c r="AA309" s="166">
        <v>270.93099999999998</v>
      </c>
      <c r="AB309" s="171">
        <v>12.924499999992458</v>
      </c>
      <c r="AC309" s="166">
        <v>1957</v>
      </c>
      <c r="AD309" s="169">
        <f t="shared" si="24"/>
        <v>6.6042411854841383</v>
      </c>
    </row>
    <row r="310" spans="4:30">
      <c r="D310" s="166">
        <v>411.05999999999699</v>
      </c>
      <c r="E310" s="168" t="e">
        <f t="shared" si="20"/>
        <v>#NAME?</v>
      </c>
      <c r="F310" s="169">
        <v>411.05999999999699</v>
      </c>
      <c r="G310" s="170">
        <v>409.15</v>
      </c>
      <c r="H310" s="169">
        <v>4.1371714285714285</v>
      </c>
      <c r="I310" s="166">
        <v>1038</v>
      </c>
      <c r="J310" s="169">
        <f t="shared" si="23"/>
        <v>3.9857142857142862</v>
      </c>
      <c r="O310" s="166">
        <v>467.55999999999699</v>
      </c>
      <c r="P310" s="169" t="e">
        <f t="shared" si="21"/>
        <v>#NAME?</v>
      </c>
      <c r="Q310" s="171">
        <v>467.55999999999699</v>
      </c>
      <c r="R310" s="172">
        <v>468.06999999999698</v>
      </c>
      <c r="S310" s="169">
        <v>10.596900000000996</v>
      </c>
      <c r="X310" s="166">
        <v>270.05999999999699</v>
      </c>
      <c r="Y310" s="169" t="e">
        <f t="shared" si="22"/>
        <v>#NAME?</v>
      </c>
      <c r="Z310" s="173">
        <v>270.05999999999699</v>
      </c>
      <c r="AA310" s="166">
        <v>270.79899999999998</v>
      </c>
      <c r="AB310" s="171">
        <v>7.3816000000000006</v>
      </c>
      <c r="AC310" s="166">
        <v>1117.7</v>
      </c>
      <c r="AD310" s="169">
        <f t="shared" si="24"/>
        <v>6.604276639527602</v>
      </c>
    </row>
    <row r="311" spans="4:30">
      <c r="D311" s="166">
        <v>411.06999999999698</v>
      </c>
      <c r="E311" s="168" t="e">
        <f t="shared" si="20"/>
        <v>#NAME?</v>
      </c>
      <c r="F311" s="169">
        <v>411.06999999999698</v>
      </c>
      <c r="G311" s="170">
        <v>409.98</v>
      </c>
      <c r="H311" s="169">
        <v>3.2762571428571432</v>
      </c>
      <c r="I311" s="166">
        <v>822</v>
      </c>
      <c r="J311" s="169">
        <f t="shared" si="23"/>
        <v>3.9857142857142862</v>
      </c>
      <c r="O311" s="166">
        <v>467.56999999999698</v>
      </c>
      <c r="P311" s="169" t="e">
        <f t="shared" si="21"/>
        <v>#NAME?</v>
      </c>
      <c r="Q311" s="171">
        <v>467.56999999999698</v>
      </c>
      <c r="R311" s="172">
        <v>468.07999999999703</v>
      </c>
      <c r="S311" s="169">
        <v>10.593600000000979</v>
      </c>
      <c r="X311" s="166">
        <v>270.06999999999698</v>
      </c>
      <c r="Y311" s="169" t="e">
        <f t="shared" si="22"/>
        <v>#NAME?</v>
      </c>
      <c r="Z311" s="173">
        <v>270.06999999999698</v>
      </c>
      <c r="AA311" s="166">
        <v>270.70400000000001</v>
      </c>
      <c r="AB311" s="171">
        <v>7.6625000000000041</v>
      </c>
      <c r="AC311" s="166">
        <v>1148.5</v>
      </c>
      <c r="AD311" s="169">
        <f t="shared" si="24"/>
        <v>6.6717457553330464</v>
      </c>
    </row>
    <row r="312" spans="4:30">
      <c r="D312" s="166">
        <v>411.07999999999703</v>
      </c>
      <c r="E312" s="168" t="e">
        <f t="shared" si="20"/>
        <v>#NAME?</v>
      </c>
      <c r="F312" s="169">
        <v>411.07999999999703</v>
      </c>
      <c r="G312" s="170">
        <v>409.85</v>
      </c>
      <c r="H312" s="169">
        <v>8.1822728571429497</v>
      </c>
      <c r="I312" s="166">
        <v>2052.9000000000233</v>
      </c>
      <c r="J312" s="169">
        <f t="shared" si="23"/>
        <v>3.9857142857142862</v>
      </c>
      <c r="O312" s="166">
        <v>467.57999999999703</v>
      </c>
      <c r="P312" s="169" t="e">
        <f t="shared" si="21"/>
        <v>#NAME?</v>
      </c>
      <c r="Q312" s="171">
        <v>467.57999999999703</v>
      </c>
      <c r="R312" s="172">
        <v>468.08999999999702</v>
      </c>
      <c r="S312" s="169">
        <v>10.590300000000983</v>
      </c>
      <c r="X312" s="166">
        <v>270.07999999999703</v>
      </c>
      <c r="Y312" s="169" t="e">
        <f t="shared" si="22"/>
        <v>#NAME?</v>
      </c>
      <c r="Z312" s="173">
        <v>270.07999999999703</v>
      </c>
      <c r="AA312" s="166">
        <v>270.642</v>
      </c>
      <c r="AB312" s="171">
        <v>13.234200000000001</v>
      </c>
      <c r="AC312" s="166">
        <v>1992.3</v>
      </c>
      <c r="AD312" s="169">
        <f t="shared" si="24"/>
        <v>6.642674296039754</v>
      </c>
    </row>
    <row r="313" spans="4:30">
      <c r="D313" s="166">
        <v>411.08999999999702</v>
      </c>
      <c r="E313" s="168" t="e">
        <f t="shared" si="20"/>
        <v>#NAME?</v>
      </c>
      <c r="F313" s="169">
        <v>411.08999999999702</v>
      </c>
      <c r="G313" s="170">
        <v>409.71</v>
      </c>
      <c r="H313" s="169">
        <v>7.3193657142853441</v>
      </c>
      <c r="I313" s="166">
        <v>1836.3999999999069</v>
      </c>
      <c r="J313" s="169">
        <f t="shared" si="23"/>
        <v>3.9857142857142862</v>
      </c>
      <c r="O313" s="166">
        <v>467.58999999999702</v>
      </c>
      <c r="P313" s="169" t="e">
        <f t="shared" si="21"/>
        <v>#NAME?</v>
      </c>
      <c r="Q313" s="171">
        <v>467.58999999999702</v>
      </c>
      <c r="R313" s="172">
        <v>468.09999999999701</v>
      </c>
      <c r="S313" s="169">
        <v>10.587000000000986</v>
      </c>
      <c r="X313" s="166">
        <v>270.08999999999702</v>
      </c>
      <c r="Y313" s="169" t="e">
        <f t="shared" si="22"/>
        <v>#NAME?</v>
      </c>
      <c r="Z313" s="173">
        <v>270.08999999999702</v>
      </c>
      <c r="AA313" s="166">
        <v>270.351</v>
      </c>
      <c r="AB313" s="171">
        <v>10.9269</v>
      </c>
      <c r="AC313" s="166">
        <v>1614.7</v>
      </c>
      <c r="AD313" s="169">
        <f t="shared" si="24"/>
        <v>6.7671394067009354</v>
      </c>
    </row>
    <row r="314" spans="4:30">
      <c r="D314" s="166">
        <v>411.09999999999701</v>
      </c>
      <c r="E314" s="168" t="e">
        <f t="shared" si="20"/>
        <v>#NAME?</v>
      </c>
      <c r="F314" s="169">
        <v>411.09999999999701</v>
      </c>
      <c r="G314" s="170">
        <v>409.4</v>
      </c>
      <c r="H314" s="169">
        <v>7.8721842857146571</v>
      </c>
      <c r="I314" s="166">
        <v>1975.1000000000931</v>
      </c>
      <c r="J314" s="169">
        <f t="shared" si="23"/>
        <v>3.9857142857142862</v>
      </c>
      <c r="O314" s="166">
        <v>467.59999999999701</v>
      </c>
      <c r="P314" s="169" t="e">
        <f t="shared" si="21"/>
        <v>#NAME?</v>
      </c>
      <c r="Q314" s="171">
        <v>467.59999999999701</v>
      </c>
      <c r="R314" s="172">
        <v>468.109999999997</v>
      </c>
      <c r="S314" s="169">
        <v>10.58370000000099</v>
      </c>
      <c r="X314" s="166">
        <v>270.09999999999701</v>
      </c>
      <c r="Y314" s="169" t="e">
        <f t="shared" si="22"/>
        <v>#NAME?</v>
      </c>
      <c r="Z314" s="173">
        <v>270.09999999999701</v>
      </c>
      <c r="AA314" s="166">
        <v>270.10899999999998</v>
      </c>
      <c r="AB314" s="171">
        <v>10.304300000000005</v>
      </c>
      <c r="AC314" s="166">
        <v>1553.1</v>
      </c>
      <c r="AD314" s="169">
        <f t="shared" si="24"/>
        <v>6.6346661515678358</v>
      </c>
    </row>
    <row r="315" spans="4:30">
      <c r="D315" s="166">
        <v>411.109999999997</v>
      </c>
      <c r="E315" s="168" t="e">
        <f t="shared" si="20"/>
        <v>#NAME?</v>
      </c>
      <c r="F315" s="169">
        <v>411.109999999997</v>
      </c>
      <c r="G315" s="170">
        <v>409.56</v>
      </c>
      <c r="H315" s="169">
        <v>6.0742285714285709</v>
      </c>
      <c r="I315" s="166">
        <v>1524</v>
      </c>
      <c r="J315" s="169">
        <f t="shared" si="23"/>
        <v>3.9857142857142853</v>
      </c>
      <c r="O315" s="166">
        <v>467.609999999997</v>
      </c>
      <c r="P315" s="169" t="e">
        <f t="shared" si="21"/>
        <v>#NAME?</v>
      </c>
      <c r="Q315" s="171">
        <v>467.609999999997</v>
      </c>
      <c r="R315" s="172">
        <v>468.11999999999699</v>
      </c>
      <c r="S315" s="169">
        <v>10.580400000000992</v>
      </c>
      <c r="X315" s="166">
        <v>270.109999999997</v>
      </c>
      <c r="Y315" s="169" t="e">
        <f t="shared" si="22"/>
        <v>#NAME?</v>
      </c>
      <c r="Z315" s="173">
        <v>270.109999999997</v>
      </c>
      <c r="AA315" s="166">
        <v>270.35599999999999</v>
      </c>
      <c r="AB315" s="171">
        <v>6.0727999999999991</v>
      </c>
      <c r="AC315" s="166">
        <v>911.3</v>
      </c>
      <c r="AD315" s="169">
        <f t="shared" si="24"/>
        <v>6.6638867551849001</v>
      </c>
    </row>
    <row r="316" spans="4:30">
      <c r="D316" s="166">
        <v>411.11999999999699</v>
      </c>
      <c r="E316" s="168" t="e">
        <f t="shared" si="20"/>
        <v>#NAME?</v>
      </c>
      <c r="F316" s="169">
        <v>411.11999999999699</v>
      </c>
      <c r="G316" s="170">
        <v>410.4</v>
      </c>
      <c r="H316" s="169">
        <v>4.6035000000000004</v>
      </c>
      <c r="I316" s="166">
        <v>1155</v>
      </c>
      <c r="J316" s="169">
        <f t="shared" si="23"/>
        <v>3.9857142857142862</v>
      </c>
      <c r="O316" s="166">
        <v>467.61999999999699</v>
      </c>
      <c r="P316" s="169" t="e">
        <f t="shared" si="21"/>
        <v>#NAME?</v>
      </c>
      <c r="Q316" s="171">
        <v>467.61999999999699</v>
      </c>
      <c r="R316" s="172">
        <v>468.12999999999698</v>
      </c>
      <c r="S316" s="169">
        <v>10.577100000000994</v>
      </c>
      <c r="X316" s="166">
        <v>270.11999999999699</v>
      </c>
      <c r="Y316" s="169" t="e">
        <f t="shared" si="22"/>
        <v>#NAME?</v>
      </c>
      <c r="Z316" s="173">
        <v>270.11999999999699</v>
      </c>
      <c r="AA316" s="166">
        <v>270.28399999999999</v>
      </c>
      <c r="AB316" s="171">
        <v>11.061</v>
      </c>
      <c r="AC316" s="166">
        <v>1670.4</v>
      </c>
      <c r="AD316" s="169">
        <f t="shared" si="24"/>
        <v>6.6217672413793096</v>
      </c>
    </row>
    <row r="317" spans="4:30">
      <c r="D317" s="166">
        <v>411.12999999999698</v>
      </c>
      <c r="E317" s="168" t="e">
        <f t="shared" si="20"/>
        <v>#NAME?</v>
      </c>
      <c r="F317" s="169">
        <v>411.12999999999698</v>
      </c>
      <c r="G317" s="170">
        <v>409.69</v>
      </c>
      <c r="H317" s="169">
        <v>12.216612857142765</v>
      </c>
      <c r="I317" s="166">
        <v>3065.0999999999767</v>
      </c>
      <c r="J317" s="169">
        <f t="shared" si="23"/>
        <v>3.9857142857142862</v>
      </c>
      <c r="O317" s="166">
        <v>467.62999999999698</v>
      </c>
      <c r="P317" s="169" t="e">
        <f t="shared" si="21"/>
        <v>#NAME?</v>
      </c>
      <c r="Q317" s="173">
        <v>467.62999999999698</v>
      </c>
      <c r="R317" s="176">
        <v>468.13999999999697</v>
      </c>
      <c r="S317" s="169">
        <v>10.573800000000999</v>
      </c>
      <c r="X317" s="166">
        <v>270.12999999999698</v>
      </c>
      <c r="Y317" s="169" t="e">
        <f t="shared" si="22"/>
        <v>#NAME?</v>
      </c>
      <c r="Z317" s="173">
        <v>270.12999999999698</v>
      </c>
      <c r="AA317" s="166">
        <v>270.08600000000001</v>
      </c>
      <c r="AB317" s="171">
        <v>12.5931</v>
      </c>
      <c r="AC317" s="166">
        <v>1912.9</v>
      </c>
      <c r="AD317" s="169">
        <f t="shared" si="24"/>
        <v>6.5832505619739665</v>
      </c>
    </row>
    <row r="318" spans="4:30">
      <c r="D318" s="166">
        <v>411.13999999999697</v>
      </c>
      <c r="E318" s="168" t="e">
        <f t="shared" si="20"/>
        <v>#NAME?</v>
      </c>
      <c r="F318" s="169">
        <v>411.13999999999697</v>
      </c>
      <c r="G318" s="170">
        <v>409.91</v>
      </c>
      <c r="H318" s="169">
        <v>7.7410542857141005</v>
      </c>
      <c r="I318" s="166">
        <v>1942.1999999999534</v>
      </c>
      <c r="J318" s="169">
        <f t="shared" si="23"/>
        <v>3.9857142857142862</v>
      </c>
      <c r="O318" s="166">
        <v>467.63999999999697</v>
      </c>
      <c r="P318" s="169" t="e">
        <f t="shared" si="21"/>
        <v>#NAME?</v>
      </c>
      <c r="Q318" s="173">
        <v>467.63999999999697</v>
      </c>
      <c r="R318" s="176">
        <v>468.14999999999702</v>
      </c>
      <c r="S318" s="169">
        <v>10.570500000000981</v>
      </c>
      <c r="X318" s="166">
        <v>270.13999999999697</v>
      </c>
      <c r="Y318" s="169" t="e">
        <f t="shared" si="22"/>
        <v>#NAME?</v>
      </c>
      <c r="Z318" s="173">
        <v>270.13999999999697</v>
      </c>
      <c r="AA318" s="166">
        <v>269.95499999999998</v>
      </c>
      <c r="AB318" s="171">
        <v>9.9474000000000018</v>
      </c>
      <c r="AC318" s="166">
        <v>1497.8</v>
      </c>
      <c r="AD318" s="169">
        <f t="shared" si="24"/>
        <v>6.6413406329282969</v>
      </c>
    </row>
    <row r="319" spans="4:30">
      <c r="D319" s="166">
        <v>411.14999999999702</v>
      </c>
      <c r="E319" s="168" t="e">
        <f t="shared" si="20"/>
        <v>#NAME?</v>
      </c>
      <c r="F319" s="169">
        <v>411.14999999999702</v>
      </c>
      <c r="G319" s="170">
        <v>409.86</v>
      </c>
      <c r="H319" s="169">
        <v>6.7446257142859922</v>
      </c>
      <c r="I319" s="166">
        <v>1692.2000000000698</v>
      </c>
      <c r="J319" s="169">
        <f t="shared" si="23"/>
        <v>3.9857142857142853</v>
      </c>
      <c r="O319" s="166">
        <v>467.64999999999702</v>
      </c>
      <c r="P319" s="169" t="e">
        <f t="shared" si="21"/>
        <v>#NAME?</v>
      </c>
      <c r="Q319" s="173">
        <v>467.64999999999702</v>
      </c>
      <c r="R319" s="176">
        <v>468.15999999999701</v>
      </c>
      <c r="S319" s="169">
        <v>10.567200000000986</v>
      </c>
      <c r="X319" s="166">
        <v>270.14999999999702</v>
      </c>
      <c r="Y319" s="169" t="e">
        <f t="shared" si="22"/>
        <v>#NAME?</v>
      </c>
      <c r="Z319" s="173">
        <v>270.14999999999702</v>
      </c>
      <c r="AA319" s="166">
        <v>269.83499999999998</v>
      </c>
      <c r="AB319" s="171">
        <v>9.1113</v>
      </c>
      <c r="AC319" s="166">
        <v>1362.8</v>
      </c>
      <c r="AD319" s="169">
        <f t="shared" si="24"/>
        <v>6.6857205752861759</v>
      </c>
    </row>
    <row r="320" spans="4:30">
      <c r="D320" s="166">
        <v>411.15999999999701</v>
      </c>
      <c r="E320" s="168" t="e">
        <f t="shared" si="20"/>
        <v>#NAME?</v>
      </c>
      <c r="F320" s="169">
        <v>411.15999999999701</v>
      </c>
      <c r="G320" s="170">
        <v>409.6</v>
      </c>
      <c r="H320" s="169">
        <v>6.5286</v>
      </c>
      <c r="I320" s="166">
        <v>1638</v>
      </c>
      <c r="J320" s="169">
        <f t="shared" si="23"/>
        <v>3.9857142857142862</v>
      </c>
      <c r="O320" s="166">
        <v>467.65999999999701</v>
      </c>
      <c r="P320" s="169" t="e">
        <f t="shared" si="21"/>
        <v>#NAME?</v>
      </c>
      <c r="Q320" s="173">
        <v>467.65999999999701</v>
      </c>
      <c r="R320" s="176">
        <v>468.169999999997</v>
      </c>
      <c r="S320" s="169">
        <v>10.563900000000988</v>
      </c>
      <c r="X320" s="166">
        <v>270.15999999999701</v>
      </c>
      <c r="Y320" s="169" t="e">
        <f t="shared" si="22"/>
        <v>#NAME?</v>
      </c>
      <c r="Z320" s="173">
        <v>270.15999999999701</v>
      </c>
      <c r="AA320" s="166">
        <v>269.48200000000003</v>
      </c>
      <c r="AB320" s="171">
        <v>18.685000000000002</v>
      </c>
      <c r="AC320" s="166">
        <v>2784.3</v>
      </c>
      <c r="AD320" s="169">
        <f t="shared" si="24"/>
        <v>6.7108429407750601</v>
      </c>
    </row>
    <row r="321" spans="4:30">
      <c r="D321" s="166">
        <v>411.169999999997</v>
      </c>
      <c r="E321" s="168" t="e">
        <f t="shared" si="20"/>
        <v>#NAME?</v>
      </c>
      <c r="F321" s="169">
        <v>411.169999999997</v>
      </c>
      <c r="G321" s="170">
        <v>408.98</v>
      </c>
      <c r="H321" s="169">
        <v>7.4935414285717998</v>
      </c>
      <c r="I321" s="166">
        <v>1880.1000000000931</v>
      </c>
      <c r="J321" s="169">
        <f t="shared" si="23"/>
        <v>3.9857142857142862</v>
      </c>
      <c r="O321" s="166">
        <v>467.669999999997</v>
      </c>
      <c r="P321" s="169" t="e">
        <f t="shared" si="21"/>
        <v>#NAME?</v>
      </c>
      <c r="Q321" s="173">
        <v>467.669999999997</v>
      </c>
      <c r="R321" s="176">
        <v>468.17999999999699</v>
      </c>
      <c r="S321" s="169">
        <v>10.56060000000099</v>
      </c>
      <c r="X321" s="166">
        <v>270.169999999997</v>
      </c>
      <c r="Y321" s="169" t="e">
        <f t="shared" si="22"/>
        <v>#NAME?</v>
      </c>
      <c r="Z321" s="173">
        <v>270.169999999997</v>
      </c>
      <c r="AA321" s="166">
        <v>269.03100000000001</v>
      </c>
      <c r="AB321" s="171">
        <v>16.551599999999997</v>
      </c>
      <c r="AC321" s="166">
        <v>2495.1</v>
      </c>
      <c r="AD321" s="169">
        <f t="shared" si="24"/>
        <v>6.6336419381988687</v>
      </c>
    </row>
    <row r="322" spans="4:30">
      <c r="D322" s="166">
        <v>411.17999999999699</v>
      </c>
      <c r="E322" s="168" t="e">
        <f t="shared" si="20"/>
        <v>#NAME?</v>
      </c>
      <c r="F322" s="169">
        <v>411.17999999999699</v>
      </c>
      <c r="G322" s="170">
        <v>409.04</v>
      </c>
      <c r="H322" s="169">
        <v>4.1909785714285714</v>
      </c>
      <c r="I322" s="166">
        <v>1051.5</v>
      </c>
      <c r="J322" s="169">
        <f t="shared" si="23"/>
        <v>3.9857142857142862</v>
      </c>
      <c r="O322" s="166">
        <v>467.67999999999699</v>
      </c>
      <c r="P322" s="169" t="e">
        <f t="shared" si="21"/>
        <v>#NAME?</v>
      </c>
      <c r="Q322" s="173">
        <v>467.67999999999699</v>
      </c>
      <c r="R322" s="176">
        <v>468.18999999999699</v>
      </c>
      <c r="S322" s="169">
        <v>10.557300000000994</v>
      </c>
      <c r="X322" s="166">
        <v>270.17999999999699</v>
      </c>
      <c r="Y322" s="169" t="e">
        <f t="shared" si="22"/>
        <v>#NAME?</v>
      </c>
      <c r="Z322" s="173">
        <v>270.17999999999699</v>
      </c>
      <c r="AA322" s="166">
        <v>269.00799999999998</v>
      </c>
      <c r="AB322" s="171">
        <v>8.7134000000000018</v>
      </c>
      <c r="AC322" s="166">
        <v>1315.6</v>
      </c>
      <c r="AD322" s="169">
        <f t="shared" si="24"/>
        <v>6.6231377318333857</v>
      </c>
    </row>
    <row r="323" spans="4:30">
      <c r="D323" s="166">
        <v>411.18999999999699</v>
      </c>
      <c r="E323" s="168" t="e">
        <f t="shared" si="20"/>
        <v>#NAME?</v>
      </c>
      <c r="F323" s="169">
        <v>411.18999999999699</v>
      </c>
      <c r="G323" s="170">
        <v>409.03</v>
      </c>
      <c r="H323" s="169">
        <v>5.228459999999723</v>
      </c>
      <c r="I323" s="166">
        <v>1311.7999999999302</v>
      </c>
      <c r="J323" s="169">
        <f>H323/I323*10^3</f>
        <v>3.9857142857142867</v>
      </c>
      <c r="O323" s="166">
        <v>467.68999999999699</v>
      </c>
      <c r="P323" s="169" t="e">
        <f t="shared" si="21"/>
        <v>#NAME?</v>
      </c>
      <c r="Q323" s="173">
        <v>467.68999999999699</v>
      </c>
      <c r="R323" s="176">
        <v>468.19999999999698</v>
      </c>
      <c r="S323" s="169">
        <v>10.554000000000997</v>
      </c>
      <c r="X323" s="166">
        <v>270.18999999999699</v>
      </c>
      <c r="Y323" s="169" t="e">
        <f t="shared" si="22"/>
        <v>#NAME?</v>
      </c>
      <c r="Z323" s="173">
        <v>270.18999999999699</v>
      </c>
      <c r="AA323" s="166">
        <v>268.9796</v>
      </c>
      <c r="AB323" s="171">
        <v>8.9047999999999998</v>
      </c>
      <c r="AC323" s="166">
        <v>1350.8</v>
      </c>
      <c r="AD323" s="169">
        <f t="shared" si="24"/>
        <v>6.5922416345869115</v>
      </c>
    </row>
    <row r="324" spans="4:30">
      <c r="D324" s="166">
        <v>411.19999999999698</v>
      </c>
      <c r="E324" s="168" t="e">
        <f t="shared" ref="E324:E387" si="25">VLOOKUP(D324,THONGSOHO_BK,2,1)+(VLOOKUP(D324+1,THONGSOHO_BK,2,1)-VLOOKUP(D324,THONGSOHO_BK,2,1))/1*(D324-VLOOKUP(D324,THONGSOHO_BK,1,1))-48.55</f>
        <v>#NAME?</v>
      </c>
      <c r="F324" s="169">
        <v>411.19999999999698</v>
      </c>
      <c r="G324" s="170">
        <v>408.78</v>
      </c>
      <c r="H324" s="169">
        <v>5.7828728571429497</v>
      </c>
      <c r="I324" s="166">
        <v>1450.9000000000233</v>
      </c>
      <c r="J324" s="169">
        <f>H324/I324*10^3</f>
        <v>3.9857142857142862</v>
      </c>
      <c r="O324" s="166">
        <v>467.69999999999698</v>
      </c>
      <c r="P324" s="169" t="e">
        <f t="shared" ref="P324:P387" si="26">VLOOKUP(O324,THONGSOHO_BTS,2,1)+(VLOOKUP(O324+5,THONGSOHO_BTS,2,1)-VLOOKUP(O324,THONGSOHO_BTS,2,1))/5*(O324-VLOOKUP(O324,THONGSOHO_BTS,1,1))-264.29</f>
        <v>#NAME?</v>
      </c>
      <c r="Q324" s="173">
        <v>467.69999999999698</v>
      </c>
      <c r="R324" s="176">
        <v>468.20999999999702</v>
      </c>
      <c r="S324" s="169">
        <v>10.550700000000981</v>
      </c>
      <c r="X324" s="166">
        <v>270.19999999999698</v>
      </c>
      <c r="Y324" s="169" t="e">
        <f t="shared" ref="Y324:Y387" si="27">VLOOKUP(X324,THONGSOHO_SP3,2,1)+(VLOOKUP(X324+2,THONGSOHO_SP3,2,1)-VLOOKUP(X324,THONGSOHO_SP3,2,1))/2*(X324-VLOOKUP(X324,THONGSOHO_SP3,1,1))-156.13</f>
        <v>#NAME?</v>
      </c>
      <c r="Z324" s="173">
        <v>270.19999999999698</v>
      </c>
      <c r="AA324" s="166">
        <v>269.05700000000002</v>
      </c>
      <c r="AB324" s="171">
        <v>7.5416000000000007</v>
      </c>
      <c r="AC324" s="166">
        <v>1139.3</v>
      </c>
      <c r="AD324" s="169">
        <f t="shared" si="24"/>
        <v>6.6195032037215844</v>
      </c>
    </row>
    <row r="325" spans="4:30">
      <c r="D325" s="166">
        <v>411.20999999999702</v>
      </c>
      <c r="E325" s="168" t="e">
        <f t="shared" si="25"/>
        <v>#NAME?</v>
      </c>
      <c r="F325" s="169">
        <v>411.20999999999702</v>
      </c>
      <c r="G325" s="170">
        <v>408.9</v>
      </c>
      <c r="H325" s="169">
        <v>4.7908285714285705</v>
      </c>
      <c r="I325" s="166">
        <v>1202</v>
      </c>
      <c r="J325" s="169">
        <f>H325/I325*10^3</f>
        <v>3.9857142857142853</v>
      </c>
      <c r="O325" s="166">
        <v>467.70999999999702</v>
      </c>
      <c r="P325" s="169" t="e">
        <f t="shared" si="26"/>
        <v>#NAME?</v>
      </c>
      <c r="Q325" s="173">
        <v>467.70999999999702</v>
      </c>
      <c r="R325" s="176">
        <v>468.21999999999701</v>
      </c>
      <c r="S325" s="169">
        <v>10.547400000000984</v>
      </c>
      <c r="X325" s="166">
        <v>270.20999999999702</v>
      </c>
      <c r="Y325" s="169" t="e">
        <f t="shared" si="27"/>
        <v>#NAME?</v>
      </c>
      <c r="Z325" s="173">
        <v>270.20999999999702</v>
      </c>
      <c r="AA325" s="166">
        <v>269.053</v>
      </c>
      <c r="AB325" s="171">
        <v>7.806700000000002</v>
      </c>
      <c r="AC325" s="166">
        <v>1181.3</v>
      </c>
      <c r="AD325" s="169">
        <f t="shared" si="24"/>
        <v>6.6085668331499212</v>
      </c>
    </row>
    <row r="326" spans="4:30">
      <c r="D326" s="166">
        <v>411.21999999999701</v>
      </c>
      <c r="E326" s="168" t="e">
        <f t="shared" si="25"/>
        <v>#NAME?</v>
      </c>
      <c r="F326" s="169">
        <v>411.21999999999701</v>
      </c>
      <c r="G326" s="170">
        <v>409.05</v>
      </c>
      <c r="H326" s="169">
        <v>6.6055242857140062</v>
      </c>
      <c r="I326" s="166">
        <v>1657.2999999999302</v>
      </c>
      <c r="J326" s="169">
        <f>H326/I326*10^3</f>
        <v>3.9857142857142853</v>
      </c>
      <c r="O326" s="166">
        <v>467.71999999999701</v>
      </c>
      <c r="P326" s="169" t="e">
        <f t="shared" si="26"/>
        <v>#NAME?</v>
      </c>
      <c r="Q326" s="173">
        <v>467.71999999999701</v>
      </c>
      <c r="R326" s="176">
        <v>468.22999999999701</v>
      </c>
      <c r="S326" s="169">
        <v>10.544100000000988</v>
      </c>
      <c r="X326" s="166">
        <v>270.21999999999701</v>
      </c>
      <c r="Y326" s="169" t="e">
        <f t="shared" si="27"/>
        <v>#NAME?</v>
      </c>
      <c r="Z326" s="173">
        <v>270.21999999999701</v>
      </c>
      <c r="AA326" s="166">
        <v>269.14449999999999</v>
      </c>
      <c r="AB326" s="171">
        <v>4.3786999999999994</v>
      </c>
      <c r="AC326" s="166">
        <v>659.5</v>
      </c>
      <c r="AD326" s="169">
        <f>AB326/AC326*10^3</f>
        <v>6.6394238059135695</v>
      </c>
    </row>
    <row r="327" spans="4:30">
      <c r="D327" s="166">
        <v>411.22999999999701</v>
      </c>
      <c r="E327" s="168" t="e">
        <f t="shared" si="25"/>
        <v>#NAME?</v>
      </c>
      <c r="F327" s="169">
        <v>411.22999999999701</v>
      </c>
      <c r="G327" s="170">
        <v>409.28</v>
      </c>
      <c r="H327" s="169">
        <v>6.6593314285716136</v>
      </c>
      <c r="I327" s="166">
        <v>1670.8000000000466</v>
      </c>
      <c r="J327" s="169">
        <f>H327/I327*10^3</f>
        <v>3.9857142857142853</v>
      </c>
      <c r="O327" s="166">
        <v>467.72999999999701</v>
      </c>
      <c r="P327" s="169" t="e">
        <f t="shared" si="26"/>
        <v>#NAME?</v>
      </c>
      <c r="Q327" s="173">
        <v>467.72999999999701</v>
      </c>
      <c r="R327" s="176">
        <v>468.239999999997</v>
      </c>
      <c r="S327" s="169">
        <v>10.54080000000099</v>
      </c>
      <c r="X327" s="166">
        <v>270.22999999999701</v>
      </c>
      <c r="Y327" s="169" t="e">
        <f t="shared" si="27"/>
        <v>#NAME?</v>
      </c>
      <c r="Z327" s="173">
        <v>270.22999999999701</v>
      </c>
      <c r="AA327" s="166">
        <v>268.98599999999999</v>
      </c>
      <c r="AB327" s="171">
        <v>9.5805999999999969</v>
      </c>
      <c r="AC327" s="166">
        <v>1445.5</v>
      </c>
      <c r="AD327" s="169">
        <f>AB327/AC327*10^3</f>
        <v>6.6278796264268394</v>
      </c>
    </row>
    <row r="328" spans="4:30">
      <c r="D328" s="166">
        <v>411.239999999997</v>
      </c>
      <c r="E328" s="168" t="e">
        <f t="shared" si="25"/>
        <v>#NAME?</v>
      </c>
      <c r="F328" s="169">
        <v>411.239999999997</v>
      </c>
      <c r="O328" s="166">
        <v>467.739999999997</v>
      </c>
      <c r="P328" s="169" t="e">
        <f t="shared" si="26"/>
        <v>#NAME?</v>
      </c>
      <c r="Q328" s="173">
        <v>467.739999999997</v>
      </c>
      <c r="R328" s="176">
        <v>468.24999999999699</v>
      </c>
      <c r="S328" s="169">
        <v>10.537500000000993</v>
      </c>
      <c r="X328" s="166">
        <v>270.239999999997</v>
      </c>
      <c r="Y328" s="169" t="e">
        <f t="shared" si="27"/>
        <v>#NAME?</v>
      </c>
      <c r="Z328" s="173">
        <v>270.239999999997</v>
      </c>
      <c r="AA328" s="166">
        <v>268.57</v>
      </c>
      <c r="AB328" s="171">
        <v>13.974099999999996</v>
      </c>
      <c r="AC328" s="166">
        <v>2102.6999999999998</v>
      </c>
      <c r="AD328" s="169">
        <f>AB328/AC328*10^3</f>
        <v>6.645788747800446</v>
      </c>
    </row>
    <row r="329" spans="4:30">
      <c r="D329" s="166">
        <v>411.24999999999699</v>
      </c>
      <c r="E329" s="168" t="e">
        <f t="shared" si="25"/>
        <v>#NAME?</v>
      </c>
      <c r="F329" s="169">
        <v>411.24999999999699</v>
      </c>
      <c r="O329" s="166">
        <v>467.74999999999699</v>
      </c>
      <c r="P329" s="169" t="e">
        <f t="shared" si="26"/>
        <v>#NAME?</v>
      </c>
      <c r="Q329" s="173">
        <v>467.74999999999699</v>
      </c>
      <c r="R329" s="176">
        <v>468.25999999999698</v>
      </c>
      <c r="S329" s="169">
        <v>10.534200000000997</v>
      </c>
      <c r="X329" s="166">
        <v>270.24999999999699</v>
      </c>
      <c r="Y329" s="169" t="e">
        <f t="shared" si="27"/>
        <v>#NAME?</v>
      </c>
      <c r="Z329" s="173">
        <v>270.24999999999699</v>
      </c>
      <c r="AA329" s="166">
        <v>268.30799999999999</v>
      </c>
      <c r="AB329" s="171">
        <v>10.709200000000003</v>
      </c>
      <c r="AC329" s="166">
        <v>1591</v>
      </c>
      <c r="AD329" s="169">
        <f>AB329/AC329*10^3</f>
        <v>6.7311125078566958</v>
      </c>
    </row>
    <row r="330" spans="4:30">
      <c r="D330" s="166">
        <v>411.25999999999698</v>
      </c>
      <c r="E330" s="168" t="e">
        <f t="shared" si="25"/>
        <v>#NAME?</v>
      </c>
      <c r="F330" s="169">
        <v>411.25999999999698</v>
      </c>
      <c r="O330" s="166">
        <v>467.75999999999698</v>
      </c>
      <c r="P330" s="169" t="e">
        <f t="shared" si="26"/>
        <v>#NAME?</v>
      </c>
      <c r="Q330" s="173">
        <v>467.75999999999698</v>
      </c>
      <c r="R330" s="176">
        <v>468.26999999999703</v>
      </c>
      <c r="S330" s="169">
        <v>10.530900000000981</v>
      </c>
      <c r="X330" s="166">
        <v>270.25999999999698</v>
      </c>
      <c r="Y330" s="169" t="e">
        <f t="shared" si="27"/>
        <v>#NAME?</v>
      </c>
      <c r="Z330" s="173">
        <v>270.25999999999698</v>
      </c>
      <c r="AA330" s="166">
        <v>268.03699999999998</v>
      </c>
      <c r="AB330" s="171">
        <v>12.22</v>
      </c>
      <c r="AC330" s="166">
        <v>1813.7</v>
      </c>
      <c r="AD330" s="169">
        <f>AB330/AC330*10^3</f>
        <v>6.7376082042234104</v>
      </c>
    </row>
    <row r="331" spans="4:30">
      <c r="D331" s="166">
        <v>411.26999999999703</v>
      </c>
      <c r="E331" s="168" t="e">
        <f t="shared" si="25"/>
        <v>#NAME?</v>
      </c>
      <c r="F331" s="169">
        <v>411.26999999999703</v>
      </c>
      <c r="O331" s="166">
        <v>467.76999999999703</v>
      </c>
      <c r="P331" s="169" t="e">
        <f t="shared" si="26"/>
        <v>#NAME?</v>
      </c>
      <c r="Q331" s="177">
        <v>467.76999999999703</v>
      </c>
      <c r="R331" s="166">
        <v>468.27999999999702</v>
      </c>
      <c r="S331" s="166">
        <v>10.527600000000984</v>
      </c>
      <c r="X331" s="166">
        <v>270.26999999999703</v>
      </c>
      <c r="Y331" s="169" t="e">
        <f t="shared" si="27"/>
        <v>#NAME?</v>
      </c>
      <c r="Z331" s="177">
        <v>270.26999999999703</v>
      </c>
    </row>
    <row r="332" spans="4:30">
      <c r="D332" s="166">
        <v>411.27999999999702</v>
      </c>
      <c r="E332" s="168" t="e">
        <f t="shared" si="25"/>
        <v>#NAME?</v>
      </c>
      <c r="F332" s="169">
        <v>411.27999999999702</v>
      </c>
      <c r="O332" s="166">
        <v>467.77999999999702</v>
      </c>
      <c r="P332" s="169" t="e">
        <f t="shared" si="26"/>
        <v>#NAME?</v>
      </c>
      <c r="Q332" s="177">
        <v>467.77999999999702</v>
      </c>
      <c r="R332" s="166">
        <v>468.28999999999701</v>
      </c>
      <c r="S332" s="166">
        <v>10.524300000000986</v>
      </c>
      <c r="X332" s="166">
        <v>270.27999999999702</v>
      </c>
      <c r="Y332" s="169" t="e">
        <f t="shared" si="27"/>
        <v>#NAME?</v>
      </c>
      <c r="Z332" s="177">
        <v>270.27999999999702</v>
      </c>
    </row>
    <row r="333" spans="4:30">
      <c r="D333" s="166">
        <v>411.28999999999701</v>
      </c>
      <c r="E333" s="168" t="e">
        <f t="shared" si="25"/>
        <v>#NAME?</v>
      </c>
      <c r="F333" s="169">
        <v>411.28999999999701</v>
      </c>
      <c r="O333" s="166">
        <v>467.78999999999701</v>
      </c>
      <c r="P333" s="169" t="e">
        <f t="shared" si="26"/>
        <v>#NAME?</v>
      </c>
      <c r="Q333" s="177">
        <v>467.78999999999701</v>
      </c>
      <c r="R333" s="166">
        <v>468.299999999997</v>
      </c>
      <c r="S333" s="166">
        <v>10.52100000000099</v>
      </c>
      <c r="X333" s="166">
        <v>270.28999999999701</v>
      </c>
      <c r="Y333" s="169" t="e">
        <f t="shared" si="27"/>
        <v>#NAME?</v>
      </c>
      <c r="Z333" s="177">
        <v>270.28999999999701</v>
      </c>
    </row>
    <row r="334" spans="4:30">
      <c r="D334" s="166">
        <v>411.299999999997</v>
      </c>
      <c r="E334" s="168" t="e">
        <f t="shared" si="25"/>
        <v>#NAME?</v>
      </c>
      <c r="F334" s="169">
        <v>411.299999999997</v>
      </c>
      <c r="O334" s="166">
        <v>467.799999999997</v>
      </c>
      <c r="P334" s="169" t="e">
        <f t="shared" si="26"/>
        <v>#NAME?</v>
      </c>
      <c r="Q334" s="177">
        <v>467.799999999997</v>
      </c>
      <c r="R334" s="166">
        <v>468.30999999999699</v>
      </c>
      <c r="S334" s="166">
        <v>10.517700000000993</v>
      </c>
      <c r="X334" s="166">
        <v>270.299999999997</v>
      </c>
      <c r="Y334" s="169" t="e">
        <f t="shared" si="27"/>
        <v>#NAME?</v>
      </c>
      <c r="Z334" s="177">
        <v>270.299999999997</v>
      </c>
    </row>
    <row r="335" spans="4:30">
      <c r="D335" s="166">
        <v>411.30999999999699</v>
      </c>
      <c r="E335" s="168" t="e">
        <f t="shared" si="25"/>
        <v>#NAME?</v>
      </c>
      <c r="F335" s="169">
        <v>411.30999999999699</v>
      </c>
      <c r="O335" s="166">
        <v>467.80999999999699</v>
      </c>
      <c r="P335" s="169" t="e">
        <f t="shared" si="26"/>
        <v>#NAME?</v>
      </c>
      <c r="Q335" s="177">
        <v>467.80999999999699</v>
      </c>
      <c r="R335" s="166">
        <v>468.31999999999698</v>
      </c>
      <c r="S335" s="166">
        <v>10.514400000000995</v>
      </c>
      <c r="X335" s="166">
        <v>270.30999999999699</v>
      </c>
      <c r="Y335" s="169" t="e">
        <f t="shared" si="27"/>
        <v>#NAME?</v>
      </c>
      <c r="Z335" s="177">
        <v>270.30999999999699</v>
      </c>
    </row>
    <row r="336" spans="4:30">
      <c r="D336" s="166">
        <v>411.31999999999698</v>
      </c>
      <c r="E336" s="168" t="e">
        <f t="shared" si="25"/>
        <v>#NAME?</v>
      </c>
      <c r="F336" s="169">
        <v>411.31999999999698</v>
      </c>
      <c r="O336" s="166">
        <v>467.81999999999698</v>
      </c>
      <c r="P336" s="169" t="e">
        <f t="shared" si="26"/>
        <v>#NAME?</v>
      </c>
      <c r="Q336" s="177">
        <v>467.81999999999698</v>
      </c>
      <c r="R336" s="166">
        <v>468.32999999999703</v>
      </c>
      <c r="S336" s="166">
        <v>10.51110000000098</v>
      </c>
      <c r="X336" s="166">
        <v>270.31999999999698</v>
      </c>
      <c r="Y336" s="169" t="e">
        <f t="shared" si="27"/>
        <v>#NAME?</v>
      </c>
      <c r="Z336" s="177">
        <v>270.31999999999698</v>
      </c>
    </row>
    <row r="337" spans="4:26">
      <c r="D337" s="166">
        <v>411.32999999999703</v>
      </c>
      <c r="E337" s="168" t="e">
        <f t="shared" si="25"/>
        <v>#NAME?</v>
      </c>
      <c r="F337" s="169">
        <v>411.32999999999703</v>
      </c>
      <c r="O337" s="166">
        <v>467.82999999999703</v>
      </c>
      <c r="P337" s="169" t="e">
        <f t="shared" si="26"/>
        <v>#NAME?</v>
      </c>
      <c r="Q337" s="177">
        <v>467.82999999999703</v>
      </c>
      <c r="R337" s="166">
        <v>468.33999999999702</v>
      </c>
      <c r="S337" s="166">
        <v>10.507800000000984</v>
      </c>
      <c r="X337" s="166">
        <v>270.32999999999703</v>
      </c>
      <c r="Y337" s="169" t="e">
        <f t="shared" si="27"/>
        <v>#NAME?</v>
      </c>
      <c r="Z337" s="177">
        <v>270.32999999999703</v>
      </c>
    </row>
    <row r="338" spans="4:26">
      <c r="D338" s="166">
        <v>411.33999999999702</v>
      </c>
      <c r="E338" s="168" t="e">
        <f t="shared" si="25"/>
        <v>#NAME?</v>
      </c>
      <c r="F338" s="169">
        <v>411.33999999999702</v>
      </c>
      <c r="O338" s="166">
        <v>467.83999999999702</v>
      </c>
      <c r="P338" s="169" t="e">
        <f t="shared" si="26"/>
        <v>#NAME?</v>
      </c>
      <c r="Q338" s="177">
        <v>467.83999999999702</v>
      </c>
      <c r="R338" s="166">
        <v>468.34999999999701</v>
      </c>
      <c r="S338" s="166">
        <v>10.504500000000986</v>
      </c>
      <c r="X338" s="166">
        <v>270.33999999999702</v>
      </c>
      <c r="Y338" s="169" t="e">
        <f t="shared" si="27"/>
        <v>#NAME?</v>
      </c>
      <c r="Z338" s="177">
        <v>270.33999999999702</v>
      </c>
    </row>
    <row r="339" spans="4:26">
      <c r="D339" s="166">
        <v>411.34999999999701</v>
      </c>
      <c r="E339" s="168" t="e">
        <f t="shared" si="25"/>
        <v>#NAME?</v>
      </c>
      <c r="F339" s="169">
        <v>411.34999999999701</v>
      </c>
      <c r="O339" s="166">
        <v>467.84999999999701</v>
      </c>
      <c r="P339" s="169" t="e">
        <f t="shared" si="26"/>
        <v>#NAME?</v>
      </c>
      <c r="Q339" s="177">
        <v>467.84999999999701</v>
      </c>
      <c r="R339" s="166">
        <v>468.359999999997</v>
      </c>
      <c r="S339" s="166">
        <v>10.501200000000988</v>
      </c>
      <c r="X339" s="166">
        <v>270.34999999999701</v>
      </c>
      <c r="Y339" s="169" t="e">
        <f t="shared" si="27"/>
        <v>#NAME?</v>
      </c>
      <c r="Z339" s="177">
        <v>270.34999999999701</v>
      </c>
    </row>
    <row r="340" spans="4:26">
      <c r="D340" s="166">
        <v>411.359999999997</v>
      </c>
      <c r="E340" s="168" t="e">
        <f t="shared" si="25"/>
        <v>#NAME?</v>
      </c>
      <c r="F340" s="169">
        <v>411.359999999997</v>
      </c>
      <c r="O340" s="166">
        <v>467.859999999997</v>
      </c>
      <c r="P340" s="169" t="e">
        <f t="shared" si="26"/>
        <v>#NAME?</v>
      </c>
      <c r="Q340" s="177">
        <v>467.859999999997</v>
      </c>
      <c r="R340" s="166">
        <v>468.36999999999699</v>
      </c>
      <c r="S340" s="166">
        <v>10.497900000000993</v>
      </c>
      <c r="X340" s="166">
        <v>270.359999999997</v>
      </c>
      <c r="Y340" s="169" t="e">
        <f t="shared" si="27"/>
        <v>#NAME?</v>
      </c>
      <c r="Z340" s="177">
        <v>270.359999999997</v>
      </c>
    </row>
    <row r="341" spans="4:26">
      <c r="D341" s="166">
        <v>411.36999999999699</v>
      </c>
      <c r="E341" s="168" t="e">
        <f t="shared" si="25"/>
        <v>#NAME?</v>
      </c>
      <c r="F341" s="169">
        <v>411.36999999999699</v>
      </c>
      <c r="O341" s="166">
        <v>467.86999999999699</v>
      </c>
      <c r="P341" s="169" t="e">
        <f t="shared" si="26"/>
        <v>#NAME?</v>
      </c>
      <c r="Q341" s="177">
        <v>467.86999999999699</v>
      </c>
      <c r="R341" s="166">
        <v>468.37999999999698</v>
      </c>
      <c r="S341" s="166">
        <v>10.494600000000995</v>
      </c>
      <c r="X341" s="166">
        <v>270.36999999999699</v>
      </c>
      <c r="Y341" s="169" t="e">
        <f t="shared" si="27"/>
        <v>#NAME?</v>
      </c>
      <c r="Z341" s="177">
        <v>270.36999999999699</v>
      </c>
    </row>
    <row r="342" spans="4:26">
      <c r="D342" s="166">
        <v>411.37999999999698</v>
      </c>
      <c r="E342" s="168" t="e">
        <f t="shared" si="25"/>
        <v>#NAME?</v>
      </c>
      <c r="F342" s="169">
        <v>411.37999999999698</v>
      </c>
      <c r="O342" s="166">
        <v>467.87999999999698</v>
      </c>
      <c r="P342" s="169" t="e">
        <f t="shared" si="26"/>
        <v>#NAME?</v>
      </c>
      <c r="Q342" s="177">
        <v>467.87999999999698</v>
      </c>
      <c r="R342" s="166">
        <v>468.38999999999697</v>
      </c>
      <c r="S342" s="166">
        <v>10.491300000000997</v>
      </c>
      <c r="X342" s="166">
        <v>270.37999999999698</v>
      </c>
      <c r="Y342" s="169" t="e">
        <f t="shared" si="27"/>
        <v>#NAME?</v>
      </c>
      <c r="Z342" s="177">
        <v>270.37999999999698</v>
      </c>
    </row>
    <row r="343" spans="4:26">
      <c r="D343" s="166">
        <v>411.38999999999697</v>
      </c>
      <c r="E343" s="168" t="e">
        <f t="shared" si="25"/>
        <v>#NAME?</v>
      </c>
      <c r="F343" s="169">
        <v>411.38999999999697</v>
      </c>
      <c r="O343" s="166">
        <v>467.88999999999697</v>
      </c>
      <c r="P343" s="169" t="e">
        <f t="shared" si="26"/>
        <v>#NAME?</v>
      </c>
      <c r="Q343" s="177">
        <v>467.88999999999697</v>
      </c>
      <c r="R343" s="166">
        <v>468.39999999999702</v>
      </c>
      <c r="S343" s="166">
        <v>10.488000000000982</v>
      </c>
      <c r="X343" s="166">
        <v>270.38999999999697</v>
      </c>
      <c r="Y343" s="169" t="e">
        <f t="shared" si="27"/>
        <v>#NAME?</v>
      </c>
      <c r="Z343" s="177">
        <v>270.38999999999697</v>
      </c>
    </row>
    <row r="344" spans="4:26">
      <c r="D344" s="166">
        <v>411.39999999999702</v>
      </c>
      <c r="E344" s="168" t="e">
        <f t="shared" si="25"/>
        <v>#NAME?</v>
      </c>
      <c r="F344" s="169">
        <v>411.39999999999702</v>
      </c>
      <c r="O344" s="166">
        <v>467.89999999999702</v>
      </c>
      <c r="P344" s="169" t="e">
        <f t="shared" si="26"/>
        <v>#NAME?</v>
      </c>
      <c r="Q344" s="177">
        <v>467.89999999999702</v>
      </c>
      <c r="R344" s="166">
        <v>468.40999999999701</v>
      </c>
      <c r="S344" s="166">
        <v>10.484700000000984</v>
      </c>
      <c r="X344" s="166">
        <v>270.39999999999702</v>
      </c>
      <c r="Y344" s="169" t="e">
        <f t="shared" si="27"/>
        <v>#NAME?</v>
      </c>
      <c r="Z344" s="177">
        <v>270.39999999999702</v>
      </c>
    </row>
    <row r="345" spans="4:26">
      <c r="D345" s="166">
        <v>411.40999999999701</v>
      </c>
      <c r="E345" s="168" t="e">
        <f t="shared" si="25"/>
        <v>#NAME?</v>
      </c>
      <c r="F345" s="169">
        <v>411.40999999999701</v>
      </c>
      <c r="O345" s="166">
        <v>467.90999999999701</v>
      </c>
      <c r="P345" s="169" t="e">
        <f t="shared" si="26"/>
        <v>#NAME?</v>
      </c>
      <c r="Q345" s="177">
        <v>467.90999999999701</v>
      </c>
      <c r="R345" s="166">
        <v>468.419999999997</v>
      </c>
      <c r="S345" s="166">
        <v>10.481400000000988</v>
      </c>
      <c r="X345" s="166">
        <v>270.40999999999701</v>
      </c>
      <c r="Y345" s="169" t="e">
        <f t="shared" si="27"/>
        <v>#NAME?</v>
      </c>
      <c r="Z345" s="177">
        <v>270.40999999999701</v>
      </c>
    </row>
    <row r="346" spans="4:26">
      <c r="D346" s="166">
        <v>411.419999999997</v>
      </c>
      <c r="E346" s="168" t="e">
        <f t="shared" si="25"/>
        <v>#NAME?</v>
      </c>
      <c r="F346" s="169">
        <v>411.419999999997</v>
      </c>
      <c r="O346" s="166">
        <v>467.919999999997</v>
      </c>
      <c r="P346" s="169" t="e">
        <f t="shared" si="26"/>
        <v>#NAME?</v>
      </c>
      <c r="Q346" s="177">
        <v>467.919999999997</v>
      </c>
      <c r="R346" s="166">
        <v>468.42999999999699</v>
      </c>
      <c r="S346" s="166">
        <v>10.478100000000991</v>
      </c>
      <c r="X346" s="166">
        <v>270.419999999997</v>
      </c>
      <c r="Y346" s="169" t="e">
        <f t="shared" si="27"/>
        <v>#NAME?</v>
      </c>
      <c r="Z346" s="177">
        <v>270.419999999997</v>
      </c>
    </row>
    <row r="347" spans="4:26">
      <c r="D347" s="166">
        <v>411.42999999999699</v>
      </c>
      <c r="E347" s="168" t="e">
        <f t="shared" si="25"/>
        <v>#NAME?</v>
      </c>
      <c r="F347" s="169">
        <v>411.42999999999699</v>
      </c>
      <c r="O347" s="166">
        <v>467.92999999999699</v>
      </c>
      <c r="P347" s="169" t="e">
        <f t="shared" si="26"/>
        <v>#NAME?</v>
      </c>
      <c r="Q347" s="177">
        <v>467.92999999999699</v>
      </c>
      <c r="R347" s="166">
        <v>468.43999999999699</v>
      </c>
      <c r="S347" s="166">
        <v>10.474800000000995</v>
      </c>
      <c r="X347" s="166">
        <v>270.42999999999699</v>
      </c>
      <c r="Y347" s="169" t="e">
        <f t="shared" si="27"/>
        <v>#NAME?</v>
      </c>
      <c r="Z347" s="177">
        <v>270.42999999999699</v>
      </c>
    </row>
    <row r="348" spans="4:26">
      <c r="D348" s="166">
        <v>411.43999999999699</v>
      </c>
      <c r="E348" s="168" t="e">
        <f t="shared" si="25"/>
        <v>#NAME?</v>
      </c>
      <c r="F348" s="169">
        <v>411.43999999999699</v>
      </c>
      <c r="O348" s="166">
        <v>467.93999999999699</v>
      </c>
      <c r="P348" s="169" t="e">
        <f t="shared" si="26"/>
        <v>#NAME?</v>
      </c>
      <c r="Q348" s="177">
        <v>467.93999999999699</v>
      </c>
      <c r="R348" s="166">
        <v>468.44999999999698</v>
      </c>
      <c r="S348" s="166">
        <v>10.471500000000997</v>
      </c>
      <c r="X348" s="166">
        <v>270.43999999999699</v>
      </c>
      <c r="Y348" s="169" t="e">
        <f t="shared" si="27"/>
        <v>#NAME?</v>
      </c>
      <c r="Z348" s="177">
        <v>270.43999999999699</v>
      </c>
    </row>
    <row r="349" spans="4:26">
      <c r="D349" s="166">
        <v>411.44999999999698</v>
      </c>
      <c r="E349" s="168" t="e">
        <f t="shared" si="25"/>
        <v>#NAME?</v>
      </c>
      <c r="F349" s="169">
        <v>411.44999999999698</v>
      </c>
      <c r="O349" s="166">
        <v>467.94999999999698</v>
      </c>
      <c r="P349" s="169" t="e">
        <f t="shared" si="26"/>
        <v>#NAME?</v>
      </c>
      <c r="Q349" s="177">
        <v>467.94999999999698</v>
      </c>
      <c r="R349" s="166">
        <v>468.45999999999702</v>
      </c>
      <c r="S349" s="166">
        <v>10.468200000000982</v>
      </c>
      <c r="X349" s="166">
        <v>270.44999999999698</v>
      </c>
      <c r="Y349" s="169" t="e">
        <f t="shared" si="27"/>
        <v>#NAME?</v>
      </c>
      <c r="Z349" s="177">
        <v>270.44999999999698</v>
      </c>
    </row>
    <row r="350" spans="4:26">
      <c r="D350" s="166">
        <v>411.45999999999702</v>
      </c>
      <c r="E350" s="168" t="e">
        <f t="shared" si="25"/>
        <v>#NAME?</v>
      </c>
      <c r="F350" s="169">
        <v>411.45999999999702</v>
      </c>
      <c r="O350" s="166">
        <v>467.95999999999702</v>
      </c>
      <c r="P350" s="169" t="e">
        <f t="shared" si="26"/>
        <v>#NAME?</v>
      </c>
      <c r="Q350" s="177">
        <v>467.95999999999702</v>
      </c>
      <c r="R350" s="166">
        <v>468.46999999999701</v>
      </c>
      <c r="S350" s="166">
        <v>10.464900000000984</v>
      </c>
      <c r="X350" s="166">
        <v>270.45999999999702</v>
      </c>
      <c r="Y350" s="169" t="e">
        <f t="shared" si="27"/>
        <v>#NAME?</v>
      </c>
      <c r="Z350" s="177">
        <v>270.45999999999702</v>
      </c>
    </row>
    <row r="351" spans="4:26">
      <c r="D351" s="166">
        <v>411.46999999999701</v>
      </c>
      <c r="E351" s="168" t="e">
        <f t="shared" si="25"/>
        <v>#NAME?</v>
      </c>
      <c r="F351" s="169">
        <v>411.46999999999701</v>
      </c>
      <c r="O351" s="166">
        <v>467.96999999999701</v>
      </c>
      <c r="P351" s="169" t="e">
        <f t="shared" si="26"/>
        <v>#NAME?</v>
      </c>
      <c r="Q351" s="177">
        <v>467.96999999999701</v>
      </c>
      <c r="R351" s="166">
        <v>468.47999999999701</v>
      </c>
      <c r="S351" s="166">
        <v>10.461600000000987</v>
      </c>
      <c r="X351" s="166">
        <v>270.46999999999701</v>
      </c>
      <c r="Y351" s="169" t="e">
        <f t="shared" si="27"/>
        <v>#NAME?</v>
      </c>
      <c r="Z351" s="177">
        <v>270.46999999999701</v>
      </c>
    </row>
    <row r="352" spans="4:26">
      <c r="D352" s="166">
        <v>411.47999999999701</v>
      </c>
      <c r="E352" s="168" t="e">
        <f t="shared" si="25"/>
        <v>#NAME?</v>
      </c>
      <c r="F352" s="169">
        <v>411.47999999999701</v>
      </c>
      <c r="O352" s="166">
        <v>467.97999999999701</v>
      </c>
      <c r="P352" s="169" t="e">
        <f t="shared" si="26"/>
        <v>#NAME?</v>
      </c>
      <c r="Q352" s="177">
        <v>467.97999999999701</v>
      </c>
      <c r="R352" s="166">
        <v>468.489999999997</v>
      </c>
      <c r="S352" s="166">
        <v>10.458300000000991</v>
      </c>
      <c r="X352" s="166">
        <v>270.47999999999701</v>
      </c>
      <c r="Y352" s="169" t="e">
        <f t="shared" si="27"/>
        <v>#NAME?</v>
      </c>
      <c r="Z352" s="177">
        <v>270.47999999999701</v>
      </c>
    </row>
    <row r="353" spans="4:26">
      <c r="D353" s="166">
        <v>411.489999999997</v>
      </c>
      <c r="E353" s="168" t="e">
        <f t="shared" si="25"/>
        <v>#NAME?</v>
      </c>
      <c r="F353" s="169">
        <v>411.489999999997</v>
      </c>
      <c r="O353" s="166">
        <v>467.989999999997</v>
      </c>
      <c r="P353" s="169" t="e">
        <f t="shared" si="26"/>
        <v>#NAME?</v>
      </c>
      <c r="Q353" s="177">
        <v>467.989999999997</v>
      </c>
      <c r="R353" s="166">
        <v>468.49999999999699</v>
      </c>
      <c r="S353" s="166">
        <v>10.455000000000993</v>
      </c>
      <c r="X353" s="166">
        <v>270.489999999997</v>
      </c>
      <c r="Y353" s="169" t="e">
        <f t="shared" si="27"/>
        <v>#NAME?</v>
      </c>
      <c r="Z353" s="177">
        <v>270.489999999997</v>
      </c>
    </row>
    <row r="354" spans="4:26">
      <c r="D354" s="166">
        <v>411.49999999999699</v>
      </c>
      <c r="E354" s="168" t="e">
        <f t="shared" si="25"/>
        <v>#NAME?</v>
      </c>
      <c r="F354" s="169">
        <v>411.49999999999699</v>
      </c>
      <c r="O354" s="166">
        <v>467.99999999999699</v>
      </c>
      <c r="P354" s="169" t="e">
        <f t="shared" si="26"/>
        <v>#NAME?</v>
      </c>
      <c r="Q354" s="177">
        <v>467.99999999999699</v>
      </c>
      <c r="R354" s="166">
        <v>468.50999999999698</v>
      </c>
      <c r="S354" s="166">
        <v>10.451700000000997</v>
      </c>
      <c r="X354" s="166">
        <v>270.49999999999699</v>
      </c>
      <c r="Y354" s="169" t="e">
        <f t="shared" si="27"/>
        <v>#NAME?</v>
      </c>
      <c r="Z354" s="177">
        <v>270.49999999999699</v>
      </c>
    </row>
    <row r="355" spans="4:26">
      <c r="D355" s="166">
        <v>411.50999999999698</v>
      </c>
      <c r="E355" s="168" t="e">
        <f t="shared" si="25"/>
        <v>#NAME?</v>
      </c>
      <c r="F355" s="169">
        <v>411.50999999999698</v>
      </c>
      <c r="O355" s="166">
        <v>468.00999999999698</v>
      </c>
      <c r="P355" s="169" t="e">
        <f t="shared" si="26"/>
        <v>#NAME?</v>
      </c>
      <c r="Q355" s="177">
        <v>468.00999999999698</v>
      </c>
      <c r="R355" s="166">
        <v>468.51999999999703</v>
      </c>
      <c r="S355" s="166">
        <v>10.44840000000098</v>
      </c>
      <c r="X355" s="166">
        <v>270.50999999999698</v>
      </c>
      <c r="Y355" s="169" t="e">
        <f t="shared" si="27"/>
        <v>#NAME?</v>
      </c>
      <c r="Z355" s="177">
        <v>270.50999999999698</v>
      </c>
    </row>
    <row r="356" spans="4:26">
      <c r="D356" s="166">
        <v>411.51999999999703</v>
      </c>
      <c r="E356" s="168" t="e">
        <f t="shared" si="25"/>
        <v>#NAME?</v>
      </c>
      <c r="F356" s="169">
        <v>411.51999999999703</v>
      </c>
      <c r="O356" s="166">
        <v>468.01999999999703</v>
      </c>
      <c r="P356" s="169" t="e">
        <f t="shared" si="26"/>
        <v>#NAME?</v>
      </c>
      <c r="Q356" s="177">
        <v>468.01999999999703</v>
      </c>
      <c r="R356" s="166">
        <v>468.52999999999702</v>
      </c>
      <c r="S356" s="166">
        <v>10.445100000000984</v>
      </c>
      <c r="X356" s="166">
        <v>270.51999999999703</v>
      </c>
      <c r="Y356" s="169" t="e">
        <f t="shared" si="27"/>
        <v>#NAME?</v>
      </c>
      <c r="Z356" s="177">
        <v>270.51999999999703</v>
      </c>
    </row>
    <row r="357" spans="4:26">
      <c r="D357" s="166">
        <v>411.52999999999702</v>
      </c>
      <c r="E357" s="168" t="e">
        <f t="shared" si="25"/>
        <v>#NAME?</v>
      </c>
      <c r="F357" s="169">
        <v>411.52999999999702</v>
      </c>
      <c r="O357" s="166">
        <v>468.02999999999702</v>
      </c>
      <c r="P357" s="169" t="e">
        <f t="shared" si="26"/>
        <v>#NAME?</v>
      </c>
      <c r="Q357" s="177">
        <v>468.02999999999702</v>
      </c>
      <c r="R357" s="166">
        <v>468.53999999999701</v>
      </c>
      <c r="S357" s="166">
        <v>10.441800000000987</v>
      </c>
      <c r="X357" s="166">
        <v>270.52999999999702</v>
      </c>
      <c r="Y357" s="169" t="e">
        <f t="shared" si="27"/>
        <v>#NAME?</v>
      </c>
      <c r="Z357" s="177">
        <v>270.52999999999702</v>
      </c>
    </row>
    <row r="358" spans="4:26">
      <c r="D358" s="166">
        <v>411.53999999999701</v>
      </c>
      <c r="E358" s="168" t="e">
        <f t="shared" si="25"/>
        <v>#NAME?</v>
      </c>
      <c r="F358" s="169">
        <v>411.53999999999701</v>
      </c>
      <c r="O358" s="166">
        <v>468.03999999999701</v>
      </c>
      <c r="P358" s="169" t="e">
        <f t="shared" si="26"/>
        <v>#NAME?</v>
      </c>
      <c r="Q358" s="177">
        <v>468.03999999999701</v>
      </c>
      <c r="R358" s="166">
        <v>468.549999999997</v>
      </c>
      <c r="S358" s="166">
        <v>10.438500000000989</v>
      </c>
      <c r="X358" s="166">
        <v>270.53999999999701</v>
      </c>
      <c r="Y358" s="169" t="e">
        <f t="shared" si="27"/>
        <v>#NAME?</v>
      </c>
      <c r="Z358" s="177">
        <v>270.53999999999701</v>
      </c>
    </row>
    <row r="359" spans="4:26">
      <c r="D359" s="166">
        <v>411.549999999997</v>
      </c>
      <c r="E359" s="168" t="e">
        <f t="shared" si="25"/>
        <v>#NAME?</v>
      </c>
      <c r="F359" s="169">
        <v>411.549999999997</v>
      </c>
      <c r="O359" s="166">
        <v>468.049999999997</v>
      </c>
      <c r="P359" s="169" t="e">
        <f t="shared" si="26"/>
        <v>#NAME?</v>
      </c>
      <c r="Q359" s="177">
        <v>468.049999999997</v>
      </c>
      <c r="R359" s="166">
        <v>468.55999999999699</v>
      </c>
      <c r="S359" s="166">
        <v>10.435200000000993</v>
      </c>
      <c r="X359" s="166">
        <v>270.549999999997</v>
      </c>
      <c r="Y359" s="169" t="e">
        <f t="shared" si="27"/>
        <v>#NAME?</v>
      </c>
      <c r="Z359" s="177">
        <v>270.549999999997</v>
      </c>
    </row>
    <row r="360" spans="4:26">
      <c r="D360" s="166">
        <v>411.55999999999699</v>
      </c>
      <c r="E360" s="168" t="e">
        <f t="shared" si="25"/>
        <v>#NAME?</v>
      </c>
      <c r="F360" s="169">
        <v>411.55999999999699</v>
      </c>
      <c r="O360" s="166">
        <v>468.05999999999699</v>
      </c>
      <c r="P360" s="169" t="e">
        <f t="shared" si="26"/>
        <v>#NAME?</v>
      </c>
      <c r="Q360" s="177">
        <v>468.05999999999699</v>
      </c>
      <c r="R360" s="166">
        <v>468.56999999999698</v>
      </c>
      <c r="S360" s="166">
        <v>10.431900000000995</v>
      </c>
      <c r="X360" s="166">
        <v>270.55999999999699</v>
      </c>
      <c r="Y360" s="169" t="e">
        <f t="shared" si="27"/>
        <v>#NAME?</v>
      </c>
      <c r="Z360" s="177">
        <v>270.55999999999699</v>
      </c>
    </row>
    <row r="361" spans="4:26">
      <c r="D361" s="166">
        <v>411.56999999999698</v>
      </c>
      <c r="E361" s="168" t="e">
        <f t="shared" si="25"/>
        <v>#NAME?</v>
      </c>
      <c r="F361" s="169">
        <v>411.56999999999698</v>
      </c>
      <c r="O361" s="166">
        <v>468.06999999999698</v>
      </c>
      <c r="P361" s="169" t="e">
        <f t="shared" si="26"/>
        <v>#NAME?</v>
      </c>
      <c r="Q361" s="177">
        <v>468.06999999999698</v>
      </c>
      <c r="R361" s="166">
        <v>468.57999999999703</v>
      </c>
      <c r="S361" s="166">
        <v>10.42860000000098</v>
      </c>
      <c r="X361" s="166">
        <v>270.56999999999698</v>
      </c>
      <c r="Y361" s="169" t="e">
        <f t="shared" si="27"/>
        <v>#NAME?</v>
      </c>
      <c r="Z361" s="177">
        <v>270.56999999999698</v>
      </c>
    </row>
    <row r="362" spans="4:26">
      <c r="D362" s="166">
        <v>411.57999999999703</v>
      </c>
      <c r="E362" s="168" t="e">
        <f t="shared" si="25"/>
        <v>#NAME?</v>
      </c>
      <c r="F362" s="169">
        <v>411.57999999999703</v>
      </c>
      <c r="O362" s="166">
        <v>468.07999999999703</v>
      </c>
      <c r="P362" s="169" t="e">
        <f t="shared" si="26"/>
        <v>#NAME?</v>
      </c>
      <c r="Q362" s="177">
        <v>468.07999999999703</v>
      </c>
      <c r="R362" s="166">
        <v>468.58999999999702</v>
      </c>
      <c r="S362" s="166">
        <v>10.425300000000982</v>
      </c>
      <c r="X362" s="166">
        <v>270.57999999999703</v>
      </c>
      <c r="Y362" s="169" t="e">
        <f t="shared" si="27"/>
        <v>#NAME?</v>
      </c>
      <c r="Z362" s="177">
        <v>270.57999999999703</v>
      </c>
    </row>
    <row r="363" spans="4:26">
      <c r="D363" s="166">
        <v>411.58999999999702</v>
      </c>
      <c r="E363" s="168" t="e">
        <f t="shared" si="25"/>
        <v>#NAME?</v>
      </c>
      <c r="F363" s="169">
        <v>411.58999999999702</v>
      </c>
      <c r="O363" s="166">
        <v>468.08999999999702</v>
      </c>
      <c r="P363" s="169" t="e">
        <f t="shared" si="26"/>
        <v>#NAME?</v>
      </c>
      <c r="Q363" s="177">
        <v>468.08999999999702</v>
      </c>
      <c r="R363" s="166">
        <v>468.59999999999701</v>
      </c>
      <c r="S363" s="166">
        <v>10.422000000000986</v>
      </c>
      <c r="X363" s="166">
        <v>270.58999999999702</v>
      </c>
      <c r="Y363" s="169" t="e">
        <f t="shared" si="27"/>
        <v>#NAME?</v>
      </c>
      <c r="Z363" s="177">
        <v>270.58999999999702</v>
      </c>
    </row>
    <row r="364" spans="4:26">
      <c r="D364" s="166">
        <v>411.59999999999701</v>
      </c>
      <c r="E364" s="168" t="e">
        <f t="shared" si="25"/>
        <v>#NAME?</v>
      </c>
      <c r="F364" s="169">
        <v>411.59999999999701</v>
      </c>
      <c r="O364" s="166">
        <v>468.09999999999701</v>
      </c>
      <c r="P364" s="169" t="e">
        <f t="shared" si="26"/>
        <v>#NAME?</v>
      </c>
      <c r="Q364" s="177">
        <v>468.09999999999701</v>
      </c>
      <c r="R364" s="166">
        <v>468.609999999997</v>
      </c>
      <c r="S364" s="166">
        <v>10.418700000000989</v>
      </c>
      <c r="X364" s="166">
        <v>270.59999999999701</v>
      </c>
      <c r="Y364" s="169" t="e">
        <f t="shared" si="27"/>
        <v>#NAME?</v>
      </c>
      <c r="Z364" s="177">
        <v>270.59999999999701</v>
      </c>
    </row>
    <row r="365" spans="4:26">
      <c r="D365" s="166">
        <v>411.609999999997</v>
      </c>
      <c r="E365" s="168" t="e">
        <f t="shared" si="25"/>
        <v>#NAME?</v>
      </c>
      <c r="F365" s="169">
        <v>411.609999999997</v>
      </c>
      <c r="O365" s="166">
        <v>468.109999999997</v>
      </c>
      <c r="P365" s="169" t="e">
        <f t="shared" si="26"/>
        <v>#NAME?</v>
      </c>
      <c r="Q365" s="177">
        <v>468.109999999997</v>
      </c>
      <c r="R365" s="166">
        <v>468.61999999999699</v>
      </c>
      <c r="S365" s="166">
        <v>10.415400000000991</v>
      </c>
      <c r="X365" s="166">
        <v>270.609999999997</v>
      </c>
      <c r="Y365" s="169" t="e">
        <f t="shared" si="27"/>
        <v>#NAME?</v>
      </c>
      <c r="Z365" s="177">
        <v>270.609999999997</v>
      </c>
    </row>
    <row r="366" spans="4:26">
      <c r="D366" s="166">
        <v>411.61999999999699</v>
      </c>
      <c r="E366" s="168" t="e">
        <f t="shared" si="25"/>
        <v>#NAME?</v>
      </c>
      <c r="F366" s="169">
        <v>411.61999999999699</v>
      </c>
      <c r="O366" s="166">
        <v>468.11999999999699</v>
      </c>
      <c r="P366" s="169" t="e">
        <f t="shared" si="26"/>
        <v>#NAME?</v>
      </c>
      <c r="Q366" s="177">
        <v>468.11999999999699</v>
      </c>
      <c r="R366" s="166">
        <v>468.62999999999698</v>
      </c>
      <c r="S366" s="166">
        <v>10.412100000000995</v>
      </c>
      <c r="X366" s="166">
        <v>270.61999999999699</v>
      </c>
      <c r="Y366" s="169" t="e">
        <f t="shared" si="27"/>
        <v>#NAME?</v>
      </c>
      <c r="Z366" s="177">
        <v>270.61999999999699</v>
      </c>
    </row>
    <row r="367" spans="4:26">
      <c r="D367" s="166">
        <v>411.62999999999698</v>
      </c>
      <c r="E367" s="168" t="e">
        <f t="shared" si="25"/>
        <v>#NAME?</v>
      </c>
      <c r="F367" s="169">
        <v>411.62999999999698</v>
      </c>
      <c r="O367" s="166">
        <v>468.12999999999698</v>
      </c>
      <c r="P367" s="169" t="e">
        <f t="shared" si="26"/>
        <v>#NAME?</v>
      </c>
      <c r="Q367" s="177">
        <v>468.12999999999698</v>
      </c>
      <c r="R367" s="166">
        <v>468.63999999999697</v>
      </c>
      <c r="S367" s="166">
        <v>10.408800000000998</v>
      </c>
      <c r="X367" s="166">
        <v>270.62999999999698</v>
      </c>
      <c r="Y367" s="169" t="e">
        <f t="shared" si="27"/>
        <v>#NAME?</v>
      </c>
      <c r="Z367" s="177">
        <v>270.62999999999698</v>
      </c>
    </row>
    <row r="368" spans="4:26">
      <c r="D368" s="166">
        <v>411.63999999999697</v>
      </c>
      <c r="E368" s="168" t="e">
        <f t="shared" si="25"/>
        <v>#NAME?</v>
      </c>
      <c r="F368" s="169">
        <v>411.63999999999697</v>
      </c>
      <c r="O368" s="166">
        <v>468.13999999999697</v>
      </c>
      <c r="P368" s="169" t="e">
        <f t="shared" si="26"/>
        <v>#NAME?</v>
      </c>
      <c r="Q368" s="177">
        <v>468.13999999999697</v>
      </c>
      <c r="R368" s="166">
        <v>468.64999999999702</v>
      </c>
      <c r="S368" s="166">
        <v>10.405500000000982</v>
      </c>
      <c r="X368" s="166">
        <v>270.63999999999697</v>
      </c>
      <c r="Y368" s="169" t="e">
        <f t="shared" si="27"/>
        <v>#NAME?</v>
      </c>
      <c r="Z368" s="177">
        <v>270.63999999999697</v>
      </c>
    </row>
    <row r="369" spans="4:26">
      <c r="D369" s="166">
        <v>411.64999999999702</v>
      </c>
      <c r="E369" s="168" t="e">
        <f t="shared" si="25"/>
        <v>#NAME?</v>
      </c>
      <c r="F369" s="169">
        <v>411.64999999999702</v>
      </c>
      <c r="O369" s="166">
        <v>468.14999999999702</v>
      </c>
      <c r="P369" s="169" t="e">
        <f t="shared" si="26"/>
        <v>#NAME?</v>
      </c>
      <c r="Q369" s="177">
        <v>468.14999999999702</v>
      </c>
      <c r="R369" s="166">
        <v>468.65999999999701</v>
      </c>
      <c r="S369" s="166">
        <v>10.402200000000985</v>
      </c>
      <c r="X369" s="166">
        <v>270.64999999999702</v>
      </c>
      <c r="Y369" s="169" t="e">
        <f t="shared" si="27"/>
        <v>#NAME?</v>
      </c>
      <c r="Z369" s="177">
        <v>270.64999999999702</v>
      </c>
    </row>
    <row r="370" spans="4:26">
      <c r="D370" s="166">
        <v>411.65999999999701</v>
      </c>
      <c r="E370" s="168" t="e">
        <f t="shared" si="25"/>
        <v>#NAME?</v>
      </c>
      <c r="F370" s="169">
        <v>411.65999999999701</v>
      </c>
      <c r="O370" s="166">
        <v>468.15999999999701</v>
      </c>
      <c r="P370" s="169" t="e">
        <f t="shared" si="26"/>
        <v>#NAME?</v>
      </c>
      <c r="Q370" s="177">
        <v>468.15999999999701</v>
      </c>
      <c r="R370" s="166">
        <v>468.669999999997</v>
      </c>
      <c r="S370" s="166">
        <v>10.398900000000989</v>
      </c>
      <c r="X370" s="166">
        <v>270.65999999999701</v>
      </c>
      <c r="Y370" s="169" t="e">
        <f t="shared" si="27"/>
        <v>#NAME?</v>
      </c>
      <c r="Z370" s="177">
        <v>270.65999999999701</v>
      </c>
    </row>
    <row r="371" spans="4:26">
      <c r="D371" s="166">
        <v>411.669999999997</v>
      </c>
      <c r="E371" s="168" t="e">
        <f t="shared" si="25"/>
        <v>#NAME?</v>
      </c>
      <c r="F371" s="169">
        <v>411.669999999997</v>
      </c>
      <c r="O371" s="166">
        <v>468.169999999997</v>
      </c>
      <c r="P371" s="169" t="e">
        <f t="shared" si="26"/>
        <v>#NAME?</v>
      </c>
      <c r="Q371" s="177">
        <v>468.169999999997</v>
      </c>
      <c r="R371" s="166">
        <v>468.67999999999699</v>
      </c>
      <c r="S371" s="166">
        <v>10.395600000000991</v>
      </c>
      <c r="X371" s="166">
        <v>270.669999999997</v>
      </c>
      <c r="Y371" s="169" t="e">
        <f t="shared" si="27"/>
        <v>#NAME?</v>
      </c>
      <c r="Z371" s="177">
        <v>270.669999999997</v>
      </c>
    </row>
    <row r="372" spans="4:26">
      <c r="D372" s="166">
        <v>411.67999999999699</v>
      </c>
      <c r="E372" s="168" t="e">
        <f t="shared" si="25"/>
        <v>#NAME?</v>
      </c>
      <c r="F372" s="169">
        <v>411.67999999999699</v>
      </c>
      <c r="O372" s="166">
        <v>468.17999999999699</v>
      </c>
      <c r="P372" s="169" t="e">
        <f t="shared" si="26"/>
        <v>#NAME?</v>
      </c>
      <c r="Q372" s="177">
        <v>468.17999999999699</v>
      </c>
      <c r="R372" s="166">
        <v>468.68999999999699</v>
      </c>
      <c r="S372" s="166">
        <v>10.392300000000994</v>
      </c>
      <c r="X372" s="166">
        <v>270.67999999999699</v>
      </c>
      <c r="Y372" s="169" t="e">
        <f t="shared" si="27"/>
        <v>#NAME?</v>
      </c>
      <c r="Z372" s="177">
        <v>270.67999999999699</v>
      </c>
    </row>
    <row r="373" spans="4:26">
      <c r="D373" s="166">
        <v>411.68999999999699</v>
      </c>
      <c r="E373" s="168" t="e">
        <f t="shared" si="25"/>
        <v>#NAME?</v>
      </c>
      <c r="F373" s="169">
        <v>411.68999999999699</v>
      </c>
      <c r="O373" s="166">
        <v>468.18999999999699</v>
      </c>
      <c r="P373" s="169" t="e">
        <f t="shared" si="26"/>
        <v>#NAME?</v>
      </c>
      <c r="Q373" s="177">
        <v>468.18999999999699</v>
      </c>
      <c r="R373" s="166">
        <v>468.69999999999698</v>
      </c>
      <c r="S373" s="166">
        <v>10.389000000000998</v>
      </c>
      <c r="X373" s="166">
        <v>270.68999999999699</v>
      </c>
      <c r="Y373" s="169" t="e">
        <f t="shared" si="27"/>
        <v>#NAME?</v>
      </c>
      <c r="Z373" s="177">
        <v>270.68999999999699</v>
      </c>
    </row>
    <row r="374" spans="4:26">
      <c r="D374" s="166">
        <v>411.69999999999698</v>
      </c>
      <c r="E374" s="168" t="e">
        <f t="shared" si="25"/>
        <v>#NAME?</v>
      </c>
      <c r="F374" s="169">
        <v>411.69999999999698</v>
      </c>
      <c r="O374" s="166">
        <v>468.19999999999698</v>
      </c>
      <c r="P374" s="169" t="e">
        <f t="shared" si="26"/>
        <v>#NAME?</v>
      </c>
      <c r="Q374" s="177">
        <v>468.19999999999698</v>
      </c>
      <c r="R374" s="166">
        <v>468.70999999999702</v>
      </c>
      <c r="S374" s="166">
        <v>10.38570000000098</v>
      </c>
      <c r="X374" s="166">
        <v>270.69999999999698</v>
      </c>
      <c r="Y374" s="169" t="e">
        <f t="shared" si="27"/>
        <v>#NAME?</v>
      </c>
      <c r="Z374" s="177">
        <v>270.69999999999698</v>
      </c>
    </row>
    <row r="375" spans="4:26">
      <c r="D375" s="166">
        <v>411.70999999999702</v>
      </c>
      <c r="E375" s="168" t="e">
        <f t="shared" si="25"/>
        <v>#NAME?</v>
      </c>
      <c r="F375" s="169">
        <v>411.70999999999702</v>
      </c>
      <c r="O375" s="166">
        <v>468.20999999999702</v>
      </c>
      <c r="P375" s="169" t="e">
        <f t="shared" si="26"/>
        <v>#NAME?</v>
      </c>
      <c r="Q375" s="177">
        <v>468.20999999999702</v>
      </c>
      <c r="R375" s="166">
        <v>468.71999999999701</v>
      </c>
      <c r="S375" s="166">
        <v>10.382400000000985</v>
      </c>
      <c r="X375" s="166">
        <v>270.70999999999702</v>
      </c>
      <c r="Y375" s="169" t="e">
        <f t="shared" si="27"/>
        <v>#NAME?</v>
      </c>
      <c r="Z375" s="177">
        <v>270.70999999999702</v>
      </c>
    </row>
    <row r="376" spans="4:26">
      <c r="D376" s="166">
        <v>411.71999999999701</v>
      </c>
      <c r="E376" s="168" t="e">
        <f t="shared" si="25"/>
        <v>#NAME?</v>
      </c>
      <c r="F376" s="169">
        <v>411.71999999999701</v>
      </c>
      <c r="O376" s="166">
        <v>468.21999999999701</v>
      </c>
      <c r="P376" s="169" t="e">
        <f t="shared" si="26"/>
        <v>#NAME?</v>
      </c>
      <c r="Q376" s="177">
        <v>468.21999999999701</v>
      </c>
      <c r="R376" s="166">
        <v>468.72999999999701</v>
      </c>
      <c r="S376" s="166">
        <v>10.379100000000987</v>
      </c>
      <c r="X376" s="166">
        <v>270.71999999999701</v>
      </c>
      <c r="Y376" s="169" t="e">
        <f t="shared" si="27"/>
        <v>#NAME?</v>
      </c>
      <c r="Z376" s="177">
        <v>270.71999999999701</v>
      </c>
    </row>
    <row r="377" spans="4:26">
      <c r="D377" s="166">
        <v>411.72999999999701</v>
      </c>
      <c r="E377" s="168" t="e">
        <f t="shared" si="25"/>
        <v>#NAME?</v>
      </c>
      <c r="F377" s="169">
        <v>411.72999999999701</v>
      </c>
      <c r="O377" s="166">
        <v>468.22999999999701</v>
      </c>
      <c r="P377" s="169" t="e">
        <f t="shared" si="26"/>
        <v>#NAME?</v>
      </c>
      <c r="Q377" s="177">
        <v>468.22999999999701</v>
      </c>
      <c r="R377" s="166">
        <v>468.739999999997</v>
      </c>
      <c r="S377" s="166">
        <v>10.375800000000991</v>
      </c>
      <c r="X377" s="166">
        <v>270.72999999999701</v>
      </c>
      <c r="Y377" s="169" t="e">
        <f t="shared" si="27"/>
        <v>#NAME?</v>
      </c>
      <c r="Z377" s="177">
        <v>270.72999999999701</v>
      </c>
    </row>
    <row r="378" spans="4:26">
      <c r="D378" s="166">
        <v>411.739999999997</v>
      </c>
      <c r="E378" s="168" t="e">
        <f t="shared" si="25"/>
        <v>#NAME?</v>
      </c>
      <c r="F378" s="169">
        <v>411.739999999997</v>
      </c>
      <c r="O378" s="166">
        <v>468.239999999997</v>
      </c>
      <c r="P378" s="169" t="e">
        <f t="shared" si="26"/>
        <v>#NAME?</v>
      </c>
      <c r="Q378" s="177">
        <v>468.239999999997</v>
      </c>
      <c r="R378" s="166">
        <v>468.74999999999699</v>
      </c>
      <c r="S378" s="166">
        <v>10.372500000000993</v>
      </c>
      <c r="X378" s="166">
        <v>270.739999999997</v>
      </c>
      <c r="Y378" s="169" t="e">
        <f t="shared" si="27"/>
        <v>#NAME?</v>
      </c>
      <c r="Z378" s="177">
        <v>270.739999999997</v>
      </c>
    </row>
    <row r="379" spans="4:26">
      <c r="D379" s="166">
        <v>411.74999999999699</v>
      </c>
      <c r="E379" s="168" t="e">
        <f t="shared" si="25"/>
        <v>#NAME?</v>
      </c>
      <c r="F379" s="169">
        <v>411.74999999999699</v>
      </c>
      <c r="O379" s="166">
        <v>468.24999999999699</v>
      </c>
      <c r="P379" s="169" t="e">
        <f t="shared" si="26"/>
        <v>#NAME?</v>
      </c>
      <c r="Q379" s="177">
        <v>468.24999999999699</v>
      </c>
      <c r="R379" s="166">
        <v>468.75999999999698</v>
      </c>
      <c r="S379" s="166">
        <v>10.369200000000996</v>
      </c>
      <c r="X379" s="166">
        <v>270.74999999999699</v>
      </c>
      <c r="Y379" s="169" t="e">
        <f t="shared" si="27"/>
        <v>#NAME?</v>
      </c>
      <c r="Z379" s="177">
        <v>270.74999999999699</v>
      </c>
    </row>
    <row r="380" spans="4:26">
      <c r="D380" s="166">
        <v>411.75999999999698</v>
      </c>
      <c r="E380" s="168" t="e">
        <f t="shared" si="25"/>
        <v>#NAME?</v>
      </c>
      <c r="F380" s="169">
        <v>411.75999999999698</v>
      </c>
      <c r="O380" s="166">
        <v>468.25999999999698</v>
      </c>
      <c r="P380" s="169" t="e">
        <f t="shared" si="26"/>
        <v>#NAME?</v>
      </c>
      <c r="Q380" s="177">
        <v>468.25999999999698</v>
      </c>
      <c r="R380" s="166">
        <v>468.76999999999703</v>
      </c>
      <c r="S380" s="166">
        <v>10.36590000000098</v>
      </c>
      <c r="X380" s="166">
        <v>270.75999999999698</v>
      </c>
      <c r="Y380" s="169" t="e">
        <f t="shared" si="27"/>
        <v>#NAME?</v>
      </c>
      <c r="Z380" s="177">
        <v>270.75999999999698</v>
      </c>
    </row>
    <row r="381" spans="4:26">
      <c r="D381" s="166">
        <v>411.76999999999703</v>
      </c>
      <c r="E381" s="168" t="e">
        <f t="shared" si="25"/>
        <v>#NAME?</v>
      </c>
      <c r="F381" s="169">
        <v>411.76999999999703</v>
      </c>
      <c r="O381" s="166">
        <v>468.26999999999703</v>
      </c>
      <c r="P381" s="169" t="e">
        <f t="shared" si="26"/>
        <v>#NAME?</v>
      </c>
      <c r="Q381" s="177">
        <v>468.26999999999703</v>
      </c>
      <c r="R381" s="166">
        <v>468.77999999999702</v>
      </c>
      <c r="S381" s="166">
        <v>10.362600000000983</v>
      </c>
      <c r="X381" s="166">
        <v>270.76999999999703</v>
      </c>
      <c r="Y381" s="169" t="e">
        <f t="shared" si="27"/>
        <v>#NAME?</v>
      </c>
      <c r="Z381" s="177">
        <v>270.76999999999703</v>
      </c>
    </row>
    <row r="382" spans="4:26">
      <c r="D382" s="166">
        <v>411.77999999999702</v>
      </c>
      <c r="E382" s="168" t="e">
        <f t="shared" si="25"/>
        <v>#NAME?</v>
      </c>
      <c r="F382" s="169">
        <v>411.77999999999702</v>
      </c>
      <c r="O382" s="166">
        <v>468.27999999999702</v>
      </c>
      <c r="P382" s="169" t="e">
        <f t="shared" si="26"/>
        <v>#NAME?</v>
      </c>
      <c r="Q382" s="177">
        <v>468.27999999999702</v>
      </c>
      <c r="R382" s="166">
        <v>468.78999999999701</v>
      </c>
      <c r="S382" s="166">
        <v>10.359300000000987</v>
      </c>
      <c r="X382" s="166">
        <v>270.77999999999702</v>
      </c>
      <c r="Y382" s="169" t="e">
        <f t="shared" si="27"/>
        <v>#NAME?</v>
      </c>
      <c r="Z382" s="177">
        <v>270.77999999999702</v>
      </c>
    </row>
    <row r="383" spans="4:26">
      <c r="D383" s="166">
        <v>411.78999999999701</v>
      </c>
      <c r="E383" s="168" t="e">
        <f t="shared" si="25"/>
        <v>#NAME?</v>
      </c>
      <c r="F383" s="169">
        <v>411.78999999999701</v>
      </c>
      <c r="O383" s="166">
        <v>468.28999999999701</v>
      </c>
      <c r="P383" s="169" t="e">
        <f t="shared" si="26"/>
        <v>#NAME?</v>
      </c>
      <c r="Q383" s="177">
        <v>468.28999999999701</v>
      </c>
      <c r="R383" s="166">
        <v>468.799999999997</v>
      </c>
      <c r="S383" s="166">
        <v>10.356000000000989</v>
      </c>
      <c r="X383" s="166">
        <v>270.78999999999701</v>
      </c>
      <c r="Y383" s="169" t="e">
        <f t="shared" si="27"/>
        <v>#NAME?</v>
      </c>
      <c r="Z383" s="177">
        <v>270.78999999999701</v>
      </c>
    </row>
    <row r="384" spans="4:26">
      <c r="D384" s="166">
        <v>411.799999999997</v>
      </c>
      <c r="E384" s="168" t="e">
        <f t="shared" si="25"/>
        <v>#NAME?</v>
      </c>
      <c r="F384" s="169">
        <v>411.799999999997</v>
      </c>
      <c r="O384" s="166">
        <v>468.299999999997</v>
      </c>
      <c r="P384" s="169" t="e">
        <f t="shared" si="26"/>
        <v>#NAME?</v>
      </c>
      <c r="Q384" s="177">
        <v>468.299999999997</v>
      </c>
      <c r="R384" s="166">
        <v>468.80999999999699</v>
      </c>
      <c r="S384" s="166">
        <v>10.352700000000993</v>
      </c>
      <c r="X384" s="166">
        <v>270.799999999997</v>
      </c>
      <c r="Y384" s="169" t="e">
        <f t="shared" si="27"/>
        <v>#NAME?</v>
      </c>
      <c r="Z384" s="177">
        <v>270.799999999997</v>
      </c>
    </row>
    <row r="385" spans="4:26">
      <c r="D385" s="166">
        <v>411.80999999999699</v>
      </c>
      <c r="E385" s="168" t="e">
        <f t="shared" si="25"/>
        <v>#NAME?</v>
      </c>
      <c r="F385" s="169">
        <v>411.80999999999699</v>
      </c>
      <c r="O385" s="166">
        <v>468.30999999999699</v>
      </c>
      <c r="P385" s="169" t="e">
        <f t="shared" si="26"/>
        <v>#NAME?</v>
      </c>
      <c r="Q385" s="177">
        <v>468.30999999999699</v>
      </c>
      <c r="R385" s="166">
        <v>468.81999999999698</v>
      </c>
      <c r="S385" s="166">
        <v>10.349400000000996</v>
      </c>
      <c r="X385" s="166">
        <v>270.80999999999699</v>
      </c>
      <c r="Y385" s="169" t="e">
        <f t="shared" si="27"/>
        <v>#NAME?</v>
      </c>
      <c r="Z385" s="177">
        <v>270.80999999999699</v>
      </c>
    </row>
    <row r="386" spans="4:26">
      <c r="D386" s="166">
        <v>411.81999999999698</v>
      </c>
      <c r="E386" s="168" t="e">
        <f t="shared" si="25"/>
        <v>#NAME?</v>
      </c>
      <c r="F386" s="169">
        <v>411.81999999999698</v>
      </c>
      <c r="O386" s="166">
        <v>468.31999999999698</v>
      </c>
      <c r="P386" s="169" t="e">
        <f t="shared" si="26"/>
        <v>#NAME?</v>
      </c>
      <c r="Q386" s="177">
        <v>468.31999999999698</v>
      </c>
      <c r="R386" s="166">
        <v>468.82999999999703</v>
      </c>
      <c r="S386" s="166">
        <v>10.34610000000098</v>
      </c>
      <c r="X386" s="166">
        <v>270.81999999999698</v>
      </c>
      <c r="Y386" s="169" t="e">
        <f t="shared" si="27"/>
        <v>#NAME?</v>
      </c>
      <c r="Z386" s="177">
        <v>270.81999999999698</v>
      </c>
    </row>
    <row r="387" spans="4:26">
      <c r="D387" s="166">
        <v>411.82999999999703</v>
      </c>
      <c r="E387" s="168" t="e">
        <f t="shared" si="25"/>
        <v>#NAME?</v>
      </c>
      <c r="F387" s="169">
        <v>411.82999999999703</v>
      </c>
      <c r="O387" s="166">
        <v>468.32999999999703</v>
      </c>
      <c r="P387" s="169" t="e">
        <f t="shared" si="26"/>
        <v>#NAME?</v>
      </c>
      <c r="Q387" s="177">
        <v>468.32999999999703</v>
      </c>
      <c r="R387" s="166">
        <v>468.83999999999702</v>
      </c>
      <c r="S387" s="166">
        <v>10.342800000000983</v>
      </c>
      <c r="X387" s="166">
        <v>270.82999999999703</v>
      </c>
      <c r="Y387" s="169" t="e">
        <f t="shared" si="27"/>
        <v>#NAME?</v>
      </c>
      <c r="Z387" s="177">
        <v>270.82999999999703</v>
      </c>
    </row>
    <row r="388" spans="4:26">
      <c r="D388" s="166">
        <v>411.83999999999702</v>
      </c>
      <c r="E388" s="168" t="e">
        <f t="shared" ref="E388:E451" si="28">VLOOKUP(D388,THONGSOHO_BK,2,1)+(VLOOKUP(D388+1,THONGSOHO_BK,2,1)-VLOOKUP(D388,THONGSOHO_BK,2,1))/1*(D388-VLOOKUP(D388,THONGSOHO_BK,1,1))-48.55</f>
        <v>#NAME?</v>
      </c>
      <c r="F388" s="169">
        <v>411.83999999999702</v>
      </c>
      <c r="O388" s="166">
        <v>468.33999999999702</v>
      </c>
      <c r="P388" s="169" t="e">
        <f t="shared" ref="P388:P451" si="29">VLOOKUP(O388,THONGSOHO_BTS,2,1)+(VLOOKUP(O388+5,THONGSOHO_BTS,2,1)-VLOOKUP(O388,THONGSOHO_BTS,2,1))/5*(O388-VLOOKUP(O388,THONGSOHO_BTS,1,1))-264.29</f>
        <v>#NAME?</v>
      </c>
      <c r="Q388" s="177">
        <v>468.33999999999702</v>
      </c>
      <c r="R388" s="166">
        <v>468.84999999999599</v>
      </c>
      <c r="S388" s="166">
        <v>10.339500000001323</v>
      </c>
      <c r="X388" s="166">
        <v>270.83999999999702</v>
      </c>
      <c r="Y388" s="169" t="e">
        <f t="shared" ref="Y388:Y451" si="30">VLOOKUP(X388,THONGSOHO_SP3,2,1)+(VLOOKUP(X388+2,THONGSOHO_SP3,2,1)-VLOOKUP(X388,THONGSOHO_SP3,2,1))/2*(X388-VLOOKUP(X388,THONGSOHO_SP3,1,1))-156.13</f>
        <v>#NAME?</v>
      </c>
      <c r="Z388" s="177">
        <v>270.83999999999702</v>
      </c>
    </row>
    <row r="389" spans="4:26">
      <c r="D389" s="166">
        <v>411.84999999999599</v>
      </c>
      <c r="E389" s="168" t="e">
        <f t="shared" si="28"/>
        <v>#NAME?</v>
      </c>
      <c r="F389" s="169">
        <v>411.84999999999599</v>
      </c>
      <c r="O389" s="166">
        <v>468.34999999999599</v>
      </c>
      <c r="P389" s="169" t="e">
        <f t="shared" si="29"/>
        <v>#NAME?</v>
      </c>
      <c r="Q389" s="177">
        <v>468.34999999999599</v>
      </c>
      <c r="R389" s="166">
        <v>468.85999999999598</v>
      </c>
      <c r="S389" s="166">
        <v>10.336200000001327</v>
      </c>
      <c r="X389" s="166">
        <v>270.84999999999599</v>
      </c>
      <c r="Y389" s="169" t="e">
        <f t="shared" si="30"/>
        <v>#NAME?</v>
      </c>
      <c r="Z389" s="177">
        <v>270.84999999999599</v>
      </c>
    </row>
    <row r="390" spans="4:26">
      <c r="D390" s="166">
        <v>411.85999999999598</v>
      </c>
      <c r="E390" s="168" t="e">
        <f t="shared" si="28"/>
        <v>#NAME?</v>
      </c>
      <c r="F390" s="169">
        <v>411.85999999999598</v>
      </c>
      <c r="O390" s="166">
        <v>468.35999999999598</v>
      </c>
      <c r="P390" s="169" t="e">
        <f t="shared" si="29"/>
        <v>#NAME?</v>
      </c>
      <c r="Q390" s="177">
        <v>468.35999999999598</v>
      </c>
      <c r="R390" s="166">
        <v>468.86999999999603</v>
      </c>
      <c r="S390" s="166">
        <v>10.332900000001311</v>
      </c>
      <c r="X390" s="166">
        <v>270.85999999999598</v>
      </c>
      <c r="Y390" s="169" t="e">
        <f t="shared" si="30"/>
        <v>#NAME?</v>
      </c>
      <c r="Z390" s="177">
        <v>270.85999999999598</v>
      </c>
    </row>
    <row r="391" spans="4:26">
      <c r="D391" s="166">
        <v>411.86999999999603</v>
      </c>
      <c r="E391" s="168" t="e">
        <f t="shared" si="28"/>
        <v>#NAME?</v>
      </c>
      <c r="F391" s="169">
        <v>411.86999999999603</v>
      </c>
      <c r="O391" s="166">
        <v>468.36999999999603</v>
      </c>
      <c r="P391" s="169" t="e">
        <f t="shared" si="29"/>
        <v>#NAME?</v>
      </c>
      <c r="Q391" s="177">
        <v>468.36999999999603</v>
      </c>
      <c r="R391" s="166">
        <v>468.87999999999602</v>
      </c>
      <c r="S391" s="166">
        <v>10.329600000001314</v>
      </c>
      <c r="X391" s="166">
        <v>270.86999999999603</v>
      </c>
      <c r="Y391" s="169" t="e">
        <f t="shared" si="30"/>
        <v>#NAME?</v>
      </c>
      <c r="Z391" s="177">
        <v>270.86999999999603</v>
      </c>
    </row>
    <row r="392" spans="4:26">
      <c r="D392" s="166">
        <v>411.87999999999602</v>
      </c>
      <c r="E392" s="168" t="e">
        <f t="shared" si="28"/>
        <v>#NAME?</v>
      </c>
      <c r="F392" s="169">
        <v>411.87999999999602</v>
      </c>
      <c r="O392" s="166">
        <v>468.37999999999602</v>
      </c>
      <c r="P392" s="169" t="e">
        <f t="shared" si="29"/>
        <v>#NAME?</v>
      </c>
      <c r="Q392" s="177">
        <v>468.37999999999602</v>
      </c>
      <c r="R392" s="166">
        <v>468.88999999999601</v>
      </c>
      <c r="S392" s="166">
        <v>10.326300000001316</v>
      </c>
      <c r="X392" s="166">
        <v>270.87999999999602</v>
      </c>
      <c r="Y392" s="169" t="e">
        <f t="shared" si="30"/>
        <v>#NAME?</v>
      </c>
      <c r="Z392" s="177">
        <v>270.87999999999602</v>
      </c>
    </row>
    <row r="393" spans="4:26">
      <c r="D393" s="166">
        <v>411.88999999999601</v>
      </c>
      <c r="E393" s="168" t="e">
        <f t="shared" si="28"/>
        <v>#NAME?</v>
      </c>
      <c r="F393" s="169">
        <v>411.88999999999601</v>
      </c>
      <c r="O393" s="166">
        <v>468.38999999999601</v>
      </c>
      <c r="P393" s="169" t="e">
        <f t="shared" si="29"/>
        <v>#NAME?</v>
      </c>
      <c r="Q393" s="177">
        <v>468.38999999999601</v>
      </c>
      <c r="R393" s="166">
        <v>468.899999999996</v>
      </c>
      <c r="S393" s="166">
        <v>10.32300000000132</v>
      </c>
      <c r="X393" s="166">
        <v>270.88999999999601</v>
      </c>
      <c r="Y393" s="169" t="e">
        <f t="shared" si="30"/>
        <v>#NAME?</v>
      </c>
      <c r="Z393" s="177">
        <v>270.88999999999601</v>
      </c>
    </row>
    <row r="394" spans="4:26">
      <c r="D394" s="166">
        <v>411.899999999996</v>
      </c>
      <c r="E394" s="168" t="e">
        <f t="shared" si="28"/>
        <v>#NAME?</v>
      </c>
      <c r="F394" s="169">
        <v>411.899999999996</v>
      </c>
      <c r="O394" s="166">
        <v>468.399999999996</v>
      </c>
      <c r="P394" s="169" t="e">
        <f t="shared" si="29"/>
        <v>#NAME?</v>
      </c>
      <c r="Q394" s="177">
        <v>468.399999999996</v>
      </c>
      <c r="R394" s="166">
        <v>468.90999999999599</v>
      </c>
      <c r="S394" s="166">
        <v>10.319700000001323</v>
      </c>
      <c r="X394" s="166">
        <v>270.899999999996</v>
      </c>
      <c r="Y394" s="169" t="e">
        <f t="shared" si="30"/>
        <v>#NAME?</v>
      </c>
      <c r="Z394" s="177">
        <v>270.899999999996</v>
      </c>
    </row>
    <row r="395" spans="4:26">
      <c r="D395" s="166">
        <v>411.90999999999599</v>
      </c>
      <c r="E395" s="168" t="e">
        <f t="shared" si="28"/>
        <v>#NAME?</v>
      </c>
      <c r="F395" s="169">
        <v>411.90999999999599</v>
      </c>
      <c r="O395" s="166">
        <v>468.40999999999599</v>
      </c>
      <c r="P395" s="169" t="e">
        <f t="shared" si="29"/>
        <v>#NAME?</v>
      </c>
      <c r="Q395" s="177">
        <v>468.40999999999599</v>
      </c>
      <c r="R395" s="166">
        <v>468.91999999999598</v>
      </c>
      <c r="S395" s="166">
        <v>10.316400000001325</v>
      </c>
      <c r="X395" s="166">
        <v>270.90999999999599</v>
      </c>
      <c r="Y395" s="169" t="e">
        <f t="shared" si="30"/>
        <v>#NAME?</v>
      </c>
      <c r="Z395" s="177">
        <v>270.90999999999599</v>
      </c>
    </row>
    <row r="396" spans="4:26">
      <c r="D396" s="166">
        <v>411.91999999999598</v>
      </c>
      <c r="E396" s="168" t="e">
        <f t="shared" si="28"/>
        <v>#NAME?</v>
      </c>
      <c r="F396" s="169">
        <v>411.91999999999598</v>
      </c>
      <c r="O396" s="166">
        <v>468.41999999999598</v>
      </c>
      <c r="P396" s="169" t="e">
        <f t="shared" si="29"/>
        <v>#NAME?</v>
      </c>
      <c r="Q396" s="177">
        <v>468.41999999999598</v>
      </c>
      <c r="R396" s="166">
        <v>468.92999999999603</v>
      </c>
      <c r="S396" s="166">
        <v>10.31310000000131</v>
      </c>
      <c r="X396" s="166">
        <v>270.91999999999598</v>
      </c>
      <c r="Y396" s="169" t="e">
        <f t="shared" si="30"/>
        <v>#NAME?</v>
      </c>
      <c r="Z396" s="177">
        <v>270.91999999999598</v>
      </c>
    </row>
    <row r="397" spans="4:26">
      <c r="D397" s="166">
        <v>411.92999999999603</v>
      </c>
      <c r="E397" s="168" t="e">
        <f t="shared" si="28"/>
        <v>#NAME?</v>
      </c>
      <c r="F397" s="169">
        <v>411.92999999999603</v>
      </c>
      <c r="O397" s="166">
        <v>468.42999999999603</v>
      </c>
      <c r="P397" s="169" t="e">
        <f t="shared" si="29"/>
        <v>#NAME?</v>
      </c>
      <c r="Q397" s="177">
        <v>468.42999999999603</v>
      </c>
      <c r="R397" s="166">
        <v>468.93999999999602</v>
      </c>
      <c r="S397" s="166">
        <v>10.309800000001314</v>
      </c>
      <c r="X397" s="166">
        <v>270.92999999999603</v>
      </c>
      <c r="Y397" s="169" t="e">
        <f t="shared" si="30"/>
        <v>#NAME?</v>
      </c>
      <c r="Z397" s="177">
        <v>270.92999999999603</v>
      </c>
    </row>
    <row r="398" spans="4:26">
      <c r="D398" s="166">
        <v>411.93999999999602</v>
      </c>
      <c r="E398" s="168" t="e">
        <f t="shared" si="28"/>
        <v>#NAME?</v>
      </c>
      <c r="F398" s="169">
        <v>411.93999999999602</v>
      </c>
      <c r="O398" s="166">
        <v>468.43999999999602</v>
      </c>
      <c r="P398" s="169" t="e">
        <f t="shared" si="29"/>
        <v>#NAME?</v>
      </c>
      <c r="Q398" s="177">
        <v>468.43999999999602</v>
      </c>
      <c r="R398" s="166">
        <v>468.94999999999601</v>
      </c>
      <c r="S398" s="166">
        <v>10.306500000001316</v>
      </c>
      <c r="X398" s="166">
        <v>270.93999999999602</v>
      </c>
      <c r="Y398" s="169" t="e">
        <f t="shared" si="30"/>
        <v>#NAME?</v>
      </c>
      <c r="Z398" s="177">
        <v>270.93999999999602</v>
      </c>
    </row>
    <row r="399" spans="4:26">
      <c r="D399" s="166">
        <v>411.94999999999601</v>
      </c>
      <c r="E399" s="168" t="e">
        <f t="shared" si="28"/>
        <v>#NAME?</v>
      </c>
      <c r="F399" s="169">
        <v>411.94999999999601</v>
      </c>
      <c r="O399" s="166">
        <v>468.44999999999601</v>
      </c>
      <c r="P399" s="169" t="e">
        <f t="shared" si="29"/>
        <v>#NAME?</v>
      </c>
      <c r="Q399" s="177">
        <v>468.44999999999601</v>
      </c>
      <c r="R399" s="166">
        <v>468.959999999996</v>
      </c>
      <c r="S399" s="166">
        <v>10.303200000001318</v>
      </c>
      <c r="X399" s="166">
        <v>270.94999999999601</v>
      </c>
      <c r="Y399" s="169" t="e">
        <f t="shared" si="30"/>
        <v>#NAME?</v>
      </c>
      <c r="Z399" s="177">
        <v>270.94999999999601</v>
      </c>
    </row>
    <row r="400" spans="4:26">
      <c r="D400" s="166">
        <v>411.959999999996</v>
      </c>
      <c r="E400" s="168" t="e">
        <f t="shared" si="28"/>
        <v>#NAME?</v>
      </c>
      <c r="F400" s="169">
        <v>411.959999999996</v>
      </c>
      <c r="O400" s="166">
        <v>468.459999999996</v>
      </c>
      <c r="P400" s="169" t="e">
        <f t="shared" si="29"/>
        <v>#NAME?</v>
      </c>
      <c r="Q400" s="177">
        <v>468.459999999996</v>
      </c>
      <c r="R400" s="166">
        <v>468.96999999999599</v>
      </c>
      <c r="S400" s="166">
        <v>10.299900000001323</v>
      </c>
      <c r="X400" s="166">
        <v>270.959999999996</v>
      </c>
      <c r="Y400" s="169" t="e">
        <f t="shared" si="30"/>
        <v>#NAME?</v>
      </c>
      <c r="Z400" s="177">
        <v>270.959999999996</v>
      </c>
    </row>
    <row r="401" spans="4:26">
      <c r="D401" s="166">
        <v>411.96999999999599</v>
      </c>
      <c r="E401" s="168" t="e">
        <f t="shared" si="28"/>
        <v>#NAME?</v>
      </c>
      <c r="F401" s="169">
        <v>411.96999999999599</v>
      </c>
      <c r="O401" s="166">
        <v>468.46999999999599</v>
      </c>
      <c r="P401" s="169" t="e">
        <f t="shared" si="29"/>
        <v>#NAME?</v>
      </c>
      <c r="Q401" s="177">
        <v>468.46999999999599</v>
      </c>
      <c r="R401" s="166">
        <v>468.97999999999598</v>
      </c>
      <c r="S401" s="166">
        <v>10.296600000001325</v>
      </c>
      <c r="X401" s="166">
        <v>270.96999999999599</v>
      </c>
      <c r="Y401" s="169" t="e">
        <f t="shared" si="30"/>
        <v>#NAME?</v>
      </c>
      <c r="Z401" s="177">
        <v>270.96999999999599</v>
      </c>
    </row>
    <row r="402" spans="4:26">
      <c r="D402" s="166">
        <v>411.97999999999598</v>
      </c>
      <c r="E402" s="168" t="e">
        <f t="shared" si="28"/>
        <v>#NAME?</v>
      </c>
      <c r="F402" s="169">
        <v>411.97999999999598</v>
      </c>
      <c r="O402" s="166">
        <v>468.47999999999598</v>
      </c>
      <c r="P402" s="169" t="e">
        <f t="shared" si="29"/>
        <v>#NAME?</v>
      </c>
      <c r="Q402" s="177">
        <v>468.47999999999598</v>
      </c>
      <c r="R402" s="166">
        <v>468.98999999999597</v>
      </c>
      <c r="S402" s="166">
        <v>10.293300000001327</v>
      </c>
      <c r="X402" s="166">
        <v>270.97999999999598</v>
      </c>
      <c r="Y402" s="169" t="e">
        <f t="shared" si="30"/>
        <v>#NAME?</v>
      </c>
      <c r="Z402" s="177">
        <v>270.97999999999598</v>
      </c>
    </row>
    <row r="403" spans="4:26">
      <c r="D403" s="166">
        <v>411.98999999999597</v>
      </c>
      <c r="E403" s="168" t="e">
        <f t="shared" si="28"/>
        <v>#NAME?</v>
      </c>
      <c r="F403" s="169">
        <v>411.98999999999597</v>
      </c>
      <c r="O403" s="166">
        <v>468.48999999999597</v>
      </c>
      <c r="P403" s="169" t="e">
        <f t="shared" si="29"/>
        <v>#NAME?</v>
      </c>
      <c r="Q403" s="177">
        <v>468.48999999999597</v>
      </c>
      <c r="R403" s="166">
        <v>468.99999999999602</v>
      </c>
      <c r="S403" s="166">
        <v>10.290000000001312</v>
      </c>
      <c r="X403" s="166">
        <v>270.98999999999597</v>
      </c>
      <c r="Y403" s="169" t="e">
        <f t="shared" si="30"/>
        <v>#NAME?</v>
      </c>
      <c r="Z403" s="177">
        <v>270.98999999999597</v>
      </c>
    </row>
    <row r="404" spans="4:26">
      <c r="D404" s="178">
        <v>411.99999999999602</v>
      </c>
      <c r="E404" s="179" t="e">
        <f t="shared" si="28"/>
        <v>#NAME?</v>
      </c>
      <c r="F404" s="180">
        <v>411.99999999999602</v>
      </c>
      <c r="O404" s="166">
        <v>468.49999999999602</v>
      </c>
      <c r="P404" s="169" t="e">
        <f t="shared" si="29"/>
        <v>#NAME?</v>
      </c>
      <c r="Q404" s="177">
        <v>468.49999999999602</v>
      </c>
      <c r="R404" s="166">
        <v>469.00999999999601</v>
      </c>
      <c r="S404" s="166">
        <v>10.286300000001475</v>
      </c>
      <c r="X404" s="166">
        <v>270.99999999999602</v>
      </c>
      <c r="Y404" s="169" t="e">
        <f t="shared" si="30"/>
        <v>#NAME?</v>
      </c>
      <c r="Z404" s="177">
        <v>270.99999999999602</v>
      </c>
    </row>
    <row r="405" spans="4:26">
      <c r="D405" s="166">
        <v>412.00999999999601</v>
      </c>
      <c r="E405" s="168" t="e">
        <f t="shared" si="28"/>
        <v>#NAME?</v>
      </c>
      <c r="F405" s="169">
        <v>412.00999999999601</v>
      </c>
      <c r="O405" s="166">
        <v>468.50999999999601</v>
      </c>
      <c r="P405" s="169" t="e">
        <f t="shared" si="29"/>
        <v>#NAME?</v>
      </c>
      <c r="Q405" s="177">
        <v>468.50999999999601</v>
      </c>
      <c r="R405" s="166">
        <v>469.019999999996</v>
      </c>
      <c r="S405" s="166">
        <v>10.282600000001478</v>
      </c>
      <c r="X405" s="166">
        <v>271.00999999999601</v>
      </c>
      <c r="Y405" s="169" t="e">
        <f t="shared" si="30"/>
        <v>#NAME?</v>
      </c>
      <c r="Z405" s="177">
        <v>271.00999999999601</v>
      </c>
    </row>
    <row r="406" spans="4:26">
      <c r="D406" s="166">
        <v>412.019999999996</v>
      </c>
      <c r="E406" s="168" t="e">
        <f t="shared" si="28"/>
        <v>#NAME?</v>
      </c>
      <c r="F406" s="169">
        <v>412.019999999996</v>
      </c>
      <c r="O406" s="166">
        <v>468.519999999996</v>
      </c>
      <c r="P406" s="169" t="e">
        <f t="shared" si="29"/>
        <v>#NAME?</v>
      </c>
      <c r="Q406" s="177">
        <v>468.519999999996</v>
      </c>
      <c r="R406" s="166">
        <v>469.02999999999599</v>
      </c>
      <c r="S406" s="166">
        <v>10.278900000001482</v>
      </c>
      <c r="X406" s="166">
        <v>271.019999999996</v>
      </c>
      <c r="Y406" s="169" t="e">
        <f t="shared" si="30"/>
        <v>#NAME?</v>
      </c>
      <c r="Z406" s="177">
        <v>271.019999999996</v>
      </c>
    </row>
    <row r="407" spans="4:26">
      <c r="D407" s="166">
        <v>412.02999999999599</v>
      </c>
      <c r="E407" s="168" t="e">
        <f t="shared" si="28"/>
        <v>#NAME?</v>
      </c>
      <c r="F407" s="169">
        <v>412.02999999999599</v>
      </c>
      <c r="O407" s="166">
        <v>468.52999999999599</v>
      </c>
      <c r="P407" s="169" t="e">
        <f t="shared" si="29"/>
        <v>#NAME?</v>
      </c>
      <c r="Q407" s="177">
        <v>468.52999999999599</v>
      </c>
      <c r="R407" s="166">
        <v>469.03999999999598</v>
      </c>
      <c r="S407" s="166">
        <v>10.275200000001485</v>
      </c>
      <c r="X407" s="166">
        <v>271.02999999999599</v>
      </c>
      <c r="Y407" s="169" t="e">
        <f t="shared" si="30"/>
        <v>#NAME?</v>
      </c>
      <c r="Z407" s="177">
        <v>271.02999999999599</v>
      </c>
    </row>
    <row r="408" spans="4:26">
      <c r="D408" s="166">
        <v>412.03999999999598</v>
      </c>
      <c r="E408" s="168" t="e">
        <f t="shared" si="28"/>
        <v>#NAME?</v>
      </c>
      <c r="F408" s="169">
        <v>412.03999999999598</v>
      </c>
      <c r="O408" s="166">
        <v>468.53999999999598</v>
      </c>
      <c r="P408" s="169" t="e">
        <f t="shared" si="29"/>
        <v>#NAME?</v>
      </c>
      <c r="Q408" s="177">
        <v>468.53999999999598</v>
      </c>
      <c r="R408" s="166">
        <v>469.04999999999598</v>
      </c>
      <c r="S408" s="166">
        <v>10.271500000001488</v>
      </c>
      <c r="X408" s="166">
        <v>271.03999999999598</v>
      </c>
      <c r="Y408" s="169" t="e">
        <f t="shared" si="30"/>
        <v>#NAME?</v>
      </c>
      <c r="Z408" s="177">
        <v>271.03999999999598</v>
      </c>
    </row>
    <row r="409" spans="4:26">
      <c r="D409" s="166">
        <v>412.04999999999598</v>
      </c>
      <c r="E409" s="168" t="e">
        <f t="shared" si="28"/>
        <v>#NAME?</v>
      </c>
      <c r="F409" s="169">
        <v>412.04999999999598</v>
      </c>
      <c r="O409" s="166">
        <v>468.54999999999598</v>
      </c>
      <c r="P409" s="169" t="e">
        <f t="shared" si="29"/>
        <v>#NAME?</v>
      </c>
      <c r="Q409" s="177">
        <v>468.54999999999598</v>
      </c>
      <c r="R409" s="166">
        <v>469.05999999999602</v>
      </c>
      <c r="S409" s="166">
        <v>10.26780000000147</v>
      </c>
      <c r="X409" s="166">
        <v>271.04999999999598</v>
      </c>
      <c r="Y409" s="169" t="e">
        <f t="shared" si="30"/>
        <v>#NAME?</v>
      </c>
      <c r="Z409" s="177">
        <v>271.04999999999598</v>
      </c>
    </row>
    <row r="410" spans="4:26">
      <c r="D410" s="166">
        <v>412.05999999999602</v>
      </c>
      <c r="E410" s="168" t="e">
        <f t="shared" si="28"/>
        <v>#NAME?</v>
      </c>
      <c r="F410" s="169">
        <v>412.05999999999602</v>
      </c>
      <c r="O410" s="166">
        <v>468.55999999999602</v>
      </c>
      <c r="P410" s="169" t="e">
        <f t="shared" si="29"/>
        <v>#NAME?</v>
      </c>
      <c r="Q410" s="177">
        <v>468.55999999999602</v>
      </c>
      <c r="R410" s="166">
        <v>469.06999999999601</v>
      </c>
      <c r="S410" s="166">
        <v>10.264100000001473</v>
      </c>
      <c r="X410" s="166">
        <v>271.05999999999602</v>
      </c>
      <c r="Y410" s="169" t="e">
        <f t="shared" si="30"/>
        <v>#NAME?</v>
      </c>
      <c r="Z410" s="177">
        <v>271.05999999999602</v>
      </c>
    </row>
    <row r="411" spans="4:26">
      <c r="D411" s="166">
        <v>412.06999999999601</v>
      </c>
      <c r="E411" s="168" t="e">
        <f t="shared" si="28"/>
        <v>#NAME?</v>
      </c>
      <c r="F411" s="169">
        <v>412.06999999999601</v>
      </c>
      <c r="O411" s="166">
        <v>468.56999999999601</v>
      </c>
      <c r="P411" s="169" t="e">
        <f t="shared" si="29"/>
        <v>#NAME?</v>
      </c>
      <c r="Q411" s="177">
        <v>468.56999999999601</v>
      </c>
      <c r="R411" s="166">
        <v>469.07999999999601</v>
      </c>
      <c r="S411" s="166">
        <v>10.260400000001477</v>
      </c>
      <c r="X411" s="166">
        <v>271.06999999999601</v>
      </c>
      <c r="Y411" s="169" t="e">
        <f t="shared" si="30"/>
        <v>#NAME?</v>
      </c>
      <c r="Z411" s="177">
        <v>271.06999999999601</v>
      </c>
    </row>
    <row r="412" spans="4:26">
      <c r="D412" s="166">
        <v>412.07999999999601</v>
      </c>
      <c r="E412" s="168" t="e">
        <f t="shared" si="28"/>
        <v>#NAME?</v>
      </c>
      <c r="F412" s="169">
        <v>412.07999999999601</v>
      </c>
      <c r="O412" s="166">
        <v>468.57999999999601</v>
      </c>
      <c r="P412" s="169" t="e">
        <f t="shared" si="29"/>
        <v>#NAME?</v>
      </c>
      <c r="Q412" s="177">
        <v>468.57999999999601</v>
      </c>
      <c r="R412" s="166">
        <v>469.089999999996</v>
      </c>
      <c r="S412" s="166">
        <v>10.25670000000148</v>
      </c>
      <c r="X412" s="166">
        <v>271.07999999999601</v>
      </c>
      <c r="Y412" s="169" t="e">
        <f t="shared" si="30"/>
        <v>#NAME?</v>
      </c>
      <c r="Z412" s="177">
        <v>271.07999999999601</v>
      </c>
    </row>
    <row r="413" spans="4:26">
      <c r="D413" s="166">
        <v>412.089999999996</v>
      </c>
      <c r="E413" s="168" t="e">
        <f t="shared" si="28"/>
        <v>#NAME?</v>
      </c>
      <c r="F413" s="169">
        <v>412.089999999996</v>
      </c>
      <c r="O413" s="166">
        <v>468.589999999996</v>
      </c>
      <c r="P413" s="169" t="e">
        <f t="shared" si="29"/>
        <v>#NAME?</v>
      </c>
      <c r="Q413" s="177">
        <v>468.589999999996</v>
      </c>
      <c r="R413" s="166">
        <v>469.09999999999599</v>
      </c>
      <c r="S413" s="166">
        <v>10.253000000001483</v>
      </c>
      <c r="X413" s="166">
        <v>271.089999999996</v>
      </c>
      <c r="Y413" s="169" t="e">
        <f t="shared" si="30"/>
        <v>#NAME?</v>
      </c>
      <c r="Z413" s="177">
        <v>271.089999999996</v>
      </c>
    </row>
    <row r="414" spans="4:26">
      <c r="D414" s="166">
        <v>412.09999999999599</v>
      </c>
      <c r="E414" s="168" t="e">
        <f t="shared" si="28"/>
        <v>#NAME?</v>
      </c>
      <c r="F414" s="169">
        <v>412.09999999999599</v>
      </c>
      <c r="O414" s="166">
        <v>468.59999999999599</v>
      </c>
      <c r="P414" s="169" t="e">
        <f t="shared" si="29"/>
        <v>#NAME?</v>
      </c>
      <c r="Q414" s="177">
        <v>468.59999999999599</v>
      </c>
      <c r="R414" s="166">
        <v>469.10999999999598</v>
      </c>
      <c r="S414" s="166">
        <v>10.249300000001487</v>
      </c>
      <c r="X414" s="166">
        <v>271.09999999999599</v>
      </c>
      <c r="Y414" s="169" t="e">
        <f t="shared" si="30"/>
        <v>#NAME?</v>
      </c>
      <c r="Z414" s="177">
        <v>271.09999999999599</v>
      </c>
    </row>
    <row r="415" spans="4:26">
      <c r="D415" s="166">
        <v>412.10999999999598</v>
      </c>
      <c r="E415" s="168" t="e">
        <f t="shared" si="28"/>
        <v>#NAME?</v>
      </c>
      <c r="F415" s="169">
        <v>412.10999999999598</v>
      </c>
      <c r="O415" s="166">
        <v>468.60999999999598</v>
      </c>
      <c r="P415" s="169" t="e">
        <f t="shared" si="29"/>
        <v>#NAME?</v>
      </c>
      <c r="Q415" s="177">
        <v>468.60999999999598</v>
      </c>
      <c r="R415" s="166">
        <v>469.11999999999603</v>
      </c>
      <c r="S415" s="166">
        <v>10.24560000000147</v>
      </c>
      <c r="X415" s="166">
        <v>271.10999999999598</v>
      </c>
      <c r="Y415" s="169" t="e">
        <f t="shared" si="30"/>
        <v>#NAME?</v>
      </c>
      <c r="Z415" s="177">
        <v>271.10999999999598</v>
      </c>
    </row>
    <row r="416" spans="4:26">
      <c r="D416" s="166">
        <v>412.11999999999603</v>
      </c>
      <c r="E416" s="168" t="e">
        <f t="shared" si="28"/>
        <v>#NAME?</v>
      </c>
      <c r="F416" s="169">
        <v>412.11999999999603</v>
      </c>
      <c r="O416" s="166">
        <v>468.61999999999603</v>
      </c>
      <c r="P416" s="169" t="e">
        <f t="shared" si="29"/>
        <v>#NAME?</v>
      </c>
      <c r="Q416" s="177">
        <v>468.61999999999603</v>
      </c>
      <c r="R416" s="166">
        <v>469.12999999999602</v>
      </c>
      <c r="S416" s="166">
        <v>10.241900000001474</v>
      </c>
      <c r="X416" s="166">
        <v>271.11999999999603</v>
      </c>
      <c r="Y416" s="169" t="e">
        <f t="shared" si="30"/>
        <v>#NAME?</v>
      </c>
      <c r="Z416" s="177">
        <v>271.11999999999603</v>
      </c>
    </row>
    <row r="417" spans="4:26">
      <c r="D417" s="166">
        <v>412.12999999999602</v>
      </c>
      <c r="E417" s="168" t="e">
        <f t="shared" si="28"/>
        <v>#NAME?</v>
      </c>
      <c r="F417" s="169">
        <v>412.12999999999602</v>
      </c>
      <c r="O417" s="166">
        <v>468.62999999999602</v>
      </c>
      <c r="P417" s="169" t="e">
        <f t="shared" si="29"/>
        <v>#NAME?</v>
      </c>
      <c r="Q417" s="177">
        <v>468.62999999999602</v>
      </c>
      <c r="R417" s="166">
        <v>469.13999999999601</v>
      </c>
      <c r="S417" s="166">
        <v>10.238200000001477</v>
      </c>
      <c r="X417" s="166">
        <v>271.12999999999602</v>
      </c>
      <c r="Y417" s="169" t="e">
        <f t="shared" si="30"/>
        <v>#NAME?</v>
      </c>
      <c r="Z417" s="177">
        <v>271.12999999999602</v>
      </c>
    </row>
    <row r="418" spans="4:26">
      <c r="D418" s="166">
        <v>412.13999999999601</v>
      </c>
      <c r="E418" s="168" t="e">
        <f t="shared" si="28"/>
        <v>#NAME?</v>
      </c>
      <c r="F418" s="169">
        <v>412.13999999999601</v>
      </c>
      <c r="O418" s="166">
        <v>468.63999999999601</v>
      </c>
      <c r="P418" s="169" t="e">
        <f t="shared" si="29"/>
        <v>#NAME?</v>
      </c>
      <c r="Q418" s="177">
        <v>468.63999999999601</v>
      </c>
      <c r="R418" s="166">
        <v>469.149999999996</v>
      </c>
      <c r="S418" s="166">
        <v>10.23450000000148</v>
      </c>
      <c r="X418" s="166">
        <v>271.13999999999601</v>
      </c>
      <c r="Y418" s="169" t="e">
        <f t="shared" si="30"/>
        <v>#NAME?</v>
      </c>
      <c r="Z418" s="177">
        <v>271.13999999999601</v>
      </c>
    </row>
    <row r="419" spans="4:26">
      <c r="D419" s="166">
        <v>412.149999999996</v>
      </c>
      <c r="E419" s="168" t="e">
        <f t="shared" si="28"/>
        <v>#NAME?</v>
      </c>
      <c r="F419" s="169">
        <v>412.149999999996</v>
      </c>
      <c r="O419" s="166">
        <v>468.649999999996</v>
      </c>
      <c r="P419" s="169" t="e">
        <f t="shared" si="29"/>
        <v>#NAME?</v>
      </c>
      <c r="Q419" s="177">
        <v>468.649999999996</v>
      </c>
      <c r="R419" s="166">
        <v>469.15999999999599</v>
      </c>
      <c r="S419" s="166">
        <v>10.230800000001484</v>
      </c>
      <c r="X419" s="166">
        <v>271.149999999996</v>
      </c>
      <c r="Y419" s="169" t="e">
        <f t="shared" si="30"/>
        <v>#NAME?</v>
      </c>
      <c r="Z419" s="177">
        <v>271.149999999996</v>
      </c>
    </row>
    <row r="420" spans="4:26">
      <c r="D420" s="166">
        <v>412.15999999999599</v>
      </c>
      <c r="E420" s="168" t="e">
        <f t="shared" si="28"/>
        <v>#NAME?</v>
      </c>
      <c r="F420" s="169">
        <v>412.15999999999599</v>
      </c>
      <c r="O420" s="166">
        <v>468.65999999999599</v>
      </c>
      <c r="P420" s="169" t="e">
        <f t="shared" si="29"/>
        <v>#NAME?</v>
      </c>
      <c r="Q420" s="177">
        <v>468.65999999999599</v>
      </c>
      <c r="R420" s="166">
        <v>469.16999999999598</v>
      </c>
      <c r="S420" s="166">
        <v>10.227100000001487</v>
      </c>
      <c r="X420" s="166">
        <v>271.15999999999599</v>
      </c>
      <c r="Y420" s="169" t="e">
        <f t="shared" si="30"/>
        <v>#NAME?</v>
      </c>
      <c r="Z420" s="177">
        <v>271.15999999999599</v>
      </c>
    </row>
    <row r="421" spans="4:26">
      <c r="D421" s="166">
        <v>412.16999999999598</v>
      </c>
      <c r="E421" s="168" t="e">
        <f t="shared" si="28"/>
        <v>#NAME?</v>
      </c>
      <c r="F421" s="169">
        <v>412.16999999999598</v>
      </c>
      <c r="O421" s="166">
        <v>468.66999999999598</v>
      </c>
      <c r="P421" s="169" t="e">
        <f t="shared" si="29"/>
        <v>#NAME?</v>
      </c>
      <c r="Q421" s="177">
        <v>468.66999999999598</v>
      </c>
      <c r="R421" s="166">
        <v>469.17999999999603</v>
      </c>
      <c r="S421" s="166">
        <v>10.223400000001469</v>
      </c>
      <c r="X421" s="166">
        <v>271.16999999999598</v>
      </c>
      <c r="Y421" s="169" t="e">
        <f t="shared" si="30"/>
        <v>#NAME?</v>
      </c>
      <c r="Z421" s="177">
        <v>271.16999999999598</v>
      </c>
    </row>
    <row r="422" spans="4:26">
      <c r="D422" s="166">
        <v>412.17999999999603</v>
      </c>
      <c r="E422" s="168" t="e">
        <f t="shared" si="28"/>
        <v>#NAME?</v>
      </c>
      <c r="F422" s="169">
        <v>412.17999999999603</v>
      </c>
      <c r="O422" s="166">
        <v>468.67999999999603</v>
      </c>
      <c r="P422" s="169" t="e">
        <f t="shared" si="29"/>
        <v>#NAME?</v>
      </c>
      <c r="Q422" s="177">
        <v>468.67999999999603</v>
      </c>
      <c r="R422" s="166">
        <v>469.18999999999602</v>
      </c>
      <c r="S422" s="166">
        <v>10.219700000001472</v>
      </c>
      <c r="X422" s="166">
        <v>271.17999999999603</v>
      </c>
      <c r="Y422" s="169" t="e">
        <f t="shared" si="30"/>
        <v>#NAME?</v>
      </c>
      <c r="Z422" s="177">
        <v>271.17999999999603</v>
      </c>
    </row>
    <row r="423" spans="4:26">
      <c r="D423" s="166">
        <v>412.18999999999602</v>
      </c>
      <c r="E423" s="168" t="e">
        <f t="shared" si="28"/>
        <v>#NAME?</v>
      </c>
      <c r="F423" s="169">
        <v>412.18999999999602</v>
      </c>
      <c r="O423" s="166">
        <v>468.68999999999602</v>
      </c>
      <c r="P423" s="169" t="e">
        <f t="shared" si="29"/>
        <v>#NAME?</v>
      </c>
      <c r="Q423" s="177">
        <v>468.68999999999602</v>
      </c>
      <c r="R423" s="166">
        <v>469.19999999999601</v>
      </c>
      <c r="S423" s="166">
        <v>10.216000000001475</v>
      </c>
      <c r="X423" s="166">
        <v>271.18999999999602</v>
      </c>
      <c r="Y423" s="169" t="e">
        <f t="shared" si="30"/>
        <v>#NAME?</v>
      </c>
      <c r="Z423" s="177">
        <v>271.18999999999602</v>
      </c>
    </row>
    <row r="424" spans="4:26">
      <c r="D424" s="166">
        <v>412.19999999999601</v>
      </c>
      <c r="E424" s="168" t="e">
        <f t="shared" si="28"/>
        <v>#NAME?</v>
      </c>
      <c r="F424" s="169">
        <v>412.19999999999601</v>
      </c>
      <c r="O424" s="166">
        <v>468.69999999999601</v>
      </c>
      <c r="P424" s="169" t="e">
        <f t="shared" si="29"/>
        <v>#NAME?</v>
      </c>
      <c r="Q424" s="177">
        <v>468.69999999999601</v>
      </c>
      <c r="R424" s="166">
        <v>469.209999999996</v>
      </c>
      <c r="S424" s="166">
        <v>10.212300000001479</v>
      </c>
      <c r="X424" s="166">
        <v>271.19999999999601</v>
      </c>
      <c r="Y424" s="169" t="e">
        <f t="shared" si="30"/>
        <v>#NAME?</v>
      </c>
      <c r="Z424" s="177">
        <v>271.19999999999601</v>
      </c>
    </row>
    <row r="425" spans="4:26">
      <c r="D425" s="166">
        <v>412.209999999996</v>
      </c>
      <c r="E425" s="168" t="e">
        <f t="shared" si="28"/>
        <v>#NAME?</v>
      </c>
      <c r="F425" s="169">
        <v>412.209999999996</v>
      </c>
      <c r="O425" s="166">
        <v>468.709999999996</v>
      </c>
      <c r="P425" s="169" t="e">
        <f t="shared" si="29"/>
        <v>#NAME?</v>
      </c>
      <c r="Q425" s="177">
        <v>468.709999999996</v>
      </c>
      <c r="R425" s="166">
        <v>469.21999999999599</v>
      </c>
      <c r="S425" s="166">
        <v>10.208600000001482</v>
      </c>
      <c r="X425" s="166">
        <v>271.209999999996</v>
      </c>
      <c r="Y425" s="169" t="e">
        <f t="shared" si="30"/>
        <v>#NAME?</v>
      </c>
      <c r="Z425" s="177">
        <v>271.209999999996</v>
      </c>
    </row>
    <row r="426" spans="4:26">
      <c r="D426" s="166">
        <v>412.21999999999599</v>
      </c>
      <c r="E426" s="168" t="e">
        <f t="shared" si="28"/>
        <v>#NAME?</v>
      </c>
      <c r="F426" s="169">
        <v>412.21999999999599</v>
      </c>
      <c r="O426" s="166">
        <v>468.71999999999599</v>
      </c>
      <c r="P426" s="169" t="e">
        <f t="shared" si="29"/>
        <v>#NAME?</v>
      </c>
      <c r="Q426" s="177">
        <v>468.71999999999599</v>
      </c>
      <c r="R426" s="166">
        <v>469.22999999999598</v>
      </c>
      <c r="S426" s="166">
        <v>10.204900000001485</v>
      </c>
      <c r="X426" s="166">
        <v>271.21999999999599</v>
      </c>
      <c r="Y426" s="169" t="e">
        <f t="shared" si="30"/>
        <v>#NAME?</v>
      </c>
      <c r="Z426" s="177">
        <v>271.21999999999599</v>
      </c>
    </row>
    <row r="427" spans="4:26">
      <c r="D427" s="166">
        <v>412.22999999999598</v>
      </c>
      <c r="E427" s="168" t="e">
        <f t="shared" si="28"/>
        <v>#NAME?</v>
      </c>
      <c r="F427" s="169">
        <v>412.22999999999598</v>
      </c>
      <c r="O427" s="166">
        <v>468.72999999999598</v>
      </c>
      <c r="P427" s="169" t="e">
        <f t="shared" si="29"/>
        <v>#NAME?</v>
      </c>
      <c r="Q427" s="177">
        <v>468.72999999999598</v>
      </c>
      <c r="R427" s="166">
        <v>469.23999999999597</v>
      </c>
      <c r="S427" s="166">
        <v>10.201200000001489</v>
      </c>
      <c r="X427" s="166">
        <v>271.22999999999598</v>
      </c>
      <c r="Y427" s="169" t="e">
        <f t="shared" si="30"/>
        <v>#NAME?</v>
      </c>
      <c r="Z427" s="177">
        <v>271.22999999999598</v>
      </c>
    </row>
    <row r="428" spans="4:26">
      <c r="D428" s="166">
        <v>412.23999999999597</v>
      </c>
      <c r="E428" s="168" t="e">
        <f t="shared" si="28"/>
        <v>#NAME?</v>
      </c>
      <c r="F428" s="169">
        <v>412.23999999999597</v>
      </c>
      <c r="O428" s="166">
        <v>468.73999999999597</v>
      </c>
      <c r="P428" s="169" t="e">
        <f t="shared" si="29"/>
        <v>#NAME?</v>
      </c>
      <c r="Q428" s="177">
        <v>468.73999999999597</v>
      </c>
      <c r="R428" s="166">
        <v>469.24999999999602</v>
      </c>
      <c r="S428" s="166">
        <v>10.197500000001472</v>
      </c>
      <c r="X428" s="166">
        <v>271.23999999999597</v>
      </c>
      <c r="Y428" s="169" t="e">
        <f t="shared" si="30"/>
        <v>#NAME?</v>
      </c>
      <c r="Z428" s="177">
        <v>271.23999999999597</v>
      </c>
    </row>
    <row r="429" spans="4:26">
      <c r="D429" s="166">
        <v>412.24999999999602</v>
      </c>
      <c r="E429" s="168" t="e">
        <f t="shared" si="28"/>
        <v>#NAME?</v>
      </c>
      <c r="F429" s="169">
        <v>412.24999999999602</v>
      </c>
      <c r="O429" s="166">
        <v>468.74999999999602</v>
      </c>
      <c r="P429" s="169" t="e">
        <f t="shared" si="29"/>
        <v>#NAME?</v>
      </c>
      <c r="Q429" s="177">
        <v>468.74999999999602</v>
      </c>
      <c r="R429" s="166">
        <v>469.25999999999601</v>
      </c>
      <c r="S429" s="166">
        <v>10.193800000001476</v>
      </c>
      <c r="X429" s="166">
        <v>271.24999999999602</v>
      </c>
      <c r="Y429" s="169" t="e">
        <f t="shared" si="30"/>
        <v>#NAME?</v>
      </c>
      <c r="Z429" s="177">
        <v>271.24999999999602</v>
      </c>
    </row>
    <row r="430" spans="4:26">
      <c r="D430" s="166">
        <v>412.25999999999601</v>
      </c>
      <c r="E430" s="168" t="e">
        <f t="shared" si="28"/>
        <v>#NAME?</v>
      </c>
      <c r="F430" s="169">
        <v>412.25999999999601</v>
      </c>
      <c r="O430" s="166">
        <v>468.75999999999601</v>
      </c>
      <c r="P430" s="169" t="e">
        <f t="shared" si="29"/>
        <v>#NAME?</v>
      </c>
      <c r="Q430" s="177">
        <v>468.75999999999601</v>
      </c>
      <c r="R430" s="166">
        <v>469.269999999996</v>
      </c>
      <c r="S430" s="166">
        <v>10.190100000001479</v>
      </c>
      <c r="X430" s="166">
        <v>271.25999999999601</v>
      </c>
      <c r="Y430" s="169" t="e">
        <f t="shared" si="30"/>
        <v>#NAME?</v>
      </c>
      <c r="Z430" s="177">
        <v>271.25999999999601</v>
      </c>
    </row>
    <row r="431" spans="4:26">
      <c r="D431" s="166">
        <v>412.269999999996</v>
      </c>
      <c r="E431" s="168" t="e">
        <f t="shared" si="28"/>
        <v>#NAME?</v>
      </c>
      <c r="F431" s="169">
        <v>412.269999999996</v>
      </c>
      <c r="O431" s="166">
        <v>468.769999999996</v>
      </c>
      <c r="P431" s="169" t="e">
        <f t="shared" si="29"/>
        <v>#NAME?</v>
      </c>
      <c r="Q431" s="177">
        <v>468.769999999996</v>
      </c>
      <c r="R431" s="166">
        <v>469.27999999999599</v>
      </c>
      <c r="S431" s="166">
        <v>10.186400000001482</v>
      </c>
      <c r="X431" s="166">
        <v>271.269999999996</v>
      </c>
      <c r="Y431" s="169" t="e">
        <f t="shared" si="30"/>
        <v>#NAME?</v>
      </c>
      <c r="Z431" s="177">
        <v>271.269999999996</v>
      </c>
    </row>
    <row r="432" spans="4:26">
      <c r="D432" s="166">
        <v>412.27999999999599</v>
      </c>
      <c r="E432" s="168" t="e">
        <f t="shared" si="28"/>
        <v>#NAME?</v>
      </c>
      <c r="F432" s="169">
        <v>412.27999999999599</v>
      </c>
      <c r="O432" s="166">
        <v>468.77999999999599</v>
      </c>
      <c r="P432" s="169" t="e">
        <f t="shared" si="29"/>
        <v>#NAME?</v>
      </c>
      <c r="Q432" s="177">
        <v>468.77999999999599</v>
      </c>
      <c r="R432" s="166">
        <v>469.28999999999598</v>
      </c>
      <c r="S432" s="166">
        <v>10.182700000001486</v>
      </c>
      <c r="X432" s="166">
        <v>271.27999999999599</v>
      </c>
      <c r="Y432" s="169" t="e">
        <f t="shared" si="30"/>
        <v>#NAME?</v>
      </c>
      <c r="Z432" s="177">
        <v>271.27999999999599</v>
      </c>
    </row>
    <row r="433" spans="4:26">
      <c r="D433" s="166">
        <v>412.28999999999598</v>
      </c>
      <c r="E433" s="168" t="e">
        <f t="shared" si="28"/>
        <v>#NAME?</v>
      </c>
      <c r="F433" s="169">
        <v>412.28999999999598</v>
      </c>
      <c r="O433" s="166">
        <v>468.78999999999598</v>
      </c>
      <c r="P433" s="169" t="e">
        <f t="shared" si="29"/>
        <v>#NAME?</v>
      </c>
      <c r="Q433" s="177">
        <v>468.78999999999598</v>
      </c>
      <c r="R433" s="166">
        <v>469.29999999999598</v>
      </c>
      <c r="S433" s="166">
        <v>10.179000000001489</v>
      </c>
      <c r="X433" s="166">
        <v>271.28999999999598</v>
      </c>
      <c r="Y433" s="169" t="e">
        <f t="shared" si="30"/>
        <v>#NAME?</v>
      </c>
      <c r="Z433" s="177">
        <v>271.28999999999598</v>
      </c>
    </row>
    <row r="434" spans="4:26">
      <c r="D434" s="166">
        <v>412.29999999999598</v>
      </c>
      <c r="E434" s="168" t="e">
        <f t="shared" si="28"/>
        <v>#NAME?</v>
      </c>
      <c r="F434" s="169">
        <v>412.29999999999598</v>
      </c>
      <c r="O434" s="166">
        <v>468.79999999999598</v>
      </c>
      <c r="P434" s="169" t="e">
        <f t="shared" si="29"/>
        <v>#NAME?</v>
      </c>
      <c r="Q434" s="177">
        <v>468.79999999999598</v>
      </c>
      <c r="R434" s="166">
        <v>469.30999999999602</v>
      </c>
      <c r="S434" s="166">
        <v>10.175300000001471</v>
      </c>
      <c r="X434" s="166">
        <v>271.29999999999598</v>
      </c>
      <c r="Y434" s="169" t="e">
        <f t="shared" si="30"/>
        <v>#NAME?</v>
      </c>
      <c r="Z434" s="177">
        <v>271.29999999999598</v>
      </c>
    </row>
    <row r="435" spans="4:26">
      <c r="D435" s="166">
        <v>412.30999999999602</v>
      </c>
      <c r="E435" s="168" t="e">
        <f t="shared" si="28"/>
        <v>#NAME?</v>
      </c>
      <c r="F435" s="169">
        <v>412.30999999999602</v>
      </c>
      <c r="O435" s="166">
        <v>468.80999999999602</v>
      </c>
      <c r="P435" s="169" t="e">
        <f t="shared" si="29"/>
        <v>#NAME?</v>
      </c>
      <c r="Q435" s="177">
        <v>468.80999999999602</v>
      </c>
      <c r="R435" s="166">
        <v>469.31999999999601</v>
      </c>
      <c r="S435" s="166">
        <v>10.171600000001474</v>
      </c>
      <c r="X435" s="166">
        <v>271.30999999999602</v>
      </c>
      <c r="Y435" s="169" t="e">
        <f t="shared" si="30"/>
        <v>#NAME?</v>
      </c>
      <c r="Z435" s="177">
        <v>271.30999999999602</v>
      </c>
    </row>
    <row r="436" spans="4:26">
      <c r="D436" s="166">
        <v>412.31999999999601</v>
      </c>
      <c r="E436" s="168" t="e">
        <f t="shared" si="28"/>
        <v>#NAME?</v>
      </c>
      <c r="F436" s="169">
        <v>412.31999999999601</v>
      </c>
      <c r="O436" s="166">
        <v>468.81999999999601</v>
      </c>
      <c r="P436" s="169" t="e">
        <f t="shared" si="29"/>
        <v>#NAME?</v>
      </c>
      <c r="Q436" s="177">
        <v>468.81999999999601</v>
      </c>
      <c r="R436" s="166">
        <v>469.32999999999601</v>
      </c>
      <c r="S436" s="166">
        <v>10.167900000001477</v>
      </c>
      <c r="X436" s="166">
        <v>271.31999999999601</v>
      </c>
      <c r="Y436" s="169" t="e">
        <f t="shared" si="30"/>
        <v>#NAME?</v>
      </c>
      <c r="Z436" s="177">
        <v>271.31999999999601</v>
      </c>
    </row>
    <row r="437" spans="4:26">
      <c r="D437" s="166">
        <v>412.32999999999601</v>
      </c>
      <c r="E437" s="168" t="e">
        <f t="shared" si="28"/>
        <v>#NAME?</v>
      </c>
      <c r="F437" s="169">
        <v>412.32999999999601</v>
      </c>
      <c r="O437" s="166">
        <v>468.82999999999601</v>
      </c>
      <c r="P437" s="169" t="e">
        <f t="shared" si="29"/>
        <v>#NAME?</v>
      </c>
      <c r="Q437" s="177">
        <v>468.82999999999601</v>
      </c>
      <c r="R437" s="166">
        <v>469.339999999996</v>
      </c>
      <c r="S437" s="166">
        <v>10.164200000001481</v>
      </c>
      <c r="X437" s="166">
        <v>271.32999999999601</v>
      </c>
      <c r="Y437" s="169" t="e">
        <f t="shared" si="30"/>
        <v>#NAME?</v>
      </c>
      <c r="Z437" s="177">
        <v>271.32999999999601</v>
      </c>
    </row>
    <row r="438" spans="4:26">
      <c r="D438" s="166">
        <v>412.339999999996</v>
      </c>
      <c r="E438" s="168" t="e">
        <f t="shared" si="28"/>
        <v>#NAME?</v>
      </c>
      <c r="F438" s="169">
        <v>412.339999999996</v>
      </c>
      <c r="O438" s="166">
        <v>468.839999999996</v>
      </c>
      <c r="P438" s="169" t="e">
        <f t="shared" si="29"/>
        <v>#NAME?</v>
      </c>
      <c r="Q438" s="177">
        <v>468.839999999996</v>
      </c>
      <c r="R438" s="166">
        <v>469.34999999999599</v>
      </c>
      <c r="S438" s="166">
        <v>10.160500000001484</v>
      </c>
      <c r="X438" s="166">
        <v>271.339999999996</v>
      </c>
      <c r="Y438" s="169" t="e">
        <f t="shared" si="30"/>
        <v>#NAME?</v>
      </c>
      <c r="Z438" s="177">
        <v>271.339999999996</v>
      </c>
    </row>
    <row r="439" spans="4:26">
      <c r="D439" s="166">
        <v>412.34999999999599</v>
      </c>
      <c r="E439" s="168" t="e">
        <f t="shared" si="28"/>
        <v>#NAME?</v>
      </c>
      <c r="F439" s="169">
        <v>412.34999999999599</v>
      </c>
      <c r="O439" s="166">
        <v>468.84999999999599</v>
      </c>
      <c r="P439" s="169" t="e">
        <f t="shared" si="29"/>
        <v>#NAME?</v>
      </c>
      <c r="Q439" s="177">
        <v>468.84999999999599</v>
      </c>
      <c r="R439" s="166">
        <v>469.35999999999598</v>
      </c>
      <c r="S439" s="166">
        <v>10.156800000001487</v>
      </c>
      <c r="X439" s="166">
        <v>271.34999999999599</v>
      </c>
      <c r="Y439" s="169" t="e">
        <f t="shared" si="30"/>
        <v>#NAME?</v>
      </c>
      <c r="Z439" s="177">
        <v>271.34999999999599</v>
      </c>
    </row>
    <row r="440" spans="4:26">
      <c r="D440" s="166">
        <v>412.35999999999598</v>
      </c>
      <c r="E440" s="168" t="e">
        <f t="shared" si="28"/>
        <v>#NAME?</v>
      </c>
      <c r="F440" s="169">
        <v>412.35999999999598</v>
      </c>
      <c r="O440" s="166">
        <v>468.85999999999598</v>
      </c>
      <c r="P440" s="169" t="e">
        <f t="shared" si="29"/>
        <v>#NAME?</v>
      </c>
      <c r="Q440" s="177">
        <v>468.85999999999598</v>
      </c>
      <c r="R440" s="166">
        <v>469.36999999999603</v>
      </c>
      <c r="S440" s="166">
        <v>10.153100000001469</v>
      </c>
      <c r="X440" s="166">
        <v>271.35999999999598</v>
      </c>
      <c r="Y440" s="169" t="e">
        <f t="shared" si="30"/>
        <v>#NAME?</v>
      </c>
      <c r="Z440" s="177">
        <v>271.35999999999598</v>
      </c>
    </row>
    <row r="441" spans="4:26">
      <c r="D441" s="166">
        <v>412.36999999999603</v>
      </c>
      <c r="E441" s="168" t="e">
        <f t="shared" si="28"/>
        <v>#NAME?</v>
      </c>
      <c r="F441" s="169">
        <v>412.36999999999603</v>
      </c>
      <c r="O441" s="166">
        <v>468.86999999999603</v>
      </c>
      <c r="P441" s="169" t="e">
        <f t="shared" si="29"/>
        <v>#NAME?</v>
      </c>
      <c r="Q441" s="177">
        <v>468.86999999999603</v>
      </c>
      <c r="R441" s="166">
        <v>469.37999999999602</v>
      </c>
      <c r="S441" s="166">
        <v>10.149400000001473</v>
      </c>
      <c r="X441" s="166">
        <v>271.36999999999603</v>
      </c>
      <c r="Y441" s="169" t="e">
        <f t="shared" si="30"/>
        <v>#NAME?</v>
      </c>
      <c r="Z441" s="177">
        <v>271.36999999999603</v>
      </c>
    </row>
    <row r="442" spans="4:26">
      <c r="D442" s="166">
        <v>412.37999999999602</v>
      </c>
      <c r="E442" s="168" t="e">
        <f t="shared" si="28"/>
        <v>#NAME?</v>
      </c>
      <c r="F442" s="169">
        <v>412.37999999999602</v>
      </c>
      <c r="O442" s="166">
        <v>468.87999999999602</v>
      </c>
      <c r="P442" s="169" t="e">
        <f t="shared" si="29"/>
        <v>#NAME?</v>
      </c>
      <c r="Q442" s="177">
        <v>468.87999999999602</v>
      </c>
      <c r="R442" s="166">
        <v>469.38999999999601</v>
      </c>
      <c r="S442" s="166">
        <v>10.145700000001476</v>
      </c>
      <c r="X442" s="166">
        <v>271.37999999999602</v>
      </c>
      <c r="Y442" s="169" t="e">
        <f t="shared" si="30"/>
        <v>#NAME?</v>
      </c>
      <c r="Z442" s="177">
        <v>271.37999999999602</v>
      </c>
    </row>
    <row r="443" spans="4:26">
      <c r="D443" s="166">
        <v>412.38999999999601</v>
      </c>
      <c r="E443" s="168" t="e">
        <f t="shared" si="28"/>
        <v>#NAME?</v>
      </c>
      <c r="F443" s="169">
        <v>412.38999999999601</v>
      </c>
      <c r="O443" s="166">
        <v>468.88999999999601</v>
      </c>
      <c r="P443" s="169" t="e">
        <f t="shared" si="29"/>
        <v>#NAME?</v>
      </c>
      <c r="Q443" s="177">
        <v>468.88999999999601</v>
      </c>
      <c r="R443" s="166">
        <v>469.399999999996</v>
      </c>
      <c r="S443" s="166">
        <v>10.142000000001481</v>
      </c>
      <c r="X443" s="166">
        <v>271.38999999999601</v>
      </c>
      <c r="Y443" s="169" t="e">
        <f t="shared" si="30"/>
        <v>#NAME?</v>
      </c>
      <c r="Z443" s="177">
        <v>271.38999999999601</v>
      </c>
    </row>
    <row r="444" spans="4:26">
      <c r="D444" s="166">
        <v>412.399999999996</v>
      </c>
      <c r="E444" s="168" t="e">
        <f t="shared" si="28"/>
        <v>#NAME?</v>
      </c>
      <c r="F444" s="169">
        <v>412.399999999996</v>
      </c>
      <c r="O444" s="166">
        <v>468.899999999996</v>
      </c>
      <c r="P444" s="169" t="e">
        <f t="shared" si="29"/>
        <v>#NAME?</v>
      </c>
      <c r="Q444" s="177">
        <v>468.899999999996</v>
      </c>
      <c r="R444" s="166">
        <v>469.40999999999599</v>
      </c>
      <c r="S444" s="166">
        <v>10.138300000001484</v>
      </c>
      <c r="X444" s="166">
        <v>271.399999999996</v>
      </c>
      <c r="Y444" s="169" t="e">
        <f t="shared" si="30"/>
        <v>#NAME?</v>
      </c>
      <c r="Z444" s="177">
        <v>271.399999999996</v>
      </c>
    </row>
    <row r="445" spans="4:26">
      <c r="D445" s="166">
        <v>412.40999999999599</v>
      </c>
      <c r="E445" s="168" t="e">
        <f t="shared" si="28"/>
        <v>#NAME?</v>
      </c>
      <c r="F445" s="169">
        <v>412.40999999999599</v>
      </c>
      <c r="O445" s="166">
        <v>468.90999999999599</v>
      </c>
      <c r="P445" s="169" t="e">
        <f t="shared" si="29"/>
        <v>#NAME?</v>
      </c>
      <c r="Q445" s="177">
        <v>468.90999999999599</v>
      </c>
      <c r="R445" s="166">
        <v>469.41999999999598</v>
      </c>
      <c r="S445" s="166">
        <v>10.134600000001488</v>
      </c>
      <c r="X445" s="166">
        <v>271.40999999999599</v>
      </c>
      <c r="Y445" s="169" t="e">
        <f t="shared" si="30"/>
        <v>#NAME?</v>
      </c>
      <c r="Z445" s="177">
        <v>271.40999999999599</v>
      </c>
    </row>
    <row r="446" spans="4:26">
      <c r="D446" s="166">
        <v>412.41999999999598</v>
      </c>
      <c r="E446" s="168" t="e">
        <f t="shared" si="28"/>
        <v>#NAME?</v>
      </c>
      <c r="F446" s="169">
        <v>412.41999999999598</v>
      </c>
      <c r="O446" s="166">
        <v>468.91999999999598</v>
      </c>
      <c r="P446" s="169" t="e">
        <f t="shared" si="29"/>
        <v>#NAME?</v>
      </c>
      <c r="Q446" s="177">
        <v>468.91999999999598</v>
      </c>
      <c r="R446" s="166">
        <v>469.42999999999603</v>
      </c>
      <c r="S446" s="166">
        <v>10.13090000000147</v>
      </c>
      <c r="X446" s="166">
        <v>271.41999999999598</v>
      </c>
      <c r="Y446" s="169" t="e">
        <f t="shared" si="30"/>
        <v>#NAME?</v>
      </c>
      <c r="Z446" s="177">
        <v>271.41999999999598</v>
      </c>
    </row>
    <row r="447" spans="4:26">
      <c r="D447" s="166">
        <v>412.42999999999603</v>
      </c>
      <c r="E447" s="168" t="e">
        <f t="shared" si="28"/>
        <v>#NAME?</v>
      </c>
      <c r="F447" s="169">
        <v>412.42999999999603</v>
      </c>
      <c r="O447" s="166">
        <v>468.92999999999603</v>
      </c>
      <c r="P447" s="169" t="e">
        <f t="shared" si="29"/>
        <v>#NAME?</v>
      </c>
      <c r="Q447" s="177">
        <v>468.92999999999603</v>
      </c>
      <c r="R447" s="166">
        <v>469.43999999999602</v>
      </c>
      <c r="S447" s="166">
        <v>10.127200000001473</v>
      </c>
      <c r="X447" s="166">
        <v>271.42999999999603</v>
      </c>
      <c r="Y447" s="169" t="e">
        <f t="shared" si="30"/>
        <v>#NAME?</v>
      </c>
      <c r="Z447" s="177">
        <v>271.42999999999603</v>
      </c>
    </row>
    <row r="448" spans="4:26">
      <c r="D448" s="166">
        <v>412.43999999999602</v>
      </c>
      <c r="E448" s="168" t="e">
        <f t="shared" si="28"/>
        <v>#NAME?</v>
      </c>
      <c r="F448" s="169">
        <v>412.43999999999602</v>
      </c>
      <c r="O448" s="166">
        <v>468.93999999999602</v>
      </c>
      <c r="P448" s="169" t="e">
        <f t="shared" si="29"/>
        <v>#NAME?</v>
      </c>
      <c r="Q448" s="177">
        <v>468.93999999999602</v>
      </c>
      <c r="R448" s="166">
        <v>469.44999999999601</v>
      </c>
      <c r="S448" s="166">
        <v>10.123500000001476</v>
      </c>
      <c r="X448" s="166">
        <v>271.43999999999602</v>
      </c>
      <c r="Y448" s="169" t="e">
        <f t="shared" si="30"/>
        <v>#NAME?</v>
      </c>
      <c r="Z448" s="177">
        <v>271.43999999999602</v>
      </c>
    </row>
    <row r="449" spans="4:26">
      <c r="D449" s="166">
        <v>412.44999999999601</v>
      </c>
      <c r="E449" s="168" t="e">
        <f t="shared" si="28"/>
        <v>#NAME?</v>
      </c>
      <c r="F449" s="169">
        <v>412.44999999999601</v>
      </c>
      <c r="O449" s="166">
        <v>468.94999999999601</v>
      </c>
      <c r="P449" s="169" t="e">
        <f t="shared" si="29"/>
        <v>#NAME?</v>
      </c>
      <c r="Q449" s="177">
        <v>468.94999999999601</v>
      </c>
      <c r="R449" s="166">
        <v>469.459999999996</v>
      </c>
      <c r="S449" s="166">
        <v>10.119800000001479</v>
      </c>
      <c r="X449" s="166">
        <v>271.44999999999601</v>
      </c>
      <c r="Y449" s="169" t="e">
        <f t="shared" si="30"/>
        <v>#NAME?</v>
      </c>
      <c r="Z449" s="177">
        <v>271.44999999999601</v>
      </c>
    </row>
    <row r="450" spans="4:26">
      <c r="D450" s="166">
        <v>412.459999999996</v>
      </c>
      <c r="E450" s="168" t="e">
        <f t="shared" si="28"/>
        <v>#NAME?</v>
      </c>
      <c r="F450" s="169">
        <v>412.459999999996</v>
      </c>
      <c r="O450" s="166">
        <v>468.959999999996</v>
      </c>
      <c r="P450" s="169" t="e">
        <f t="shared" si="29"/>
        <v>#NAME?</v>
      </c>
      <c r="Q450" s="177">
        <v>468.959999999996</v>
      </c>
      <c r="R450" s="166">
        <v>469.46999999999599</v>
      </c>
      <c r="S450" s="166">
        <v>10.116100000001483</v>
      </c>
      <c r="X450" s="166">
        <v>271.459999999996</v>
      </c>
      <c r="Y450" s="169" t="e">
        <f t="shared" si="30"/>
        <v>#NAME?</v>
      </c>
      <c r="Z450" s="177">
        <v>271.459999999996</v>
      </c>
    </row>
    <row r="451" spans="4:26">
      <c r="D451" s="166">
        <v>412.46999999999599</v>
      </c>
      <c r="E451" s="168" t="e">
        <f t="shared" si="28"/>
        <v>#NAME?</v>
      </c>
      <c r="F451" s="169">
        <v>412.46999999999599</v>
      </c>
      <c r="O451" s="166">
        <v>468.96999999999599</v>
      </c>
      <c r="P451" s="169" t="e">
        <f t="shared" si="29"/>
        <v>#NAME?</v>
      </c>
      <c r="Q451" s="177">
        <v>468.96999999999599</v>
      </c>
      <c r="R451" s="166">
        <v>469.47999999999598</v>
      </c>
      <c r="S451" s="166">
        <v>10.112400000001486</v>
      </c>
      <c r="X451" s="166">
        <v>271.46999999999599</v>
      </c>
      <c r="Y451" s="169" t="e">
        <f t="shared" si="30"/>
        <v>#NAME?</v>
      </c>
      <c r="Z451" s="177">
        <v>271.46999999999599</v>
      </c>
    </row>
    <row r="452" spans="4:26">
      <c r="D452" s="166">
        <v>412.47999999999598</v>
      </c>
      <c r="E452" s="168" t="e">
        <f t="shared" ref="E452:E515" si="31">VLOOKUP(D452,THONGSOHO_BK,2,1)+(VLOOKUP(D452+1,THONGSOHO_BK,2,1)-VLOOKUP(D452,THONGSOHO_BK,2,1))/1*(D452-VLOOKUP(D452,THONGSOHO_BK,1,1))-48.55</f>
        <v>#NAME?</v>
      </c>
      <c r="F452" s="169">
        <v>412.47999999999598</v>
      </c>
      <c r="O452" s="166">
        <v>468.97999999999598</v>
      </c>
      <c r="P452" s="169" t="e">
        <f t="shared" ref="P452:P515" si="32">VLOOKUP(O452,THONGSOHO_BTS,2,1)+(VLOOKUP(O452+5,THONGSOHO_BTS,2,1)-VLOOKUP(O452,THONGSOHO_BTS,2,1))/5*(O452-VLOOKUP(O452,THONGSOHO_BTS,1,1))-264.29</f>
        <v>#NAME?</v>
      </c>
      <c r="Q452" s="177">
        <v>468.97999999999598</v>
      </c>
      <c r="R452" s="166">
        <v>469.48999999999597</v>
      </c>
      <c r="S452" s="166">
        <v>10.108700000001489</v>
      </c>
      <c r="X452" s="166">
        <v>271.47999999999598</v>
      </c>
      <c r="Y452" s="169" t="e">
        <f t="shared" ref="Y452:Y515" si="33">VLOOKUP(X452,THONGSOHO_SP3,2,1)+(VLOOKUP(X452+2,THONGSOHO_SP3,2,1)-VLOOKUP(X452,THONGSOHO_SP3,2,1))/2*(X452-VLOOKUP(X452,THONGSOHO_SP3,1,1))-156.13</f>
        <v>#NAME?</v>
      </c>
      <c r="Z452" s="177">
        <v>271.47999999999598</v>
      </c>
    </row>
    <row r="453" spans="4:26">
      <c r="D453" s="166">
        <v>412.48999999999597</v>
      </c>
      <c r="E453" s="168" t="e">
        <f t="shared" si="31"/>
        <v>#NAME?</v>
      </c>
      <c r="F453" s="169">
        <v>412.48999999999597</v>
      </c>
      <c r="O453" s="166">
        <v>468.98999999999597</v>
      </c>
      <c r="P453" s="169" t="e">
        <f t="shared" si="32"/>
        <v>#NAME?</v>
      </c>
      <c r="Q453" s="177">
        <v>468.98999999999597</v>
      </c>
      <c r="R453" s="166">
        <v>469.49999999999602</v>
      </c>
      <c r="S453" s="166">
        <v>10.105000000001471</v>
      </c>
      <c r="X453" s="166">
        <v>271.48999999999597</v>
      </c>
      <c r="Y453" s="169" t="e">
        <f t="shared" si="33"/>
        <v>#NAME?</v>
      </c>
      <c r="Z453" s="177">
        <v>271.48999999999597</v>
      </c>
    </row>
    <row r="454" spans="4:26">
      <c r="D454" s="166">
        <v>412.49999999999602</v>
      </c>
      <c r="E454" s="168" t="e">
        <f t="shared" si="31"/>
        <v>#NAME?</v>
      </c>
      <c r="F454" s="169">
        <v>412.49999999999602</v>
      </c>
      <c r="O454" s="166">
        <v>468.99999999999602</v>
      </c>
      <c r="P454" s="169" t="e">
        <f t="shared" si="32"/>
        <v>#NAME?</v>
      </c>
      <c r="Q454" s="177">
        <v>468.99999999999602</v>
      </c>
      <c r="R454" s="166">
        <v>469.50999999999601</v>
      </c>
      <c r="S454" s="166">
        <v>10.101300000001475</v>
      </c>
      <c r="X454" s="166">
        <v>271.49999999999602</v>
      </c>
      <c r="Y454" s="169" t="e">
        <f t="shared" si="33"/>
        <v>#NAME?</v>
      </c>
      <c r="Z454" s="177">
        <v>271.49999999999602</v>
      </c>
    </row>
    <row r="455" spans="4:26">
      <c r="D455" s="166">
        <v>412.50999999999601</v>
      </c>
      <c r="E455" s="168" t="e">
        <f t="shared" si="31"/>
        <v>#NAME?</v>
      </c>
      <c r="F455" s="169">
        <v>412.50999999999601</v>
      </c>
      <c r="O455" s="166">
        <v>469.00999999999601</v>
      </c>
      <c r="P455" s="169" t="e">
        <f t="shared" si="32"/>
        <v>#NAME?</v>
      </c>
      <c r="Q455" s="177">
        <v>469.00999999999601</v>
      </c>
      <c r="R455" s="166">
        <v>469.519999999996</v>
      </c>
      <c r="S455" s="166">
        <v>10.097600000001478</v>
      </c>
      <c r="X455" s="166">
        <v>271.50999999999601</v>
      </c>
      <c r="Y455" s="169" t="e">
        <f t="shared" si="33"/>
        <v>#NAME?</v>
      </c>
      <c r="Z455" s="177">
        <v>271.50999999999601</v>
      </c>
    </row>
    <row r="456" spans="4:26">
      <c r="D456" s="166">
        <v>412.519999999996</v>
      </c>
      <c r="E456" s="168" t="e">
        <f t="shared" si="31"/>
        <v>#NAME?</v>
      </c>
      <c r="F456" s="169">
        <v>412.519999999996</v>
      </c>
      <c r="O456" s="166">
        <v>469.019999999996</v>
      </c>
      <c r="P456" s="169" t="e">
        <f t="shared" si="32"/>
        <v>#NAME?</v>
      </c>
      <c r="Q456" s="177">
        <v>469.019999999996</v>
      </c>
      <c r="R456" s="166">
        <v>469.52999999999599</v>
      </c>
      <c r="S456" s="166">
        <v>10.093900000001481</v>
      </c>
      <c r="X456" s="166">
        <v>271.519999999996</v>
      </c>
      <c r="Y456" s="169" t="e">
        <f t="shared" si="33"/>
        <v>#NAME?</v>
      </c>
      <c r="Z456" s="177">
        <v>271.519999999996</v>
      </c>
    </row>
    <row r="457" spans="4:26">
      <c r="D457" s="166">
        <v>412.52999999999599</v>
      </c>
      <c r="E457" s="168" t="e">
        <f t="shared" si="31"/>
        <v>#NAME?</v>
      </c>
      <c r="F457" s="169">
        <v>412.52999999999599</v>
      </c>
      <c r="O457" s="166">
        <v>469.02999999999599</v>
      </c>
      <c r="P457" s="169" t="e">
        <f t="shared" si="32"/>
        <v>#NAME?</v>
      </c>
      <c r="Q457" s="177">
        <v>469.02999999999599</v>
      </c>
      <c r="R457" s="166">
        <v>469.53999999999598</v>
      </c>
      <c r="S457" s="166">
        <v>10.090200000001484</v>
      </c>
      <c r="X457" s="166">
        <v>271.52999999999599</v>
      </c>
      <c r="Y457" s="169" t="e">
        <f t="shared" si="33"/>
        <v>#NAME?</v>
      </c>
      <c r="Z457" s="177">
        <v>271.52999999999599</v>
      </c>
    </row>
    <row r="458" spans="4:26">
      <c r="D458" s="166">
        <v>412.53999999999598</v>
      </c>
      <c r="E458" s="168" t="e">
        <f t="shared" si="31"/>
        <v>#NAME?</v>
      </c>
      <c r="F458" s="169">
        <v>412.53999999999598</v>
      </c>
      <c r="O458" s="166">
        <v>469.03999999999598</v>
      </c>
      <c r="P458" s="169" t="e">
        <f t="shared" si="32"/>
        <v>#NAME?</v>
      </c>
      <c r="Q458" s="177">
        <v>469.03999999999598</v>
      </c>
      <c r="R458" s="166">
        <v>469.54999999999598</v>
      </c>
      <c r="S458" s="166">
        <v>10.086500000001489</v>
      </c>
      <c r="X458" s="166">
        <v>271.53999999999598</v>
      </c>
      <c r="Y458" s="169" t="e">
        <f t="shared" si="33"/>
        <v>#NAME?</v>
      </c>
      <c r="Z458" s="177">
        <v>271.53999999999598</v>
      </c>
    </row>
    <row r="459" spans="4:26">
      <c r="D459" s="166">
        <v>412.54999999999598</v>
      </c>
      <c r="E459" s="168" t="e">
        <f t="shared" si="31"/>
        <v>#NAME?</v>
      </c>
      <c r="F459" s="169">
        <v>412.54999999999598</v>
      </c>
      <c r="O459" s="166">
        <v>469.04999999999598</v>
      </c>
      <c r="P459" s="169" t="e">
        <f t="shared" si="32"/>
        <v>#NAME?</v>
      </c>
      <c r="Q459" s="177">
        <v>469.04999999999598</v>
      </c>
      <c r="R459" s="166">
        <v>469.55999999999602</v>
      </c>
      <c r="S459" s="166">
        <v>10.082800000001471</v>
      </c>
      <c r="X459" s="166">
        <v>271.54999999999598</v>
      </c>
      <c r="Y459" s="169" t="e">
        <f t="shared" si="33"/>
        <v>#NAME?</v>
      </c>
      <c r="Z459" s="177">
        <v>271.54999999999598</v>
      </c>
    </row>
    <row r="460" spans="4:26">
      <c r="D460" s="166">
        <v>412.55999999999602</v>
      </c>
      <c r="E460" s="168" t="e">
        <f t="shared" si="31"/>
        <v>#NAME?</v>
      </c>
      <c r="F460" s="169">
        <v>412.55999999999602</v>
      </c>
      <c r="O460" s="166">
        <v>469.05999999999602</v>
      </c>
      <c r="P460" s="169" t="e">
        <f t="shared" si="32"/>
        <v>#NAME?</v>
      </c>
      <c r="Q460" s="177">
        <v>469.05999999999602</v>
      </c>
      <c r="R460" s="166">
        <v>469.56999999999601</v>
      </c>
      <c r="S460" s="166">
        <v>10.079100000001475</v>
      </c>
      <c r="X460" s="166">
        <v>271.55999999999602</v>
      </c>
      <c r="Y460" s="169" t="e">
        <f t="shared" si="33"/>
        <v>#NAME?</v>
      </c>
      <c r="Z460" s="177">
        <v>271.55999999999602</v>
      </c>
    </row>
    <row r="461" spans="4:26">
      <c r="D461" s="166">
        <v>412.56999999999601</v>
      </c>
      <c r="E461" s="168" t="e">
        <f t="shared" si="31"/>
        <v>#NAME?</v>
      </c>
      <c r="F461" s="169">
        <v>412.56999999999601</v>
      </c>
      <c r="O461" s="166">
        <v>469.06999999999601</v>
      </c>
      <c r="P461" s="169" t="e">
        <f t="shared" si="32"/>
        <v>#NAME?</v>
      </c>
      <c r="Q461" s="177">
        <v>469.06999999999601</v>
      </c>
      <c r="R461" s="166">
        <v>469.57999999999601</v>
      </c>
      <c r="S461" s="166">
        <v>10.075400000001478</v>
      </c>
      <c r="X461" s="166">
        <v>271.56999999999601</v>
      </c>
      <c r="Y461" s="169" t="e">
        <f t="shared" si="33"/>
        <v>#NAME?</v>
      </c>
      <c r="Z461" s="177">
        <v>271.56999999999601</v>
      </c>
    </row>
    <row r="462" spans="4:26">
      <c r="D462" s="166">
        <v>412.57999999999601</v>
      </c>
      <c r="E462" s="168" t="e">
        <f t="shared" si="31"/>
        <v>#NAME?</v>
      </c>
      <c r="F462" s="169">
        <v>412.57999999999601</v>
      </c>
      <c r="O462" s="166">
        <v>469.07999999999601</v>
      </c>
      <c r="P462" s="169" t="e">
        <f t="shared" si="32"/>
        <v>#NAME?</v>
      </c>
      <c r="Q462" s="177">
        <v>469.07999999999601</v>
      </c>
      <c r="R462" s="166">
        <v>469.589999999996</v>
      </c>
      <c r="S462" s="166">
        <v>10.071700000001481</v>
      </c>
      <c r="X462" s="166">
        <v>271.57999999999601</v>
      </c>
      <c r="Y462" s="169" t="e">
        <f t="shared" si="33"/>
        <v>#NAME?</v>
      </c>
      <c r="Z462" s="177">
        <v>271.57999999999601</v>
      </c>
    </row>
    <row r="463" spans="4:26">
      <c r="D463" s="166">
        <v>412.589999999996</v>
      </c>
      <c r="E463" s="168" t="e">
        <f t="shared" si="31"/>
        <v>#NAME?</v>
      </c>
      <c r="F463" s="169">
        <v>412.589999999996</v>
      </c>
      <c r="O463" s="166">
        <v>469.089999999996</v>
      </c>
      <c r="P463" s="169" t="e">
        <f t="shared" si="32"/>
        <v>#NAME?</v>
      </c>
      <c r="Q463" s="177">
        <v>469.089999999996</v>
      </c>
      <c r="R463" s="166">
        <v>469.59999999999599</v>
      </c>
      <c r="S463" s="166">
        <v>10.068000000001485</v>
      </c>
      <c r="X463" s="166">
        <v>271.589999999996</v>
      </c>
      <c r="Y463" s="169" t="e">
        <f t="shared" si="33"/>
        <v>#NAME?</v>
      </c>
      <c r="Z463" s="177">
        <v>271.589999999996</v>
      </c>
    </row>
    <row r="464" spans="4:26">
      <c r="D464" s="166">
        <v>412.59999999999599</v>
      </c>
      <c r="E464" s="168" t="e">
        <f t="shared" si="31"/>
        <v>#NAME?</v>
      </c>
      <c r="F464" s="169">
        <v>412.59999999999599</v>
      </c>
      <c r="O464" s="166">
        <v>469.09999999999599</v>
      </c>
      <c r="P464" s="169" t="e">
        <f t="shared" si="32"/>
        <v>#NAME?</v>
      </c>
      <c r="Q464" s="177">
        <v>469.09999999999599</v>
      </c>
      <c r="R464" s="166">
        <v>469.60999999999598</v>
      </c>
      <c r="S464" s="166">
        <v>10.064300000001488</v>
      </c>
      <c r="X464" s="166">
        <v>271.59999999999599</v>
      </c>
      <c r="Y464" s="169" t="e">
        <f t="shared" si="33"/>
        <v>#NAME?</v>
      </c>
      <c r="Z464" s="177">
        <v>271.59999999999599</v>
      </c>
    </row>
    <row r="465" spans="4:26">
      <c r="D465" s="166">
        <v>412.609999999997</v>
      </c>
      <c r="E465" s="168" t="e">
        <f t="shared" si="31"/>
        <v>#NAME?</v>
      </c>
      <c r="F465" s="169">
        <v>412.609999999997</v>
      </c>
      <c r="O465" s="166">
        <v>469.10999999999598</v>
      </c>
      <c r="P465" s="169" t="e">
        <f t="shared" si="32"/>
        <v>#NAME?</v>
      </c>
      <c r="Q465" s="177">
        <v>469.10999999999598</v>
      </c>
      <c r="R465" s="166">
        <v>469.61999999999603</v>
      </c>
      <c r="S465" s="166">
        <v>10.06060000000147</v>
      </c>
      <c r="X465" s="166">
        <v>271.60999999999598</v>
      </c>
      <c r="Y465" s="169" t="e">
        <f t="shared" si="33"/>
        <v>#NAME?</v>
      </c>
      <c r="Z465" s="177">
        <v>271.60999999999598</v>
      </c>
    </row>
    <row r="466" spans="4:26">
      <c r="D466" s="166">
        <v>412.61999999999699</v>
      </c>
      <c r="E466" s="168" t="e">
        <f t="shared" si="31"/>
        <v>#NAME?</v>
      </c>
      <c r="F466" s="169">
        <v>412.61999999999699</v>
      </c>
      <c r="O466" s="166">
        <v>469.11999999999603</v>
      </c>
      <c r="P466" s="169" t="e">
        <f t="shared" si="32"/>
        <v>#NAME?</v>
      </c>
      <c r="Q466" s="177">
        <v>469.11999999999603</v>
      </c>
      <c r="R466" s="166">
        <v>469.62999999999602</v>
      </c>
      <c r="S466" s="166">
        <v>10.056900000001473</v>
      </c>
      <c r="X466" s="166">
        <v>271.61999999999603</v>
      </c>
      <c r="Y466" s="169" t="e">
        <f t="shared" si="33"/>
        <v>#NAME?</v>
      </c>
      <c r="Z466" s="177">
        <v>271.61999999999603</v>
      </c>
    </row>
    <row r="467" spans="4:26">
      <c r="D467" s="166">
        <v>412.62999999999698</v>
      </c>
      <c r="E467" s="168" t="e">
        <f t="shared" si="31"/>
        <v>#NAME?</v>
      </c>
      <c r="F467" s="169">
        <v>412.62999999999698</v>
      </c>
      <c r="O467" s="166">
        <v>469.12999999999602</v>
      </c>
      <c r="P467" s="169" t="e">
        <f t="shared" si="32"/>
        <v>#NAME?</v>
      </c>
      <c r="Q467" s="177">
        <v>469.12999999999602</v>
      </c>
      <c r="R467" s="166">
        <v>469.63999999999601</v>
      </c>
      <c r="S467" s="166">
        <v>10.053200000001477</v>
      </c>
      <c r="X467" s="166">
        <v>271.62999999999602</v>
      </c>
      <c r="Y467" s="169" t="e">
        <f t="shared" si="33"/>
        <v>#NAME?</v>
      </c>
      <c r="Z467" s="177">
        <v>271.62999999999602</v>
      </c>
    </row>
    <row r="468" spans="4:26">
      <c r="D468" s="166">
        <v>412.63999999999697</v>
      </c>
      <c r="E468" s="168" t="e">
        <f t="shared" si="31"/>
        <v>#NAME?</v>
      </c>
      <c r="F468" s="169">
        <v>412.63999999999697</v>
      </c>
      <c r="O468" s="166">
        <v>469.13999999999601</v>
      </c>
      <c r="P468" s="169" t="e">
        <f t="shared" si="32"/>
        <v>#NAME?</v>
      </c>
      <c r="Q468" s="177">
        <v>469.13999999999601</v>
      </c>
      <c r="R468" s="166">
        <v>469.649999999996</v>
      </c>
      <c r="S468" s="166">
        <v>10.04950000000148</v>
      </c>
      <c r="X468" s="166">
        <v>271.63999999999601</v>
      </c>
      <c r="Y468" s="169" t="e">
        <f t="shared" si="33"/>
        <v>#NAME?</v>
      </c>
      <c r="Z468" s="177">
        <v>271.63999999999601</v>
      </c>
    </row>
    <row r="469" spans="4:26">
      <c r="D469" s="166">
        <v>412.64999999999702</v>
      </c>
      <c r="E469" s="168" t="e">
        <f t="shared" si="31"/>
        <v>#NAME?</v>
      </c>
      <c r="F469" s="169">
        <v>412.64999999999702</v>
      </c>
      <c r="O469" s="166">
        <v>469.149999999996</v>
      </c>
      <c r="P469" s="169" t="e">
        <f t="shared" si="32"/>
        <v>#NAME?</v>
      </c>
      <c r="Q469" s="177">
        <v>469.149999999996</v>
      </c>
      <c r="R469" s="166">
        <v>469.65999999999599</v>
      </c>
      <c r="S469" s="166">
        <v>10.045800000001483</v>
      </c>
      <c r="X469" s="166">
        <v>271.649999999996</v>
      </c>
      <c r="Y469" s="169" t="e">
        <f t="shared" si="33"/>
        <v>#NAME?</v>
      </c>
      <c r="Z469" s="177">
        <v>271.649999999996</v>
      </c>
    </row>
    <row r="470" spans="4:26">
      <c r="D470" s="166">
        <v>412.65999999999701</v>
      </c>
      <c r="E470" s="168" t="e">
        <f t="shared" si="31"/>
        <v>#NAME?</v>
      </c>
      <c r="F470" s="169">
        <v>412.65999999999701</v>
      </c>
      <c r="O470" s="166">
        <v>469.15999999999599</v>
      </c>
      <c r="P470" s="169" t="e">
        <f t="shared" si="32"/>
        <v>#NAME?</v>
      </c>
      <c r="Q470" s="177">
        <v>469.15999999999599</v>
      </c>
      <c r="R470" s="166">
        <v>469.66999999999598</v>
      </c>
      <c r="S470" s="166">
        <v>10.042100000001486</v>
      </c>
      <c r="X470" s="166">
        <v>271.65999999999599</v>
      </c>
      <c r="Y470" s="169" t="e">
        <f t="shared" si="33"/>
        <v>#NAME?</v>
      </c>
      <c r="Z470" s="177">
        <v>271.65999999999599</v>
      </c>
    </row>
    <row r="471" spans="4:26">
      <c r="D471" s="166">
        <v>412.669999999997</v>
      </c>
      <c r="E471" s="168" t="e">
        <f t="shared" si="31"/>
        <v>#NAME?</v>
      </c>
      <c r="F471" s="169">
        <v>412.669999999997</v>
      </c>
      <c r="O471" s="166">
        <v>469.16999999999598</v>
      </c>
      <c r="P471" s="169" t="e">
        <f t="shared" si="32"/>
        <v>#NAME?</v>
      </c>
      <c r="Q471" s="177">
        <v>469.16999999999598</v>
      </c>
      <c r="R471" s="166">
        <v>469.67999999999603</v>
      </c>
      <c r="S471" s="166">
        <v>10.03840000000147</v>
      </c>
      <c r="X471" s="166">
        <v>271.66999999999598</v>
      </c>
      <c r="Y471" s="169" t="e">
        <f t="shared" si="33"/>
        <v>#NAME?</v>
      </c>
      <c r="Z471" s="177">
        <v>271.66999999999598</v>
      </c>
    </row>
    <row r="472" spans="4:26">
      <c r="D472" s="166">
        <v>412.67999999999699</v>
      </c>
      <c r="E472" s="168" t="e">
        <f t="shared" si="31"/>
        <v>#NAME?</v>
      </c>
      <c r="F472" s="169">
        <v>412.67999999999699</v>
      </c>
      <c r="O472" s="166">
        <v>469.17999999999603</v>
      </c>
      <c r="P472" s="169" t="e">
        <f t="shared" si="32"/>
        <v>#NAME?</v>
      </c>
      <c r="Q472" s="177">
        <v>469.17999999999603</v>
      </c>
      <c r="R472" s="166">
        <v>469.68999999999602</v>
      </c>
      <c r="S472" s="166">
        <v>10.034700000001473</v>
      </c>
      <c r="X472" s="166">
        <v>271.67999999999603</v>
      </c>
      <c r="Y472" s="169" t="e">
        <f t="shared" si="33"/>
        <v>#NAME?</v>
      </c>
      <c r="Z472" s="177">
        <v>271.67999999999603</v>
      </c>
    </row>
    <row r="473" spans="4:26">
      <c r="D473" s="166">
        <v>412.68999999999699</v>
      </c>
      <c r="E473" s="168" t="e">
        <f t="shared" si="31"/>
        <v>#NAME?</v>
      </c>
      <c r="F473" s="169">
        <v>412.68999999999699</v>
      </c>
      <c r="O473" s="166">
        <v>469.18999999999602</v>
      </c>
      <c r="P473" s="169" t="e">
        <f t="shared" si="32"/>
        <v>#NAME?</v>
      </c>
      <c r="Q473" s="177">
        <v>469.18999999999602</v>
      </c>
      <c r="R473" s="166">
        <v>469.69999999999601</v>
      </c>
      <c r="S473" s="166">
        <v>10.031000000001477</v>
      </c>
      <c r="X473" s="166">
        <v>271.68999999999602</v>
      </c>
      <c r="Y473" s="169" t="e">
        <f t="shared" si="33"/>
        <v>#NAME?</v>
      </c>
      <c r="Z473" s="177">
        <v>271.68999999999602</v>
      </c>
    </row>
    <row r="474" spans="4:26">
      <c r="D474" s="166">
        <v>412.69999999999698</v>
      </c>
      <c r="E474" s="168" t="e">
        <f t="shared" si="31"/>
        <v>#NAME?</v>
      </c>
      <c r="F474" s="169">
        <v>412.69999999999698</v>
      </c>
      <c r="O474" s="166">
        <v>469.19999999999601</v>
      </c>
      <c r="P474" s="169" t="e">
        <f t="shared" si="32"/>
        <v>#NAME?</v>
      </c>
      <c r="Q474" s="177">
        <v>469.19999999999601</v>
      </c>
      <c r="R474" s="166">
        <v>469.709999999996</v>
      </c>
      <c r="S474" s="166">
        <v>10.02730000000148</v>
      </c>
      <c r="X474" s="166">
        <v>271.69999999999601</v>
      </c>
      <c r="Y474" s="169" t="e">
        <f t="shared" si="33"/>
        <v>#NAME?</v>
      </c>
      <c r="Z474" s="177">
        <v>271.69999999999601</v>
      </c>
    </row>
    <row r="475" spans="4:26">
      <c r="D475" s="166">
        <v>412.70999999999702</v>
      </c>
      <c r="E475" s="168" t="e">
        <f t="shared" si="31"/>
        <v>#NAME?</v>
      </c>
      <c r="F475" s="169">
        <v>412.70999999999702</v>
      </c>
      <c r="O475" s="166">
        <v>469.209999999996</v>
      </c>
      <c r="P475" s="169" t="e">
        <f t="shared" si="32"/>
        <v>#NAME?</v>
      </c>
      <c r="Q475" s="177">
        <v>469.209999999996</v>
      </c>
      <c r="R475" s="166">
        <v>469.71999999999599</v>
      </c>
      <c r="S475" s="166">
        <v>10.023600000001483</v>
      </c>
      <c r="X475" s="166">
        <v>271.709999999996</v>
      </c>
      <c r="Y475" s="169" t="e">
        <f t="shared" si="33"/>
        <v>#NAME?</v>
      </c>
      <c r="Z475" s="177">
        <v>271.709999999996</v>
      </c>
    </row>
    <row r="476" spans="4:26">
      <c r="D476" s="166">
        <v>412.71999999999701</v>
      </c>
      <c r="E476" s="168" t="e">
        <f t="shared" si="31"/>
        <v>#NAME?</v>
      </c>
      <c r="F476" s="169">
        <v>412.71999999999701</v>
      </c>
      <c r="O476" s="166">
        <v>469.21999999999599</v>
      </c>
      <c r="P476" s="169" t="e">
        <f t="shared" si="32"/>
        <v>#NAME?</v>
      </c>
      <c r="Q476" s="177">
        <v>469.21999999999599</v>
      </c>
      <c r="R476" s="166">
        <v>469.72999999999598</v>
      </c>
      <c r="S476" s="166">
        <v>10.019900000001487</v>
      </c>
      <c r="X476" s="166">
        <v>271.71999999999599</v>
      </c>
      <c r="Y476" s="169" t="e">
        <f t="shared" si="33"/>
        <v>#NAME?</v>
      </c>
      <c r="Z476" s="177">
        <v>271.71999999999599</v>
      </c>
    </row>
    <row r="477" spans="4:26">
      <c r="D477" s="166">
        <v>412.72999999999701</v>
      </c>
      <c r="E477" s="168" t="e">
        <f t="shared" si="31"/>
        <v>#NAME?</v>
      </c>
      <c r="F477" s="169">
        <v>412.72999999999701</v>
      </c>
      <c r="O477" s="166">
        <v>469.22999999999598</v>
      </c>
      <c r="P477" s="169" t="e">
        <f t="shared" si="32"/>
        <v>#NAME?</v>
      </c>
      <c r="Q477" s="177">
        <v>469.22999999999598</v>
      </c>
      <c r="R477" s="166">
        <v>469.73999999999597</v>
      </c>
      <c r="S477" s="166">
        <v>10.01620000000149</v>
      </c>
      <c r="X477" s="166">
        <v>271.72999999999598</v>
      </c>
      <c r="Y477" s="169" t="e">
        <f t="shared" si="33"/>
        <v>#NAME?</v>
      </c>
      <c r="Z477" s="177">
        <v>271.72999999999598</v>
      </c>
    </row>
    <row r="478" spans="4:26">
      <c r="D478" s="166">
        <v>412.739999999997</v>
      </c>
      <c r="E478" s="168" t="e">
        <f t="shared" si="31"/>
        <v>#NAME?</v>
      </c>
      <c r="F478" s="169">
        <v>412.739999999997</v>
      </c>
      <c r="O478" s="166">
        <v>469.23999999999597</v>
      </c>
      <c r="P478" s="169" t="e">
        <f t="shared" si="32"/>
        <v>#NAME?</v>
      </c>
      <c r="Q478" s="177">
        <v>469.23999999999597</v>
      </c>
      <c r="R478" s="166">
        <v>469.74999999999602</v>
      </c>
      <c r="S478" s="166">
        <v>10.012500000001472</v>
      </c>
      <c r="X478" s="166">
        <v>271.73999999999597</v>
      </c>
      <c r="Y478" s="169" t="e">
        <f t="shared" si="33"/>
        <v>#NAME?</v>
      </c>
      <c r="Z478" s="177">
        <v>271.73999999999597</v>
      </c>
    </row>
    <row r="479" spans="4:26">
      <c r="D479" s="166">
        <v>412.74999999999699</v>
      </c>
      <c r="E479" s="168" t="e">
        <f t="shared" si="31"/>
        <v>#NAME?</v>
      </c>
      <c r="F479" s="169">
        <v>412.74999999999699</v>
      </c>
      <c r="O479" s="166">
        <v>469.24999999999602</v>
      </c>
      <c r="P479" s="169" t="e">
        <f t="shared" si="32"/>
        <v>#NAME?</v>
      </c>
      <c r="Q479" s="177">
        <v>469.24999999999602</v>
      </c>
      <c r="R479" s="166">
        <v>469.75999999999601</v>
      </c>
      <c r="S479" s="166">
        <v>10.008800000001475</v>
      </c>
      <c r="X479" s="166">
        <v>271.74999999999602</v>
      </c>
      <c r="Y479" s="169" t="e">
        <f t="shared" si="33"/>
        <v>#NAME?</v>
      </c>
      <c r="Z479" s="177">
        <v>271.74999999999602</v>
      </c>
    </row>
    <row r="480" spans="4:26">
      <c r="D480" s="166">
        <v>412.75999999999698</v>
      </c>
      <c r="E480" s="168" t="e">
        <f t="shared" si="31"/>
        <v>#NAME?</v>
      </c>
      <c r="F480" s="169">
        <v>412.75999999999698</v>
      </c>
      <c r="O480" s="166">
        <v>469.25999999999601</v>
      </c>
      <c r="P480" s="169" t="e">
        <f t="shared" si="32"/>
        <v>#NAME?</v>
      </c>
      <c r="Q480" s="177">
        <v>469.25999999999601</v>
      </c>
      <c r="R480" s="166">
        <v>469.769999999996</v>
      </c>
      <c r="S480" s="166">
        <v>10.005100000001478</v>
      </c>
      <c r="X480" s="166">
        <v>271.75999999999601</v>
      </c>
      <c r="Y480" s="169" t="e">
        <f t="shared" si="33"/>
        <v>#NAME?</v>
      </c>
      <c r="Z480" s="177">
        <v>271.75999999999601</v>
      </c>
    </row>
    <row r="481" spans="4:26">
      <c r="D481" s="166">
        <v>412.76999999999703</v>
      </c>
      <c r="E481" s="168" t="e">
        <f t="shared" si="31"/>
        <v>#NAME?</v>
      </c>
      <c r="F481" s="169">
        <v>412.76999999999703</v>
      </c>
      <c r="O481" s="166">
        <v>469.269999999996</v>
      </c>
      <c r="P481" s="169" t="e">
        <f t="shared" si="32"/>
        <v>#NAME?</v>
      </c>
      <c r="Q481" s="177">
        <v>469.269999999996</v>
      </c>
      <c r="R481" s="166">
        <v>469.77999999999599</v>
      </c>
      <c r="S481" s="166">
        <v>10.001400000001482</v>
      </c>
      <c r="X481" s="166">
        <v>271.769999999996</v>
      </c>
      <c r="Y481" s="169" t="e">
        <f t="shared" si="33"/>
        <v>#NAME?</v>
      </c>
      <c r="Z481" s="177">
        <v>271.769999999996</v>
      </c>
    </row>
    <row r="482" spans="4:26">
      <c r="D482" s="166">
        <v>412.77999999999702</v>
      </c>
      <c r="E482" s="168" t="e">
        <f t="shared" si="31"/>
        <v>#NAME?</v>
      </c>
      <c r="F482" s="169">
        <v>412.77999999999702</v>
      </c>
      <c r="O482" s="166">
        <v>469.27999999999599</v>
      </c>
      <c r="P482" s="169" t="e">
        <f t="shared" si="32"/>
        <v>#NAME?</v>
      </c>
      <c r="Q482" s="177">
        <v>469.27999999999599</v>
      </c>
      <c r="R482" s="166">
        <v>469.78999999999598</v>
      </c>
      <c r="S482" s="166">
        <v>9.9977000000014851</v>
      </c>
      <c r="X482" s="166">
        <v>271.77999999999599</v>
      </c>
      <c r="Y482" s="169" t="e">
        <f t="shared" si="33"/>
        <v>#NAME?</v>
      </c>
      <c r="Z482" s="177">
        <v>271.77999999999599</v>
      </c>
    </row>
    <row r="483" spans="4:26">
      <c r="D483" s="166">
        <v>412.78999999999701</v>
      </c>
      <c r="E483" s="168" t="e">
        <f t="shared" si="31"/>
        <v>#NAME?</v>
      </c>
      <c r="F483" s="169">
        <v>412.78999999999701</v>
      </c>
      <c r="O483" s="166">
        <v>469.28999999999598</v>
      </c>
      <c r="P483" s="169" t="e">
        <f t="shared" si="32"/>
        <v>#NAME?</v>
      </c>
      <c r="Q483" s="177">
        <v>469.28999999999598</v>
      </c>
      <c r="R483" s="166">
        <v>469.79999999999598</v>
      </c>
      <c r="S483" s="166">
        <v>9.9940000000014884</v>
      </c>
      <c r="X483" s="166">
        <v>271.78999999999598</v>
      </c>
      <c r="Y483" s="169" t="e">
        <f t="shared" si="33"/>
        <v>#NAME?</v>
      </c>
      <c r="Z483" s="177">
        <v>271.78999999999598</v>
      </c>
    </row>
    <row r="484" spans="4:26">
      <c r="D484" s="166">
        <v>412.799999999997</v>
      </c>
      <c r="E484" s="168" t="e">
        <f t="shared" si="31"/>
        <v>#NAME?</v>
      </c>
      <c r="F484" s="169">
        <v>412.799999999997</v>
      </c>
      <c r="O484" s="166">
        <v>469.29999999999598</v>
      </c>
      <c r="P484" s="169" t="e">
        <f t="shared" si="32"/>
        <v>#NAME?</v>
      </c>
      <c r="Q484" s="177">
        <v>469.29999999999598</v>
      </c>
      <c r="R484" s="166">
        <v>469.80999999999602</v>
      </c>
      <c r="S484" s="166">
        <v>9.9903000000014703</v>
      </c>
      <c r="X484" s="166">
        <v>271.79999999999598</v>
      </c>
      <c r="Y484" s="169" t="e">
        <f t="shared" si="33"/>
        <v>#NAME?</v>
      </c>
      <c r="Z484" s="177">
        <v>271.79999999999598</v>
      </c>
    </row>
    <row r="485" spans="4:26">
      <c r="D485" s="166">
        <v>412.80999999999801</v>
      </c>
      <c r="E485" s="168" t="e">
        <f t="shared" si="31"/>
        <v>#NAME?</v>
      </c>
      <c r="F485" s="169">
        <v>412.80999999999801</v>
      </c>
      <c r="O485" s="166">
        <v>469.30999999999602</v>
      </c>
      <c r="P485" s="169" t="e">
        <f t="shared" si="32"/>
        <v>#NAME?</v>
      </c>
      <c r="Q485" s="177">
        <v>469.30999999999602</v>
      </c>
      <c r="R485" s="166">
        <v>469.81999999999601</v>
      </c>
      <c r="S485" s="166">
        <v>9.9866000000014754</v>
      </c>
      <c r="X485" s="166">
        <v>271.80999999999602</v>
      </c>
      <c r="Y485" s="169" t="e">
        <f t="shared" si="33"/>
        <v>#NAME?</v>
      </c>
      <c r="Z485" s="177">
        <v>271.80999999999602</v>
      </c>
    </row>
    <row r="486" spans="4:26">
      <c r="D486" s="166">
        <v>412.819999999998</v>
      </c>
      <c r="E486" s="168" t="e">
        <f t="shared" si="31"/>
        <v>#NAME?</v>
      </c>
      <c r="F486" s="169">
        <v>412.819999999998</v>
      </c>
      <c r="O486" s="166">
        <v>469.31999999999601</v>
      </c>
      <c r="P486" s="169" t="e">
        <f t="shared" si="32"/>
        <v>#NAME?</v>
      </c>
      <c r="Q486" s="177">
        <v>469.31999999999601</v>
      </c>
      <c r="R486" s="166">
        <v>469.82999999999601</v>
      </c>
      <c r="S486" s="166">
        <v>9.9829000000014787</v>
      </c>
      <c r="X486" s="166">
        <v>271.81999999999601</v>
      </c>
      <c r="Y486" s="169" t="e">
        <f t="shared" si="33"/>
        <v>#NAME?</v>
      </c>
      <c r="Z486" s="177">
        <v>271.81999999999601</v>
      </c>
    </row>
    <row r="487" spans="4:26">
      <c r="D487" s="166">
        <v>412.82999999999799</v>
      </c>
      <c r="E487" s="168" t="e">
        <f t="shared" si="31"/>
        <v>#NAME?</v>
      </c>
      <c r="F487" s="169">
        <v>412.82999999999799</v>
      </c>
      <c r="O487" s="166">
        <v>469.32999999999601</v>
      </c>
      <c r="P487" s="169" t="e">
        <f t="shared" si="32"/>
        <v>#NAME?</v>
      </c>
      <c r="Q487" s="177">
        <v>469.32999999999601</v>
      </c>
      <c r="R487" s="166">
        <v>469.839999999996</v>
      </c>
      <c r="S487" s="166">
        <v>9.979200000001482</v>
      </c>
      <c r="X487" s="166">
        <v>271.82999999999601</v>
      </c>
      <c r="Y487" s="169" t="e">
        <f t="shared" si="33"/>
        <v>#NAME?</v>
      </c>
      <c r="Z487" s="177">
        <v>271.82999999999601</v>
      </c>
    </row>
    <row r="488" spans="4:26">
      <c r="D488" s="166">
        <v>412.83999999999799</v>
      </c>
      <c r="E488" s="168" t="e">
        <f t="shared" si="31"/>
        <v>#NAME?</v>
      </c>
      <c r="F488" s="169">
        <v>412.83999999999799</v>
      </c>
      <c r="O488" s="166">
        <v>469.339999999996</v>
      </c>
      <c r="P488" s="169" t="e">
        <f t="shared" si="32"/>
        <v>#NAME?</v>
      </c>
      <c r="Q488" s="177">
        <v>469.339999999996</v>
      </c>
      <c r="R488" s="166">
        <v>469.84999999999599</v>
      </c>
      <c r="S488" s="166">
        <v>9.9755000000014853</v>
      </c>
      <c r="X488" s="166">
        <v>271.839999999996</v>
      </c>
      <c r="Y488" s="169" t="e">
        <f t="shared" si="33"/>
        <v>#NAME?</v>
      </c>
      <c r="Z488" s="177">
        <v>271.839999999996</v>
      </c>
    </row>
    <row r="489" spans="4:26">
      <c r="D489" s="166">
        <v>412.84999999999798</v>
      </c>
      <c r="E489" s="168" t="e">
        <f t="shared" si="31"/>
        <v>#NAME?</v>
      </c>
      <c r="F489" s="169">
        <v>412.84999999999798</v>
      </c>
      <c r="O489" s="166">
        <v>469.34999999999599</v>
      </c>
      <c r="P489" s="169" t="e">
        <f t="shared" si="32"/>
        <v>#NAME?</v>
      </c>
      <c r="Q489" s="177">
        <v>469.34999999999599</v>
      </c>
      <c r="R489" s="166">
        <v>469.85999999999598</v>
      </c>
      <c r="S489" s="166">
        <v>9.9718000000014886</v>
      </c>
      <c r="X489" s="166">
        <v>271.84999999999599</v>
      </c>
      <c r="Y489" s="169" t="e">
        <f t="shared" si="33"/>
        <v>#NAME?</v>
      </c>
      <c r="Z489" s="177">
        <v>271.84999999999599</v>
      </c>
    </row>
    <row r="490" spans="4:26">
      <c r="D490" s="166">
        <v>412.85999999999802</v>
      </c>
      <c r="E490" s="168" t="e">
        <f t="shared" si="31"/>
        <v>#NAME?</v>
      </c>
      <c r="F490" s="169">
        <v>412.85999999999802</v>
      </c>
      <c r="O490" s="166">
        <v>469.35999999999598</v>
      </c>
      <c r="P490" s="169" t="e">
        <f t="shared" si="32"/>
        <v>#NAME?</v>
      </c>
      <c r="Q490" s="177">
        <v>469.35999999999598</v>
      </c>
      <c r="R490" s="166">
        <v>469.86999999999603</v>
      </c>
      <c r="S490" s="166">
        <v>9.9681000000014706</v>
      </c>
      <c r="X490" s="166">
        <v>271.85999999999598</v>
      </c>
      <c r="Y490" s="169" t="e">
        <f t="shared" si="33"/>
        <v>#NAME?</v>
      </c>
      <c r="Z490" s="177">
        <v>271.85999999999598</v>
      </c>
    </row>
    <row r="491" spans="4:26">
      <c r="D491" s="166">
        <v>412.86999999999802</v>
      </c>
      <c r="E491" s="168" t="e">
        <f t="shared" si="31"/>
        <v>#NAME?</v>
      </c>
      <c r="F491" s="169">
        <v>412.86999999999802</v>
      </c>
      <c r="O491" s="166">
        <v>469.36999999999603</v>
      </c>
      <c r="P491" s="169" t="e">
        <f t="shared" si="32"/>
        <v>#NAME?</v>
      </c>
      <c r="Q491" s="177">
        <v>469.36999999999603</v>
      </c>
      <c r="R491" s="166">
        <v>469.87999999999602</v>
      </c>
      <c r="S491" s="166">
        <v>9.9644000000014739</v>
      </c>
      <c r="X491" s="166">
        <v>271.86999999999603</v>
      </c>
      <c r="Y491" s="169" t="e">
        <f t="shared" si="33"/>
        <v>#NAME?</v>
      </c>
      <c r="Z491" s="177">
        <v>271.86999999999603</v>
      </c>
    </row>
    <row r="492" spans="4:26">
      <c r="D492" s="166">
        <v>412.87999999999801</v>
      </c>
      <c r="E492" s="168" t="e">
        <f t="shared" si="31"/>
        <v>#NAME?</v>
      </c>
      <c r="F492" s="169">
        <v>412.87999999999801</v>
      </c>
      <c r="O492" s="166">
        <v>469.37999999999602</v>
      </c>
      <c r="P492" s="169" t="e">
        <f t="shared" si="32"/>
        <v>#NAME?</v>
      </c>
      <c r="Q492" s="177">
        <v>469.37999999999602</v>
      </c>
      <c r="R492" s="166">
        <v>469.88999999999601</v>
      </c>
      <c r="S492" s="166">
        <v>9.9607000000014772</v>
      </c>
      <c r="X492" s="166">
        <v>271.87999999999602</v>
      </c>
      <c r="Y492" s="169" t="e">
        <f t="shared" si="33"/>
        <v>#NAME?</v>
      </c>
      <c r="Z492" s="177">
        <v>271.87999999999602</v>
      </c>
    </row>
    <row r="493" spans="4:26">
      <c r="D493" s="166">
        <v>412.889999999998</v>
      </c>
      <c r="E493" s="168" t="e">
        <f t="shared" si="31"/>
        <v>#NAME?</v>
      </c>
      <c r="F493" s="169">
        <v>412.889999999998</v>
      </c>
      <c r="O493" s="166">
        <v>469.38999999999601</v>
      </c>
      <c r="P493" s="169" t="e">
        <f t="shared" si="32"/>
        <v>#NAME?</v>
      </c>
      <c r="Q493" s="177">
        <v>469.38999999999601</v>
      </c>
      <c r="R493" s="166">
        <v>469.899999999996</v>
      </c>
      <c r="S493" s="166">
        <v>9.9570000000014804</v>
      </c>
      <c r="X493" s="166">
        <v>271.88999999999601</v>
      </c>
      <c r="Y493" s="169" t="e">
        <f t="shared" si="33"/>
        <v>#NAME?</v>
      </c>
      <c r="Z493" s="177">
        <v>271.88999999999601</v>
      </c>
    </row>
    <row r="494" spans="4:26">
      <c r="D494" s="166">
        <v>412.89999999999799</v>
      </c>
      <c r="E494" s="168" t="e">
        <f t="shared" si="31"/>
        <v>#NAME?</v>
      </c>
      <c r="F494" s="169">
        <v>412.89999999999799</v>
      </c>
      <c r="O494" s="166">
        <v>469.399999999996</v>
      </c>
      <c r="P494" s="169" t="e">
        <f t="shared" si="32"/>
        <v>#NAME?</v>
      </c>
      <c r="Q494" s="177">
        <v>469.399999999996</v>
      </c>
      <c r="R494" s="166">
        <v>469.90999999999599</v>
      </c>
      <c r="S494" s="166">
        <v>9.9533000000014837</v>
      </c>
      <c r="X494" s="166">
        <v>271.899999999996</v>
      </c>
      <c r="Y494" s="169" t="e">
        <f t="shared" si="33"/>
        <v>#NAME?</v>
      </c>
      <c r="Z494" s="177">
        <v>271.899999999996</v>
      </c>
    </row>
    <row r="495" spans="4:26">
      <c r="D495" s="166">
        <v>412.90999999999798</v>
      </c>
      <c r="E495" s="168" t="e">
        <f t="shared" si="31"/>
        <v>#NAME?</v>
      </c>
      <c r="F495" s="169">
        <v>412.90999999999798</v>
      </c>
      <c r="O495" s="166">
        <v>469.40999999999599</v>
      </c>
      <c r="P495" s="169" t="e">
        <f t="shared" si="32"/>
        <v>#NAME?</v>
      </c>
      <c r="Q495" s="177">
        <v>469.40999999999599</v>
      </c>
      <c r="R495" s="166">
        <v>469.91999999999598</v>
      </c>
      <c r="S495" s="166">
        <v>9.949600000001487</v>
      </c>
      <c r="X495" s="166">
        <v>271.90999999999599</v>
      </c>
      <c r="Y495" s="169" t="e">
        <f t="shared" si="33"/>
        <v>#NAME?</v>
      </c>
      <c r="Z495" s="177">
        <v>271.90999999999599</v>
      </c>
    </row>
    <row r="496" spans="4:26">
      <c r="D496" s="166">
        <v>412.91999999999803</v>
      </c>
      <c r="E496" s="168" t="e">
        <f t="shared" si="31"/>
        <v>#NAME?</v>
      </c>
      <c r="F496" s="169">
        <v>412.91999999999803</v>
      </c>
      <c r="O496" s="166">
        <v>469.41999999999598</v>
      </c>
      <c r="P496" s="169" t="e">
        <f t="shared" si="32"/>
        <v>#NAME?</v>
      </c>
      <c r="Q496" s="177">
        <v>469.41999999999598</v>
      </c>
      <c r="R496" s="166">
        <v>469.92999999999603</v>
      </c>
      <c r="S496" s="166">
        <v>9.945900000001469</v>
      </c>
      <c r="X496" s="166">
        <v>271.91999999999598</v>
      </c>
      <c r="Y496" s="169" t="e">
        <f t="shared" si="33"/>
        <v>#NAME?</v>
      </c>
      <c r="Z496" s="177">
        <v>271.91999999999598</v>
      </c>
    </row>
    <row r="497" spans="4:26">
      <c r="D497" s="166">
        <v>412.92999999999802</v>
      </c>
      <c r="E497" s="168" t="e">
        <f t="shared" si="31"/>
        <v>#NAME?</v>
      </c>
      <c r="F497" s="169">
        <v>412.92999999999802</v>
      </c>
      <c r="O497" s="166">
        <v>469.42999999999603</v>
      </c>
      <c r="P497" s="169" t="e">
        <f t="shared" si="32"/>
        <v>#NAME?</v>
      </c>
      <c r="Q497" s="177">
        <v>469.42999999999603</v>
      </c>
      <c r="R497" s="166">
        <v>469.93999999999602</v>
      </c>
      <c r="S497" s="166">
        <v>9.9422000000014723</v>
      </c>
      <c r="X497" s="166">
        <v>271.92999999999603</v>
      </c>
      <c r="Y497" s="169" t="e">
        <f t="shared" si="33"/>
        <v>#NAME?</v>
      </c>
      <c r="Z497" s="177">
        <v>271.92999999999603</v>
      </c>
    </row>
    <row r="498" spans="4:26">
      <c r="D498" s="166">
        <v>412.93999999999801</v>
      </c>
      <c r="E498" s="168" t="e">
        <f t="shared" si="31"/>
        <v>#NAME?</v>
      </c>
      <c r="F498" s="169">
        <v>412.93999999999801</v>
      </c>
      <c r="O498" s="166">
        <v>469.43999999999602</v>
      </c>
      <c r="P498" s="169" t="e">
        <f t="shared" si="32"/>
        <v>#NAME?</v>
      </c>
      <c r="Q498" s="177">
        <v>469.43999999999602</v>
      </c>
      <c r="R498" s="166">
        <v>469.94999999999499</v>
      </c>
      <c r="S498" s="166">
        <v>9.9385000000018557</v>
      </c>
      <c r="X498" s="166">
        <v>271.93999999999602</v>
      </c>
      <c r="Y498" s="169" t="e">
        <f t="shared" si="33"/>
        <v>#NAME?</v>
      </c>
      <c r="Z498" s="177">
        <v>271.93999999999602</v>
      </c>
    </row>
    <row r="499" spans="4:26">
      <c r="D499" s="166">
        <v>412.949999999998</v>
      </c>
      <c r="E499" s="168" t="e">
        <f t="shared" si="31"/>
        <v>#NAME?</v>
      </c>
      <c r="F499" s="169">
        <v>412.949999999998</v>
      </c>
      <c r="O499" s="166">
        <v>469.44999999999499</v>
      </c>
      <c r="P499" s="169" t="e">
        <f t="shared" si="32"/>
        <v>#NAME?</v>
      </c>
      <c r="Q499" s="177">
        <v>469.44999999999499</v>
      </c>
      <c r="R499" s="166">
        <v>469.95999999999498</v>
      </c>
      <c r="S499" s="166">
        <v>9.934800000001859</v>
      </c>
      <c r="X499" s="166">
        <v>271.94999999999499</v>
      </c>
      <c r="Y499" s="169" t="e">
        <f t="shared" si="33"/>
        <v>#NAME?</v>
      </c>
      <c r="Z499" s="177">
        <v>271.94999999999499</v>
      </c>
    </row>
    <row r="500" spans="4:26">
      <c r="D500" s="166">
        <v>412.95999999999799</v>
      </c>
      <c r="E500" s="168" t="e">
        <f t="shared" si="31"/>
        <v>#NAME?</v>
      </c>
      <c r="F500" s="169">
        <v>412.95999999999799</v>
      </c>
      <c r="O500" s="166">
        <v>469.45999999999498</v>
      </c>
      <c r="P500" s="169" t="e">
        <f t="shared" si="32"/>
        <v>#NAME?</v>
      </c>
      <c r="Q500" s="177">
        <v>469.45999999999498</v>
      </c>
      <c r="R500" s="166">
        <v>469.96999999999503</v>
      </c>
      <c r="S500" s="166">
        <v>9.931100000001841</v>
      </c>
      <c r="X500" s="166">
        <v>271.95999999999498</v>
      </c>
      <c r="Y500" s="169" t="e">
        <f t="shared" si="33"/>
        <v>#NAME?</v>
      </c>
      <c r="Z500" s="177">
        <v>271.95999999999498</v>
      </c>
    </row>
    <row r="501" spans="4:26">
      <c r="D501" s="166">
        <v>412.96999999999798</v>
      </c>
      <c r="E501" s="168" t="e">
        <f t="shared" si="31"/>
        <v>#NAME?</v>
      </c>
      <c r="F501" s="169">
        <v>412.96999999999798</v>
      </c>
      <c r="O501" s="166">
        <v>469.46999999999503</v>
      </c>
      <c r="P501" s="169" t="e">
        <f t="shared" si="32"/>
        <v>#NAME?</v>
      </c>
      <c r="Q501" s="177">
        <v>469.46999999999503</v>
      </c>
      <c r="R501" s="166">
        <v>469.97999999999502</v>
      </c>
      <c r="S501" s="166">
        <v>9.9274000000018443</v>
      </c>
      <c r="X501" s="166">
        <v>271.96999999999503</v>
      </c>
      <c r="Y501" s="169" t="e">
        <f t="shared" si="33"/>
        <v>#NAME?</v>
      </c>
      <c r="Z501" s="177">
        <v>271.96999999999503</v>
      </c>
    </row>
    <row r="502" spans="4:26">
      <c r="D502" s="166">
        <v>412.97999999999797</v>
      </c>
      <c r="E502" s="168" t="e">
        <f t="shared" si="31"/>
        <v>#NAME?</v>
      </c>
      <c r="F502" s="169">
        <v>412.97999999999797</v>
      </c>
      <c r="O502" s="166">
        <v>469.47999999999502</v>
      </c>
      <c r="P502" s="169" t="e">
        <f t="shared" si="32"/>
        <v>#NAME?</v>
      </c>
      <c r="Q502" s="177">
        <v>469.47999999999502</v>
      </c>
      <c r="R502" s="166">
        <v>469.98999999999501</v>
      </c>
      <c r="S502" s="166">
        <v>9.9237000000018476</v>
      </c>
      <c r="X502" s="166">
        <v>271.97999999999502</v>
      </c>
      <c r="Y502" s="169" t="e">
        <f t="shared" si="33"/>
        <v>#NAME?</v>
      </c>
      <c r="Z502" s="177">
        <v>271.97999999999502</v>
      </c>
    </row>
    <row r="503" spans="4:26">
      <c r="D503" s="166">
        <v>412.98999999999802</v>
      </c>
      <c r="E503" s="168" t="e">
        <f t="shared" si="31"/>
        <v>#NAME?</v>
      </c>
      <c r="F503" s="169">
        <v>412.98999999999802</v>
      </c>
      <c r="O503" s="166">
        <v>469.48999999999501</v>
      </c>
      <c r="P503" s="169" t="e">
        <f t="shared" si="32"/>
        <v>#NAME?</v>
      </c>
      <c r="Q503" s="177">
        <v>469.48999999999501</v>
      </c>
      <c r="R503" s="166">
        <v>469.999999999995</v>
      </c>
      <c r="S503" s="166">
        <v>9.9200000000018509</v>
      </c>
      <c r="X503" s="166">
        <v>271.98999999999501</v>
      </c>
      <c r="Y503" s="169" t="e">
        <f t="shared" si="33"/>
        <v>#NAME?</v>
      </c>
      <c r="Z503" s="177">
        <v>271.98999999999501</v>
      </c>
    </row>
    <row r="504" spans="4:26">
      <c r="D504" s="166">
        <v>412.99999999999801</v>
      </c>
      <c r="E504" s="168" t="e">
        <f t="shared" si="31"/>
        <v>#NAME?</v>
      </c>
      <c r="F504" s="169">
        <v>412.99999999999801</v>
      </c>
      <c r="O504" s="166">
        <v>469.499999999995</v>
      </c>
      <c r="P504" s="169" t="e">
        <f t="shared" si="32"/>
        <v>#NAME?</v>
      </c>
      <c r="Q504" s="177">
        <v>469.499999999995</v>
      </c>
      <c r="R504" s="166">
        <v>470.00999999999499</v>
      </c>
      <c r="S504" s="166">
        <v>9.9176000000012028</v>
      </c>
      <c r="X504" s="166">
        <v>271.999999999995</v>
      </c>
      <c r="Y504" s="169" t="e">
        <f t="shared" si="33"/>
        <v>#NAME?</v>
      </c>
      <c r="Z504" s="177">
        <v>271.999999999995</v>
      </c>
    </row>
    <row r="505" spans="4:26">
      <c r="D505" s="166">
        <v>413.009999999998</v>
      </c>
      <c r="E505" s="168" t="e">
        <f t="shared" si="31"/>
        <v>#NAME?</v>
      </c>
      <c r="F505" s="169">
        <v>413.009999999998</v>
      </c>
      <c r="O505" s="166">
        <v>469.50999999999499</v>
      </c>
      <c r="P505" s="169" t="e">
        <f t="shared" si="32"/>
        <v>#NAME?</v>
      </c>
      <c r="Q505" s="177">
        <v>469.50999999999499</v>
      </c>
      <c r="R505" s="166">
        <v>470.01999999999498</v>
      </c>
      <c r="S505" s="166">
        <v>9.9152000000012048</v>
      </c>
      <c r="X505" s="166">
        <v>272.00999999999499</v>
      </c>
      <c r="Y505" s="169" t="e">
        <f t="shared" si="33"/>
        <v>#NAME?</v>
      </c>
      <c r="Z505" s="177">
        <v>272.00999999999499</v>
      </c>
    </row>
    <row r="506" spans="4:26">
      <c r="D506" s="166">
        <v>413.01999999999902</v>
      </c>
      <c r="E506" s="168" t="e">
        <f t="shared" si="31"/>
        <v>#NAME?</v>
      </c>
      <c r="F506" s="169">
        <v>413.01999999999902</v>
      </c>
      <c r="O506" s="166">
        <v>469.51999999999498</v>
      </c>
      <c r="P506" s="169" t="e">
        <f t="shared" si="32"/>
        <v>#NAME?</v>
      </c>
      <c r="Q506" s="177">
        <v>469.51999999999498</v>
      </c>
      <c r="R506" s="166">
        <v>470.02999999999503</v>
      </c>
      <c r="S506" s="166">
        <v>9.9128000000011927</v>
      </c>
      <c r="X506" s="166">
        <v>272.01999999999498</v>
      </c>
      <c r="Y506" s="169" t="e">
        <f t="shared" si="33"/>
        <v>#NAME?</v>
      </c>
      <c r="Z506" s="177">
        <v>272.01999999999498</v>
      </c>
    </row>
    <row r="507" spans="4:26">
      <c r="D507" s="166">
        <v>413.02999999999901</v>
      </c>
      <c r="E507" s="168" t="e">
        <f t="shared" si="31"/>
        <v>#NAME?</v>
      </c>
      <c r="F507" s="169">
        <v>413.02999999999901</v>
      </c>
      <c r="O507" s="166">
        <v>469.52999999999503</v>
      </c>
      <c r="P507" s="169" t="e">
        <f t="shared" si="32"/>
        <v>#NAME?</v>
      </c>
      <c r="Q507" s="177">
        <v>469.52999999999503</v>
      </c>
      <c r="R507" s="166">
        <v>470.03999999999502</v>
      </c>
      <c r="S507" s="166">
        <v>9.9104000000011947</v>
      </c>
      <c r="X507" s="166">
        <v>272.02999999999503</v>
      </c>
      <c r="Y507" s="169" t="e">
        <f t="shared" si="33"/>
        <v>#NAME?</v>
      </c>
      <c r="Z507" s="177">
        <v>272.02999999999503</v>
      </c>
    </row>
    <row r="508" spans="4:26">
      <c r="D508" s="166">
        <v>413.039999999999</v>
      </c>
      <c r="E508" s="168" t="e">
        <f t="shared" si="31"/>
        <v>#NAME?</v>
      </c>
      <c r="F508" s="169">
        <v>413.039999999999</v>
      </c>
      <c r="O508" s="166">
        <v>469.53999999999502</v>
      </c>
      <c r="P508" s="169" t="e">
        <f t="shared" si="32"/>
        <v>#NAME?</v>
      </c>
      <c r="Q508" s="177">
        <v>469.53999999999502</v>
      </c>
      <c r="R508" s="166">
        <v>470.04999999999501</v>
      </c>
      <c r="S508" s="166">
        <v>9.9080000000011985</v>
      </c>
      <c r="X508" s="166">
        <v>272.03999999999502</v>
      </c>
      <c r="Y508" s="169" t="e">
        <f t="shared" si="33"/>
        <v>#NAME?</v>
      </c>
      <c r="Z508" s="177">
        <v>272.03999999999502</v>
      </c>
    </row>
    <row r="509" spans="4:26">
      <c r="D509" s="166">
        <v>413.04999999999899</v>
      </c>
      <c r="E509" s="168" t="e">
        <f t="shared" si="31"/>
        <v>#NAME?</v>
      </c>
      <c r="F509" s="169">
        <v>413.04999999999899</v>
      </c>
      <c r="O509" s="166">
        <v>469.54999999999501</v>
      </c>
      <c r="P509" s="169" t="e">
        <f t="shared" si="32"/>
        <v>#NAME?</v>
      </c>
      <c r="Q509" s="177">
        <v>469.54999999999501</v>
      </c>
      <c r="R509" s="166">
        <v>470.059999999995</v>
      </c>
      <c r="S509" s="166">
        <v>9.9056000000012006</v>
      </c>
      <c r="X509" s="166">
        <v>272.04999999999501</v>
      </c>
      <c r="Y509" s="169" t="e">
        <f t="shared" si="33"/>
        <v>#NAME?</v>
      </c>
      <c r="Z509" s="177">
        <v>272.04999999999501</v>
      </c>
    </row>
    <row r="510" spans="4:26">
      <c r="D510" s="166">
        <v>413.05999999999898</v>
      </c>
      <c r="E510" s="168" t="e">
        <f t="shared" si="31"/>
        <v>#NAME?</v>
      </c>
      <c r="F510" s="169">
        <v>413.05999999999898</v>
      </c>
      <c r="O510" s="166">
        <v>469.559999999995</v>
      </c>
      <c r="P510" s="169" t="e">
        <f t="shared" si="32"/>
        <v>#NAME?</v>
      </c>
      <c r="Q510" s="177">
        <v>469.559999999995</v>
      </c>
      <c r="R510" s="166">
        <v>470.06999999999499</v>
      </c>
      <c r="S510" s="166">
        <v>9.9032000000012026</v>
      </c>
      <c r="X510" s="166">
        <v>272.059999999995</v>
      </c>
      <c r="Y510" s="169" t="e">
        <f t="shared" si="33"/>
        <v>#NAME?</v>
      </c>
      <c r="Z510" s="177">
        <v>272.059999999995</v>
      </c>
    </row>
    <row r="511" spans="4:26">
      <c r="D511" s="166">
        <v>413.06999999999903</v>
      </c>
      <c r="E511" s="168" t="e">
        <f t="shared" si="31"/>
        <v>#NAME?</v>
      </c>
      <c r="F511" s="169">
        <v>413.06999999999903</v>
      </c>
      <c r="O511" s="166">
        <v>469.56999999999499</v>
      </c>
      <c r="P511" s="169" t="e">
        <f t="shared" si="32"/>
        <v>#NAME?</v>
      </c>
      <c r="Q511" s="177">
        <v>469.56999999999499</v>
      </c>
      <c r="R511" s="166">
        <v>470.07999999999498</v>
      </c>
      <c r="S511" s="166">
        <v>9.9008000000012046</v>
      </c>
      <c r="X511" s="166">
        <v>272.06999999999499</v>
      </c>
      <c r="Y511" s="169" t="e">
        <f t="shared" si="33"/>
        <v>#NAME?</v>
      </c>
      <c r="Z511" s="177">
        <v>272.06999999999499</v>
      </c>
    </row>
    <row r="512" spans="4:26">
      <c r="D512" s="166">
        <v>413.07999999999902</v>
      </c>
      <c r="E512" s="168" t="e">
        <f t="shared" si="31"/>
        <v>#NAME?</v>
      </c>
      <c r="F512" s="169">
        <v>413.07999999999902</v>
      </c>
      <c r="O512" s="166">
        <v>469.57999999999498</v>
      </c>
      <c r="P512" s="169" t="e">
        <f t="shared" si="32"/>
        <v>#NAME?</v>
      </c>
      <c r="Q512" s="177">
        <v>469.57999999999498</v>
      </c>
      <c r="R512" s="166">
        <v>470.08999999999497</v>
      </c>
      <c r="S512" s="166">
        <v>9.8984000000012067</v>
      </c>
      <c r="X512" s="166">
        <v>272.07999999999498</v>
      </c>
      <c r="Y512" s="169" t="e">
        <f t="shared" si="33"/>
        <v>#NAME?</v>
      </c>
      <c r="Z512" s="177">
        <v>272.07999999999498</v>
      </c>
    </row>
    <row r="513" spans="4:26">
      <c r="D513" s="166">
        <v>413.08999999999901</v>
      </c>
      <c r="E513" s="168" t="e">
        <f t="shared" si="31"/>
        <v>#NAME?</v>
      </c>
      <c r="F513" s="169">
        <v>413.08999999999901</v>
      </c>
      <c r="O513" s="166">
        <v>469.58999999999497</v>
      </c>
      <c r="P513" s="169" t="e">
        <f t="shared" si="32"/>
        <v>#NAME?</v>
      </c>
      <c r="Q513" s="177">
        <v>469.58999999999497</v>
      </c>
      <c r="R513" s="166">
        <v>470.09999999999502</v>
      </c>
      <c r="S513" s="166">
        <v>9.8960000000011945</v>
      </c>
      <c r="X513" s="166">
        <v>272.08999999999497</v>
      </c>
      <c r="Y513" s="169" t="e">
        <f t="shared" si="33"/>
        <v>#NAME?</v>
      </c>
      <c r="Z513" s="177">
        <v>272.08999999999497</v>
      </c>
    </row>
    <row r="514" spans="4:26">
      <c r="D514" s="166">
        <v>413.099999999999</v>
      </c>
      <c r="E514" s="168" t="e">
        <f t="shared" si="31"/>
        <v>#NAME?</v>
      </c>
      <c r="F514" s="169">
        <v>413.099999999999</v>
      </c>
      <c r="O514" s="166">
        <v>469.59999999999502</v>
      </c>
      <c r="P514" s="169" t="e">
        <f t="shared" si="32"/>
        <v>#NAME?</v>
      </c>
      <c r="Q514" s="177">
        <v>469.59999999999502</v>
      </c>
      <c r="R514" s="166">
        <v>470.10999999999501</v>
      </c>
      <c r="S514" s="166">
        <v>9.8936000000011965</v>
      </c>
      <c r="X514" s="166">
        <v>272.09999999999502</v>
      </c>
      <c r="Y514" s="169" t="e">
        <f t="shared" si="33"/>
        <v>#NAME?</v>
      </c>
      <c r="Z514" s="177">
        <v>272.09999999999502</v>
      </c>
    </row>
    <row r="515" spans="4:26">
      <c r="D515" s="166">
        <v>413.10999999999899</v>
      </c>
      <c r="E515" s="168" t="e">
        <f t="shared" si="31"/>
        <v>#NAME?</v>
      </c>
      <c r="F515" s="169">
        <v>413.10999999999899</v>
      </c>
      <c r="O515" s="166">
        <v>469.60999999999501</v>
      </c>
      <c r="P515" s="169" t="e">
        <f t="shared" si="32"/>
        <v>#NAME?</v>
      </c>
      <c r="Q515" s="177">
        <v>469.60999999999501</v>
      </c>
      <c r="R515" s="166">
        <v>470.119999999995</v>
      </c>
      <c r="S515" s="166">
        <v>9.8912000000011986</v>
      </c>
      <c r="X515" s="166">
        <v>272.10999999999501</v>
      </c>
      <c r="Y515" s="169" t="e">
        <f t="shared" si="33"/>
        <v>#NAME?</v>
      </c>
      <c r="Z515" s="177">
        <v>272.10999999999501</v>
      </c>
    </row>
    <row r="516" spans="4:26">
      <c r="D516" s="166">
        <v>413.11999999999898</v>
      </c>
      <c r="E516" s="168" t="e">
        <f t="shared" ref="E516:E579" si="34">VLOOKUP(D516,THONGSOHO_BK,2,1)+(VLOOKUP(D516+1,THONGSOHO_BK,2,1)-VLOOKUP(D516,THONGSOHO_BK,2,1))/1*(D516-VLOOKUP(D516,THONGSOHO_BK,1,1))-48.55</f>
        <v>#NAME?</v>
      </c>
      <c r="F516" s="169">
        <v>413.11999999999898</v>
      </c>
      <c r="O516" s="166">
        <v>469.619999999995</v>
      </c>
      <c r="P516" s="169" t="e">
        <f t="shared" ref="P516:P579" si="35">VLOOKUP(O516,THONGSOHO_BTS,2,1)+(VLOOKUP(O516+5,THONGSOHO_BTS,2,1)-VLOOKUP(O516,THONGSOHO_BTS,2,1))/5*(O516-VLOOKUP(O516,THONGSOHO_BTS,1,1))-264.29</f>
        <v>#NAME?</v>
      </c>
      <c r="Q516" s="177">
        <v>469.619999999995</v>
      </c>
      <c r="R516" s="166">
        <v>470.12999999999499</v>
      </c>
      <c r="S516" s="166">
        <v>9.8888000000012024</v>
      </c>
      <c r="X516" s="166">
        <v>272.119999999995</v>
      </c>
      <c r="Y516" s="169" t="e">
        <f t="shared" ref="Y516:Y579" si="36">VLOOKUP(X516,THONGSOHO_SP3,2,1)+(VLOOKUP(X516+2,THONGSOHO_SP3,2,1)-VLOOKUP(X516,THONGSOHO_SP3,2,1))/2*(X516-VLOOKUP(X516,THONGSOHO_SP3,1,1))-156.13</f>
        <v>#NAME?</v>
      </c>
      <c r="Z516" s="177">
        <v>272.119999999995</v>
      </c>
    </row>
    <row r="517" spans="4:26">
      <c r="D517" s="166">
        <v>413.12999999999897</v>
      </c>
      <c r="E517" s="168" t="e">
        <f t="shared" si="34"/>
        <v>#NAME?</v>
      </c>
      <c r="F517" s="169">
        <v>413.12999999999897</v>
      </c>
      <c r="O517" s="166">
        <v>469.62999999999499</v>
      </c>
      <c r="P517" s="169" t="e">
        <f t="shared" si="35"/>
        <v>#NAME?</v>
      </c>
      <c r="Q517" s="177">
        <v>469.62999999999499</v>
      </c>
      <c r="R517" s="166">
        <v>470.13999999999498</v>
      </c>
      <c r="S517" s="166">
        <v>9.8864000000012044</v>
      </c>
      <c r="X517" s="166">
        <v>272.12999999999499</v>
      </c>
      <c r="Y517" s="169" t="e">
        <f t="shared" si="36"/>
        <v>#NAME?</v>
      </c>
      <c r="Z517" s="177">
        <v>272.12999999999499</v>
      </c>
    </row>
    <row r="518" spans="4:26">
      <c r="D518" s="166">
        <v>413.13999999999902</v>
      </c>
      <c r="E518" s="168" t="e">
        <f t="shared" si="34"/>
        <v>#NAME?</v>
      </c>
      <c r="F518" s="169">
        <v>413.13999999999902</v>
      </c>
      <c r="O518" s="166">
        <v>469.63999999999498</v>
      </c>
      <c r="P518" s="169" t="e">
        <f t="shared" si="35"/>
        <v>#NAME?</v>
      </c>
      <c r="Q518" s="177">
        <v>469.63999999999498</v>
      </c>
      <c r="R518" s="166">
        <v>470.14999999999498</v>
      </c>
      <c r="S518" s="166">
        <v>9.8840000000012065</v>
      </c>
      <c r="X518" s="166">
        <v>272.13999999999498</v>
      </c>
      <c r="Y518" s="169" t="e">
        <f t="shared" si="36"/>
        <v>#NAME?</v>
      </c>
      <c r="Z518" s="177">
        <v>272.13999999999498</v>
      </c>
    </row>
    <row r="519" spans="4:26">
      <c r="D519" s="166">
        <v>413.14999999999901</v>
      </c>
      <c r="E519" s="168" t="e">
        <f t="shared" si="34"/>
        <v>#NAME?</v>
      </c>
      <c r="F519" s="169">
        <v>413.14999999999901</v>
      </c>
      <c r="O519" s="166">
        <v>469.64999999999498</v>
      </c>
      <c r="P519" s="169" t="e">
        <f t="shared" si="35"/>
        <v>#NAME?</v>
      </c>
      <c r="Q519" s="177">
        <v>469.64999999999498</v>
      </c>
      <c r="R519" s="166">
        <v>470.15999999999502</v>
      </c>
      <c r="S519" s="166">
        <v>9.8816000000011943</v>
      </c>
      <c r="X519" s="166">
        <v>272.14999999999498</v>
      </c>
      <c r="Y519" s="169" t="e">
        <f t="shared" si="36"/>
        <v>#NAME?</v>
      </c>
      <c r="Z519" s="177">
        <v>272.14999999999498</v>
      </c>
    </row>
    <row r="520" spans="4:26">
      <c r="D520" s="166">
        <v>413.159999999999</v>
      </c>
      <c r="E520" s="168" t="e">
        <f t="shared" si="34"/>
        <v>#NAME?</v>
      </c>
      <c r="F520" s="169">
        <v>413.159999999999</v>
      </c>
      <c r="O520" s="166">
        <v>469.65999999999502</v>
      </c>
      <c r="P520" s="169" t="e">
        <f t="shared" si="35"/>
        <v>#NAME?</v>
      </c>
      <c r="Q520" s="177">
        <v>469.65999999999502</v>
      </c>
      <c r="R520" s="166">
        <v>470.16999999999501</v>
      </c>
      <c r="S520" s="166">
        <v>9.8792000000011964</v>
      </c>
      <c r="X520" s="166">
        <v>272.15999999999502</v>
      </c>
      <c r="Y520" s="169" t="e">
        <f t="shared" si="36"/>
        <v>#NAME?</v>
      </c>
      <c r="Z520" s="177">
        <v>272.15999999999502</v>
      </c>
    </row>
    <row r="521" spans="4:26">
      <c r="D521" s="166">
        <v>413.16999999999899</v>
      </c>
      <c r="E521" s="168" t="e">
        <f t="shared" si="34"/>
        <v>#NAME?</v>
      </c>
      <c r="F521" s="169">
        <v>413.16999999999899</v>
      </c>
      <c r="O521" s="166">
        <v>469.66999999999501</v>
      </c>
      <c r="P521" s="169" t="e">
        <f t="shared" si="35"/>
        <v>#NAME?</v>
      </c>
      <c r="Q521" s="177">
        <v>469.66999999999501</v>
      </c>
      <c r="R521" s="166">
        <v>470.179999999995</v>
      </c>
      <c r="S521" s="166">
        <v>9.8768000000011984</v>
      </c>
      <c r="X521" s="166">
        <v>272.16999999999501</v>
      </c>
      <c r="Y521" s="169" t="e">
        <f t="shared" si="36"/>
        <v>#NAME?</v>
      </c>
      <c r="Z521" s="177">
        <v>272.16999999999501</v>
      </c>
    </row>
    <row r="522" spans="4:26">
      <c r="D522" s="166">
        <v>413.17999999999898</v>
      </c>
      <c r="E522" s="168" t="e">
        <f t="shared" si="34"/>
        <v>#NAME?</v>
      </c>
      <c r="F522" s="169">
        <v>413.17999999999898</v>
      </c>
      <c r="O522" s="166">
        <v>469.679999999995</v>
      </c>
      <c r="P522" s="169" t="e">
        <f t="shared" si="35"/>
        <v>#NAME?</v>
      </c>
      <c r="Q522" s="177">
        <v>469.679999999995</v>
      </c>
      <c r="R522" s="166">
        <v>470.189999999995</v>
      </c>
      <c r="S522" s="166">
        <v>9.8744000000012004</v>
      </c>
      <c r="X522" s="166">
        <v>272.179999999995</v>
      </c>
      <c r="Y522" s="169" t="e">
        <f t="shared" si="36"/>
        <v>#NAME?</v>
      </c>
      <c r="Z522" s="177">
        <v>272.179999999995</v>
      </c>
    </row>
    <row r="523" spans="4:26">
      <c r="D523" s="166">
        <v>413.18999999999897</v>
      </c>
      <c r="E523" s="168" t="e">
        <f t="shared" si="34"/>
        <v>#NAME?</v>
      </c>
      <c r="F523" s="169">
        <v>413.18999999999897</v>
      </c>
      <c r="O523" s="166">
        <v>469.689999999995</v>
      </c>
      <c r="P523" s="169" t="e">
        <f t="shared" si="35"/>
        <v>#NAME?</v>
      </c>
      <c r="Q523" s="177">
        <v>469.689999999995</v>
      </c>
      <c r="R523" s="166">
        <v>470.19999999999499</v>
      </c>
      <c r="S523" s="166">
        <v>9.8720000000012025</v>
      </c>
      <c r="X523" s="166">
        <v>272.189999999995</v>
      </c>
      <c r="Y523" s="169" t="e">
        <f t="shared" si="36"/>
        <v>#NAME?</v>
      </c>
      <c r="Z523" s="177">
        <v>272.189999999995</v>
      </c>
    </row>
    <row r="524" spans="4:26">
      <c r="D524" s="166">
        <v>413.19999999999902</v>
      </c>
      <c r="E524" s="168" t="e">
        <f t="shared" si="34"/>
        <v>#NAME?</v>
      </c>
      <c r="F524" s="169">
        <v>413.19999999999902</v>
      </c>
      <c r="O524" s="166">
        <v>469.69999999999499</v>
      </c>
      <c r="P524" s="169" t="e">
        <f t="shared" si="35"/>
        <v>#NAME?</v>
      </c>
      <c r="Q524" s="177">
        <v>469.69999999999499</v>
      </c>
      <c r="R524" s="166">
        <v>470.20999999999498</v>
      </c>
      <c r="S524" s="166">
        <v>9.8696000000012045</v>
      </c>
      <c r="X524" s="166">
        <v>272.19999999999499</v>
      </c>
      <c r="Y524" s="169" t="e">
        <f t="shared" si="36"/>
        <v>#NAME?</v>
      </c>
      <c r="Z524" s="177">
        <v>272.19999999999499</v>
      </c>
    </row>
    <row r="525" spans="4:26">
      <c r="D525" s="166">
        <v>413.20999999999901</v>
      </c>
      <c r="E525" s="168" t="e">
        <f t="shared" si="34"/>
        <v>#NAME?</v>
      </c>
      <c r="F525" s="169">
        <v>413.20999999999901</v>
      </c>
      <c r="O525" s="166">
        <v>469.70999999999498</v>
      </c>
      <c r="P525" s="169" t="e">
        <f t="shared" si="35"/>
        <v>#NAME?</v>
      </c>
      <c r="Q525" s="177">
        <v>469.70999999999498</v>
      </c>
      <c r="R525" s="166">
        <v>470.21999999999503</v>
      </c>
      <c r="S525" s="166">
        <v>9.8672000000011941</v>
      </c>
      <c r="X525" s="166">
        <v>272.20999999999498</v>
      </c>
      <c r="Y525" s="169" t="e">
        <f t="shared" si="36"/>
        <v>#NAME?</v>
      </c>
      <c r="Z525" s="177">
        <v>272.20999999999498</v>
      </c>
    </row>
    <row r="526" spans="4:26">
      <c r="D526" s="166">
        <v>413.219999999999</v>
      </c>
      <c r="E526" s="168" t="e">
        <f t="shared" si="34"/>
        <v>#NAME?</v>
      </c>
      <c r="F526" s="169">
        <v>413.219999999999</v>
      </c>
      <c r="O526" s="166">
        <v>469.71999999999503</v>
      </c>
      <c r="P526" s="169" t="e">
        <f t="shared" si="35"/>
        <v>#NAME?</v>
      </c>
      <c r="Q526" s="177">
        <v>469.71999999999503</v>
      </c>
      <c r="R526" s="166">
        <v>470.22999999999502</v>
      </c>
      <c r="S526" s="166">
        <v>9.8648000000011962</v>
      </c>
      <c r="X526" s="166">
        <v>272.21999999999503</v>
      </c>
      <c r="Y526" s="169" t="e">
        <f t="shared" si="36"/>
        <v>#NAME?</v>
      </c>
      <c r="Z526" s="177">
        <v>272.21999999999503</v>
      </c>
    </row>
    <row r="527" spans="4:26">
      <c r="D527" s="166">
        <v>413.23</v>
      </c>
      <c r="E527" s="168" t="e">
        <f t="shared" si="34"/>
        <v>#NAME?</v>
      </c>
      <c r="F527" s="169">
        <v>413.23</v>
      </c>
      <c r="O527" s="166">
        <v>469.72999999999502</v>
      </c>
      <c r="P527" s="169" t="e">
        <f t="shared" si="35"/>
        <v>#NAME?</v>
      </c>
      <c r="Q527" s="177">
        <v>469.72999999999502</v>
      </c>
      <c r="R527" s="166">
        <v>470.23999999999501</v>
      </c>
      <c r="S527" s="166">
        <v>9.8624000000011982</v>
      </c>
      <c r="X527" s="166">
        <v>272.22999999999502</v>
      </c>
      <c r="Y527" s="169" t="e">
        <f t="shared" si="36"/>
        <v>#NAME?</v>
      </c>
      <c r="Z527" s="177">
        <v>272.22999999999502</v>
      </c>
    </row>
    <row r="528" spans="4:26">
      <c r="D528" s="166">
        <v>413.24</v>
      </c>
      <c r="E528" s="168" t="e">
        <f t="shared" si="34"/>
        <v>#NAME?</v>
      </c>
      <c r="F528" s="169">
        <v>413.24</v>
      </c>
      <c r="O528" s="166">
        <v>469.73999999999501</v>
      </c>
      <c r="P528" s="169" t="e">
        <f t="shared" si="35"/>
        <v>#NAME?</v>
      </c>
      <c r="Q528" s="177">
        <v>469.73999999999501</v>
      </c>
      <c r="R528" s="166">
        <v>470.249999999995</v>
      </c>
      <c r="S528" s="166">
        <v>9.8600000000012002</v>
      </c>
      <c r="X528" s="166">
        <v>272.23999999999501</v>
      </c>
      <c r="Y528" s="169" t="e">
        <f t="shared" si="36"/>
        <v>#NAME?</v>
      </c>
      <c r="Z528" s="177">
        <v>272.23999999999501</v>
      </c>
    </row>
    <row r="529" spans="4:26">
      <c r="D529" s="166">
        <v>413.25</v>
      </c>
      <c r="E529" s="168" t="e">
        <f t="shared" si="34"/>
        <v>#NAME?</v>
      </c>
      <c r="F529" s="169">
        <v>413.25</v>
      </c>
      <c r="O529" s="166">
        <v>469.749999999995</v>
      </c>
      <c r="P529" s="169" t="e">
        <f t="shared" si="35"/>
        <v>#NAME?</v>
      </c>
      <c r="Q529" s="177">
        <v>469.749999999995</v>
      </c>
      <c r="R529" s="166">
        <v>470.25999999999499</v>
      </c>
      <c r="S529" s="166">
        <v>9.8576000000012023</v>
      </c>
      <c r="X529" s="166">
        <v>272.249999999995</v>
      </c>
      <c r="Y529" s="169" t="e">
        <f t="shared" si="36"/>
        <v>#NAME?</v>
      </c>
      <c r="Z529" s="177">
        <v>272.249999999995</v>
      </c>
    </row>
    <row r="530" spans="4:26">
      <c r="D530" s="166">
        <v>413.26</v>
      </c>
      <c r="E530" s="168" t="e">
        <f t="shared" si="34"/>
        <v>#NAME?</v>
      </c>
      <c r="F530" s="169">
        <v>413.26</v>
      </c>
      <c r="O530" s="166">
        <v>469.75999999999499</v>
      </c>
      <c r="P530" s="169" t="e">
        <f t="shared" si="35"/>
        <v>#NAME?</v>
      </c>
      <c r="Q530" s="177">
        <v>469.75999999999499</v>
      </c>
      <c r="R530" s="166">
        <v>470.26999999999498</v>
      </c>
      <c r="S530" s="166">
        <v>9.8552000000012043</v>
      </c>
      <c r="X530" s="166">
        <v>272.25999999999499</v>
      </c>
      <c r="Y530" s="169" t="e">
        <f t="shared" si="36"/>
        <v>#NAME?</v>
      </c>
      <c r="Z530" s="177">
        <v>272.25999999999499</v>
      </c>
    </row>
    <row r="531" spans="4:26">
      <c r="D531" s="166">
        <v>413.27</v>
      </c>
      <c r="E531" s="168" t="e">
        <f t="shared" si="34"/>
        <v>#NAME?</v>
      </c>
      <c r="F531" s="169">
        <v>413.27</v>
      </c>
      <c r="O531" s="166">
        <v>469.76999999999498</v>
      </c>
      <c r="P531" s="169" t="e">
        <f t="shared" si="35"/>
        <v>#NAME?</v>
      </c>
      <c r="Q531" s="177">
        <v>469.76999999999498</v>
      </c>
      <c r="R531" s="166">
        <v>470.27999999999503</v>
      </c>
      <c r="S531" s="166">
        <v>9.8528000000011939</v>
      </c>
      <c r="X531" s="166">
        <v>272.26999999999498</v>
      </c>
      <c r="Y531" s="169" t="e">
        <f t="shared" si="36"/>
        <v>#NAME?</v>
      </c>
      <c r="Z531" s="177">
        <v>272.26999999999498</v>
      </c>
    </row>
    <row r="532" spans="4:26">
      <c r="D532" s="166">
        <v>413.28</v>
      </c>
      <c r="E532" s="168" t="e">
        <f t="shared" si="34"/>
        <v>#NAME?</v>
      </c>
      <c r="F532" s="169">
        <v>413.28</v>
      </c>
      <c r="O532" s="166">
        <v>469.77999999999503</v>
      </c>
      <c r="P532" s="169" t="e">
        <f t="shared" si="35"/>
        <v>#NAME?</v>
      </c>
      <c r="Q532" s="177">
        <v>469.77999999999503</v>
      </c>
      <c r="R532" s="166">
        <v>470.28999999999502</v>
      </c>
      <c r="S532" s="166">
        <v>9.850400000001196</v>
      </c>
      <c r="X532" s="166">
        <v>272.27999999999503</v>
      </c>
      <c r="Y532" s="169" t="e">
        <f t="shared" si="36"/>
        <v>#NAME?</v>
      </c>
      <c r="Z532" s="177">
        <v>272.27999999999503</v>
      </c>
    </row>
    <row r="533" spans="4:26">
      <c r="D533" s="166">
        <v>413.29</v>
      </c>
      <c r="E533" s="168" t="e">
        <f t="shared" si="34"/>
        <v>#NAME?</v>
      </c>
      <c r="F533" s="169">
        <v>413.29</v>
      </c>
      <c r="O533" s="166">
        <v>469.78999999999502</v>
      </c>
      <c r="P533" s="169" t="e">
        <f t="shared" si="35"/>
        <v>#NAME?</v>
      </c>
      <c r="Q533" s="177">
        <v>469.78999999999502</v>
      </c>
      <c r="R533" s="166">
        <v>470.29999999999501</v>
      </c>
      <c r="S533" s="166">
        <v>9.848000000001198</v>
      </c>
      <c r="X533" s="166">
        <v>272.28999999999502</v>
      </c>
      <c r="Y533" s="169" t="e">
        <f t="shared" si="36"/>
        <v>#NAME?</v>
      </c>
      <c r="Z533" s="177">
        <v>272.28999999999502</v>
      </c>
    </row>
    <row r="534" spans="4:26">
      <c r="D534" s="166">
        <v>413.3</v>
      </c>
      <c r="E534" s="168" t="e">
        <f t="shared" si="34"/>
        <v>#NAME?</v>
      </c>
      <c r="F534" s="169">
        <v>413.3</v>
      </c>
      <c r="O534" s="166">
        <v>469.79999999999501</v>
      </c>
      <c r="P534" s="169" t="e">
        <f t="shared" si="35"/>
        <v>#NAME?</v>
      </c>
      <c r="Q534" s="177">
        <v>469.79999999999501</v>
      </c>
      <c r="R534" s="166">
        <v>470.309999999995</v>
      </c>
      <c r="S534" s="166">
        <v>9.8456000000012001</v>
      </c>
      <c r="X534" s="166">
        <v>272.29999999999501</v>
      </c>
      <c r="Y534" s="169" t="e">
        <f t="shared" si="36"/>
        <v>#NAME?</v>
      </c>
      <c r="Z534" s="177">
        <v>272.29999999999501</v>
      </c>
    </row>
    <row r="535" spans="4:26">
      <c r="D535" s="166">
        <v>413.31</v>
      </c>
      <c r="E535" s="168" t="e">
        <f t="shared" si="34"/>
        <v>#NAME?</v>
      </c>
      <c r="F535" s="169">
        <v>413.31</v>
      </c>
      <c r="O535" s="166">
        <v>469.809999999995</v>
      </c>
      <c r="P535" s="169" t="e">
        <f t="shared" si="35"/>
        <v>#NAME?</v>
      </c>
      <c r="Q535" s="177">
        <v>469.809999999995</v>
      </c>
      <c r="R535" s="166">
        <v>470.31999999999499</v>
      </c>
      <c r="S535" s="166">
        <v>9.8432000000012021</v>
      </c>
      <c r="X535" s="166">
        <v>272.309999999995</v>
      </c>
      <c r="Y535" s="169" t="e">
        <f t="shared" si="36"/>
        <v>#NAME?</v>
      </c>
      <c r="Z535" s="177">
        <v>272.309999999995</v>
      </c>
    </row>
    <row r="536" spans="4:26">
      <c r="D536" s="166">
        <v>413.32</v>
      </c>
      <c r="E536" s="168" t="e">
        <f t="shared" si="34"/>
        <v>#NAME?</v>
      </c>
      <c r="F536" s="169">
        <v>413.32</v>
      </c>
      <c r="O536" s="166">
        <v>469.81999999999499</v>
      </c>
      <c r="P536" s="169" t="e">
        <f t="shared" si="35"/>
        <v>#NAME?</v>
      </c>
      <c r="Q536" s="177">
        <v>469.81999999999499</v>
      </c>
      <c r="R536" s="166">
        <v>470.32999999999498</v>
      </c>
      <c r="S536" s="166">
        <v>9.8408000000012041</v>
      </c>
      <c r="X536" s="166">
        <v>272.31999999999499</v>
      </c>
      <c r="Y536" s="169" t="e">
        <f t="shared" si="36"/>
        <v>#NAME?</v>
      </c>
      <c r="Z536" s="177">
        <v>272.31999999999499</v>
      </c>
    </row>
    <row r="537" spans="4:26">
      <c r="D537" s="166">
        <v>413.33</v>
      </c>
      <c r="E537" s="168" t="e">
        <f t="shared" si="34"/>
        <v>#NAME?</v>
      </c>
      <c r="F537" s="169">
        <v>413.33</v>
      </c>
      <c r="O537" s="166">
        <v>469.82999999999498</v>
      </c>
      <c r="P537" s="169" t="e">
        <f t="shared" si="35"/>
        <v>#NAME?</v>
      </c>
      <c r="Q537" s="177">
        <v>469.82999999999498</v>
      </c>
      <c r="R537" s="166">
        <v>470.33999999999497</v>
      </c>
      <c r="S537" s="166">
        <v>9.8384000000012062</v>
      </c>
      <c r="X537" s="166">
        <v>272.32999999999498</v>
      </c>
      <c r="Y537" s="169" t="e">
        <f t="shared" si="36"/>
        <v>#NAME?</v>
      </c>
      <c r="Z537" s="177">
        <v>272.32999999999498</v>
      </c>
    </row>
    <row r="538" spans="4:26">
      <c r="D538" s="166">
        <v>413.34</v>
      </c>
      <c r="E538" s="168" t="e">
        <f t="shared" si="34"/>
        <v>#NAME?</v>
      </c>
      <c r="F538" s="169">
        <v>413.34</v>
      </c>
      <c r="O538" s="166">
        <v>469.83999999999497</v>
      </c>
      <c r="P538" s="169" t="e">
        <f t="shared" si="35"/>
        <v>#NAME?</v>
      </c>
      <c r="Q538" s="177">
        <v>469.83999999999497</v>
      </c>
      <c r="R538" s="166">
        <v>470.34999999999502</v>
      </c>
      <c r="S538" s="166">
        <v>9.8360000000011958</v>
      </c>
      <c r="X538" s="166">
        <v>272.33999999999497</v>
      </c>
      <c r="Y538" s="169" t="e">
        <f t="shared" si="36"/>
        <v>#NAME?</v>
      </c>
      <c r="Z538" s="177">
        <v>272.33999999999497</v>
      </c>
    </row>
    <row r="539" spans="4:26">
      <c r="D539" s="166">
        <v>413.35</v>
      </c>
      <c r="E539" s="168" t="e">
        <f t="shared" si="34"/>
        <v>#NAME?</v>
      </c>
      <c r="F539" s="169">
        <v>413.35</v>
      </c>
      <c r="O539" s="166">
        <v>469.84999999999502</v>
      </c>
      <c r="P539" s="169" t="e">
        <f t="shared" si="35"/>
        <v>#NAME?</v>
      </c>
      <c r="Q539" s="177">
        <v>469.84999999999502</v>
      </c>
      <c r="R539" s="166">
        <v>470.35999999999501</v>
      </c>
      <c r="S539" s="166">
        <v>9.8336000000011978</v>
      </c>
      <c r="X539" s="166">
        <v>272.34999999999502</v>
      </c>
      <c r="Y539" s="169" t="e">
        <f t="shared" si="36"/>
        <v>#NAME?</v>
      </c>
      <c r="Z539" s="177">
        <v>272.34999999999502</v>
      </c>
    </row>
    <row r="540" spans="4:26">
      <c r="D540" s="166">
        <v>413.36</v>
      </c>
      <c r="E540" s="168" t="e">
        <f t="shared" si="34"/>
        <v>#NAME?</v>
      </c>
      <c r="F540" s="169">
        <v>413.36</v>
      </c>
      <c r="O540" s="166">
        <v>469.85999999999501</v>
      </c>
      <c r="P540" s="169" t="e">
        <f t="shared" si="35"/>
        <v>#NAME?</v>
      </c>
      <c r="Q540" s="177">
        <v>469.85999999999501</v>
      </c>
      <c r="R540" s="166">
        <v>470.369999999995</v>
      </c>
      <c r="S540" s="166">
        <v>9.8312000000011999</v>
      </c>
      <c r="X540" s="166">
        <v>272.35999999999501</v>
      </c>
      <c r="Y540" s="169" t="e">
        <f t="shared" si="36"/>
        <v>#NAME?</v>
      </c>
      <c r="Z540" s="177">
        <v>272.35999999999501</v>
      </c>
    </row>
    <row r="541" spans="4:26">
      <c r="D541" s="166">
        <v>413.37</v>
      </c>
      <c r="E541" s="168" t="e">
        <f t="shared" si="34"/>
        <v>#NAME?</v>
      </c>
      <c r="F541" s="169">
        <v>413.37</v>
      </c>
      <c r="O541" s="166">
        <v>469.869999999995</v>
      </c>
      <c r="P541" s="169" t="e">
        <f t="shared" si="35"/>
        <v>#NAME?</v>
      </c>
      <c r="Q541" s="177">
        <v>469.869999999995</v>
      </c>
      <c r="R541" s="166">
        <v>470.37999999999499</v>
      </c>
      <c r="S541" s="166">
        <v>9.8288000000012019</v>
      </c>
      <c r="X541" s="166">
        <v>272.369999999995</v>
      </c>
      <c r="Y541" s="169" t="e">
        <f t="shared" si="36"/>
        <v>#NAME?</v>
      </c>
      <c r="Z541" s="177">
        <v>272.369999999995</v>
      </c>
    </row>
    <row r="542" spans="4:26">
      <c r="D542" s="166">
        <v>413.38</v>
      </c>
      <c r="E542" s="168" t="e">
        <f t="shared" si="34"/>
        <v>#NAME?</v>
      </c>
      <c r="F542" s="169">
        <v>413.38</v>
      </c>
      <c r="O542" s="166">
        <v>469.87999999999499</v>
      </c>
      <c r="P542" s="169" t="e">
        <f t="shared" si="35"/>
        <v>#NAME?</v>
      </c>
      <c r="Q542" s="177">
        <v>469.87999999999499</v>
      </c>
      <c r="R542" s="166">
        <v>470.38999999999498</v>
      </c>
      <c r="S542" s="166">
        <v>9.8264000000012039</v>
      </c>
      <c r="X542" s="166">
        <v>272.37999999999499</v>
      </c>
      <c r="Y542" s="169" t="e">
        <f t="shared" si="36"/>
        <v>#NAME?</v>
      </c>
      <c r="Z542" s="177">
        <v>272.37999999999499</v>
      </c>
    </row>
    <row r="543" spans="4:26">
      <c r="D543" s="166">
        <v>413.39</v>
      </c>
      <c r="E543" s="168" t="e">
        <f t="shared" si="34"/>
        <v>#NAME?</v>
      </c>
      <c r="F543" s="169">
        <v>413.39</v>
      </c>
      <c r="O543" s="166">
        <v>469.88999999999498</v>
      </c>
      <c r="P543" s="169" t="e">
        <f t="shared" si="35"/>
        <v>#NAME?</v>
      </c>
      <c r="Q543" s="177">
        <v>469.88999999999498</v>
      </c>
      <c r="R543" s="166">
        <v>470.39999999999498</v>
      </c>
      <c r="S543" s="166">
        <v>9.824000000001206</v>
      </c>
      <c r="X543" s="166">
        <v>272.38999999999498</v>
      </c>
      <c r="Y543" s="169" t="e">
        <f t="shared" si="36"/>
        <v>#NAME?</v>
      </c>
      <c r="Z543" s="177">
        <v>272.38999999999498</v>
      </c>
    </row>
    <row r="544" spans="4:26">
      <c r="D544" s="166">
        <v>413.4</v>
      </c>
      <c r="E544" s="168" t="e">
        <f t="shared" si="34"/>
        <v>#NAME?</v>
      </c>
      <c r="F544" s="169">
        <v>413.4</v>
      </c>
      <c r="O544" s="166">
        <v>469.89999999999498</v>
      </c>
      <c r="P544" s="169" t="e">
        <f t="shared" si="35"/>
        <v>#NAME?</v>
      </c>
      <c r="Q544" s="177">
        <v>469.89999999999498</v>
      </c>
      <c r="R544" s="166">
        <v>470.40999999999502</v>
      </c>
      <c r="S544" s="166">
        <v>9.8216000000011938</v>
      </c>
      <c r="X544" s="166">
        <v>272.39999999999498</v>
      </c>
      <c r="Y544" s="169" t="e">
        <f t="shared" si="36"/>
        <v>#NAME?</v>
      </c>
      <c r="Z544" s="177">
        <v>272.39999999999498</v>
      </c>
    </row>
    <row r="545" spans="4:26">
      <c r="D545" s="166">
        <v>413.41</v>
      </c>
      <c r="E545" s="168" t="e">
        <f t="shared" si="34"/>
        <v>#NAME?</v>
      </c>
      <c r="F545" s="169">
        <v>413.41</v>
      </c>
      <c r="O545" s="166">
        <v>469.90999999999502</v>
      </c>
      <c r="P545" s="169" t="e">
        <f t="shared" si="35"/>
        <v>#NAME?</v>
      </c>
      <c r="Q545" s="177">
        <v>469.90999999999502</v>
      </c>
      <c r="R545" s="166">
        <v>470.41999999999501</v>
      </c>
      <c r="S545" s="166">
        <v>9.8192000000011959</v>
      </c>
      <c r="X545" s="166">
        <v>272.40999999999502</v>
      </c>
      <c r="Y545" s="169" t="e">
        <f t="shared" si="36"/>
        <v>#NAME?</v>
      </c>
      <c r="Z545" s="177">
        <v>272.40999999999502</v>
      </c>
    </row>
    <row r="546" spans="4:26">
      <c r="D546" s="166">
        <v>413.42</v>
      </c>
      <c r="E546" s="168" t="e">
        <f t="shared" si="34"/>
        <v>#NAME?</v>
      </c>
      <c r="F546" s="169">
        <v>413.42</v>
      </c>
      <c r="O546" s="166">
        <v>469.91999999999501</v>
      </c>
      <c r="P546" s="169" t="e">
        <f t="shared" si="35"/>
        <v>#NAME?</v>
      </c>
      <c r="Q546" s="177">
        <v>469.91999999999501</v>
      </c>
      <c r="R546" s="166">
        <v>470.429999999995</v>
      </c>
      <c r="S546" s="166">
        <v>9.8168000000011979</v>
      </c>
      <c r="X546" s="166">
        <v>272.41999999999501</v>
      </c>
      <c r="Y546" s="169" t="e">
        <f t="shared" si="36"/>
        <v>#NAME?</v>
      </c>
      <c r="Z546" s="177">
        <v>272.41999999999501</v>
      </c>
    </row>
    <row r="547" spans="4:26">
      <c r="D547" s="166">
        <v>413.43</v>
      </c>
      <c r="E547" s="168" t="e">
        <f t="shared" si="34"/>
        <v>#NAME?</v>
      </c>
      <c r="F547" s="169">
        <v>413.43</v>
      </c>
      <c r="O547" s="166">
        <v>469.929999999995</v>
      </c>
      <c r="P547" s="169" t="e">
        <f t="shared" si="35"/>
        <v>#NAME?</v>
      </c>
      <c r="Q547" s="177">
        <v>469.929999999995</v>
      </c>
      <c r="R547" s="166">
        <v>470.439999999995</v>
      </c>
      <c r="S547" s="166">
        <v>9.8144000000012017</v>
      </c>
      <c r="X547" s="166">
        <v>272.429999999995</v>
      </c>
      <c r="Y547" s="169" t="e">
        <f t="shared" si="36"/>
        <v>#NAME?</v>
      </c>
      <c r="Z547" s="177">
        <v>272.429999999995</v>
      </c>
    </row>
    <row r="548" spans="4:26">
      <c r="D548" s="166">
        <v>413.44000000000102</v>
      </c>
      <c r="E548" s="168" t="e">
        <f t="shared" si="34"/>
        <v>#NAME?</v>
      </c>
      <c r="F548" s="169">
        <v>413.44000000000102</v>
      </c>
      <c r="O548" s="166">
        <v>469.939999999995</v>
      </c>
      <c r="P548" s="169" t="e">
        <f t="shared" si="35"/>
        <v>#NAME?</v>
      </c>
      <c r="Q548" s="177">
        <v>469.939999999995</v>
      </c>
      <c r="R548" s="166">
        <v>470.44999999999499</v>
      </c>
      <c r="S548" s="166">
        <v>9.8120000000012038</v>
      </c>
      <c r="X548" s="166">
        <v>272.439999999995</v>
      </c>
      <c r="Y548" s="169" t="e">
        <f t="shared" si="36"/>
        <v>#NAME?</v>
      </c>
      <c r="Z548" s="177">
        <v>272.439999999995</v>
      </c>
    </row>
    <row r="549" spans="4:26">
      <c r="D549" s="166">
        <v>413.45000000000101</v>
      </c>
      <c r="E549" s="168" t="e">
        <f t="shared" si="34"/>
        <v>#NAME?</v>
      </c>
      <c r="F549" s="169">
        <v>413.45000000000101</v>
      </c>
      <c r="O549" s="166">
        <v>469.94999999999499</v>
      </c>
      <c r="P549" s="169" t="e">
        <f t="shared" si="35"/>
        <v>#NAME?</v>
      </c>
      <c r="Q549" s="177">
        <v>469.94999999999499</v>
      </c>
      <c r="R549" s="166">
        <v>470.45999999999498</v>
      </c>
      <c r="S549" s="166">
        <v>9.8096000000012058</v>
      </c>
      <c r="X549" s="166">
        <v>272.44999999999499</v>
      </c>
      <c r="Y549" s="169" t="e">
        <f t="shared" si="36"/>
        <v>#NAME?</v>
      </c>
      <c r="Z549" s="177">
        <v>272.44999999999499</v>
      </c>
    </row>
    <row r="550" spans="4:26">
      <c r="D550" s="166">
        <v>413.460000000001</v>
      </c>
      <c r="E550" s="168" t="e">
        <f t="shared" si="34"/>
        <v>#NAME?</v>
      </c>
      <c r="F550" s="169">
        <v>413.460000000001</v>
      </c>
      <c r="O550" s="166">
        <v>469.95999999999498</v>
      </c>
      <c r="P550" s="169" t="e">
        <f t="shared" si="35"/>
        <v>#NAME?</v>
      </c>
      <c r="Q550" s="177">
        <v>469.95999999999498</v>
      </c>
      <c r="R550" s="166">
        <v>470.46999999999503</v>
      </c>
      <c r="S550" s="166">
        <v>9.8072000000011936</v>
      </c>
      <c r="X550" s="166">
        <v>272.45999999999498</v>
      </c>
      <c r="Y550" s="169" t="e">
        <f t="shared" si="36"/>
        <v>#NAME?</v>
      </c>
      <c r="Z550" s="177">
        <v>272.45999999999498</v>
      </c>
    </row>
    <row r="551" spans="4:26">
      <c r="D551" s="166">
        <v>413.47000000000099</v>
      </c>
      <c r="E551" s="168" t="e">
        <f t="shared" si="34"/>
        <v>#NAME?</v>
      </c>
      <c r="F551" s="169">
        <v>413.47000000000099</v>
      </c>
      <c r="O551" s="166">
        <v>469.96999999999503</v>
      </c>
      <c r="P551" s="169" t="e">
        <f t="shared" si="35"/>
        <v>#NAME?</v>
      </c>
      <c r="Q551" s="177">
        <v>469.96999999999503</v>
      </c>
      <c r="R551" s="166">
        <v>470.47999999999502</v>
      </c>
      <c r="S551" s="166">
        <v>9.8048000000011957</v>
      </c>
      <c r="X551" s="166">
        <v>272.46999999999503</v>
      </c>
      <c r="Y551" s="169" t="e">
        <f t="shared" si="36"/>
        <v>#NAME?</v>
      </c>
      <c r="Z551" s="177">
        <v>272.46999999999503</v>
      </c>
    </row>
    <row r="552" spans="4:26">
      <c r="D552" s="166">
        <v>413.48000000000098</v>
      </c>
      <c r="E552" s="168" t="e">
        <f t="shared" si="34"/>
        <v>#NAME?</v>
      </c>
      <c r="F552" s="169">
        <v>413.48000000000098</v>
      </c>
      <c r="O552" s="166">
        <v>469.97999999999502</v>
      </c>
      <c r="P552" s="169" t="e">
        <f t="shared" si="35"/>
        <v>#NAME?</v>
      </c>
      <c r="Q552" s="177">
        <v>469.97999999999502</v>
      </c>
      <c r="R552" s="166">
        <v>470.48999999999501</v>
      </c>
      <c r="S552" s="166">
        <v>9.8024000000011977</v>
      </c>
      <c r="X552" s="166">
        <v>272.47999999999502</v>
      </c>
      <c r="Y552" s="169" t="e">
        <f t="shared" si="36"/>
        <v>#NAME?</v>
      </c>
      <c r="Z552" s="177">
        <v>272.47999999999502</v>
      </c>
    </row>
    <row r="553" spans="4:26">
      <c r="D553" s="166">
        <v>413.49000000000098</v>
      </c>
      <c r="E553" s="168" t="e">
        <f t="shared" si="34"/>
        <v>#NAME?</v>
      </c>
      <c r="F553" s="169">
        <v>413.49000000000098</v>
      </c>
      <c r="O553" s="166">
        <v>469.98999999999501</v>
      </c>
      <c r="P553" s="169" t="e">
        <f t="shared" si="35"/>
        <v>#NAME?</v>
      </c>
      <c r="Q553" s="177">
        <v>469.98999999999501</v>
      </c>
      <c r="R553" s="166">
        <v>470.499999999995</v>
      </c>
      <c r="S553" s="166">
        <v>9.8000000000011998</v>
      </c>
      <c r="X553" s="166">
        <v>272.48999999999501</v>
      </c>
      <c r="Y553" s="169" t="e">
        <f t="shared" si="36"/>
        <v>#NAME?</v>
      </c>
      <c r="Z553" s="177">
        <v>272.48999999999501</v>
      </c>
    </row>
    <row r="554" spans="4:26">
      <c r="D554" s="166">
        <v>413.50000000000102</v>
      </c>
      <c r="E554" s="168" t="e">
        <f t="shared" si="34"/>
        <v>#NAME?</v>
      </c>
      <c r="F554" s="169">
        <v>413.50000000000102</v>
      </c>
      <c r="O554" s="166">
        <v>469.999999999995</v>
      </c>
      <c r="P554" s="169" t="e">
        <f t="shared" si="35"/>
        <v>#NAME?</v>
      </c>
      <c r="Q554" s="177">
        <v>469.999999999995</v>
      </c>
      <c r="R554" s="166">
        <v>470.50999999999499</v>
      </c>
      <c r="S554" s="166">
        <v>9.7976000000012018</v>
      </c>
      <c r="X554" s="166">
        <v>272.499999999995</v>
      </c>
      <c r="Y554" s="169" t="e">
        <f t="shared" si="36"/>
        <v>#NAME?</v>
      </c>
      <c r="Z554" s="177">
        <v>272.499999999995</v>
      </c>
    </row>
    <row r="555" spans="4:26">
      <c r="D555" s="166">
        <v>413.51000000000101</v>
      </c>
      <c r="E555" s="168" t="e">
        <f t="shared" si="34"/>
        <v>#NAME?</v>
      </c>
      <c r="F555" s="169">
        <v>413.51000000000101</v>
      </c>
      <c r="O555" s="166">
        <v>470.00999999999499</v>
      </c>
      <c r="P555" s="169" t="e">
        <f t="shared" si="35"/>
        <v>#NAME?</v>
      </c>
      <c r="Q555" s="177">
        <v>470.00999999999499</v>
      </c>
      <c r="R555" s="166">
        <v>470.51999999999498</v>
      </c>
      <c r="S555" s="166">
        <v>9.7952000000012056</v>
      </c>
      <c r="X555" s="166">
        <v>272.50999999999499</v>
      </c>
      <c r="Y555" s="169" t="e">
        <f t="shared" si="36"/>
        <v>#NAME?</v>
      </c>
      <c r="Z555" s="177">
        <v>272.50999999999499</v>
      </c>
    </row>
    <row r="556" spans="4:26">
      <c r="D556" s="166">
        <v>413.520000000001</v>
      </c>
      <c r="E556" s="168" t="e">
        <f t="shared" si="34"/>
        <v>#NAME?</v>
      </c>
      <c r="F556" s="169">
        <v>413.520000000001</v>
      </c>
      <c r="O556" s="166">
        <v>470.01999999999498</v>
      </c>
      <c r="P556" s="169" t="e">
        <f t="shared" si="35"/>
        <v>#NAME?</v>
      </c>
      <c r="Q556" s="177">
        <v>470.01999999999498</v>
      </c>
      <c r="R556" s="166">
        <v>470.52999999999503</v>
      </c>
      <c r="S556" s="166">
        <v>9.7928000000011934</v>
      </c>
      <c r="X556" s="166">
        <v>272.51999999999498</v>
      </c>
      <c r="Y556" s="169" t="e">
        <f t="shared" si="36"/>
        <v>#NAME?</v>
      </c>
      <c r="Z556" s="177">
        <v>272.51999999999498</v>
      </c>
    </row>
    <row r="557" spans="4:26">
      <c r="D557" s="166">
        <v>413.530000000001</v>
      </c>
      <c r="E557" s="168" t="e">
        <f t="shared" si="34"/>
        <v>#NAME?</v>
      </c>
      <c r="F557" s="169">
        <v>413.530000000001</v>
      </c>
      <c r="O557" s="166">
        <v>470.02999999999503</v>
      </c>
      <c r="P557" s="169" t="e">
        <f t="shared" si="35"/>
        <v>#NAME?</v>
      </c>
      <c r="Q557" s="177">
        <v>470.02999999999503</v>
      </c>
      <c r="R557" s="166">
        <v>470.53999999999502</v>
      </c>
      <c r="S557" s="166">
        <v>9.7904000000011955</v>
      </c>
      <c r="X557" s="166">
        <v>272.52999999999503</v>
      </c>
      <c r="Y557" s="169" t="e">
        <f t="shared" si="36"/>
        <v>#NAME?</v>
      </c>
      <c r="Z557" s="177">
        <v>272.52999999999503</v>
      </c>
    </row>
    <row r="558" spans="4:26">
      <c r="D558" s="166">
        <v>413.54000000000099</v>
      </c>
      <c r="E558" s="168" t="e">
        <f t="shared" si="34"/>
        <v>#NAME?</v>
      </c>
      <c r="F558" s="169">
        <v>413.54000000000099</v>
      </c>
      <c r="O558" s="166">
        <v>470.03999999999502</v>
      </c>
      <c r="P558" s="169" t="e">
        <f t="shared" si="35"/>
        <v>#NAME?</v>
      </c>
      <c r="Q558" s="177">
        <v>470.03999999999502</v>
      </c>
      <c r="R558" s="166">
        <v>470.54999999999501</v>
      </c>
      <c r="S558" s="166">
        <v>9.7880000000011975</v>
      </c>
      <c r="X558" s="166">
        <v>272.53999999999502</v>
      </c>
      <c r="Y558" s="169" t="e">
        <f t="shared" si="36"/>
        <v>#NAME?</v>
      </c>
      <c r="Z558" s="177">
        <v>272.53999999999502</v>
      </c>
    </row>
    <row r="559" spans="4:26">
      <c r="D559" s="166">
        <v>413.55000000000098</v>
      </c>
      <c r="E559" s="168" t="e">
        <f t="shared" si="34"/>
        <v>#NAME?</v>
      </c>
      <c r="F559" s="169">
        <v>413.55000000000098</v>
      </c>
      <c r="O559" s="166">
        <v>470.04999999999501</v>
      </c>
      <c r="P559" s="169" t="e">
        <f t="shared" si="35"/>
        <v>#NAME?</v>
      </c>
      <c r="Q559" s="177">
        <v>470.04999999999501</v>
      </c>
      <c r="R559" s="166">
        <v>470.559999999995</v>
      </c>
      <c r="S559" s="166">
        <v>9.7856000000011996</v>
      </c>
      <c r="X559" s="166">
        <v>272.54999999999501</v>
      </c>
      <c r="Y559" s="169" t="e">
        <f t="shared" si="36"/>
        <v>#NAME?</v>
      </c>
      <c r="Z559" s="177">
        <v>272.54999999999501</v>
      </c>
    </row>
    <row r="560" spans="4:26">
      <c r="D560" s="166">
        <v>413.56000000000103</v>
      </c>
      <c r="E560" s="168" t="e">
        <f t="shared" si="34"/>
        <v>#NAME?</v>
      </c>
      <c r="F560" s="169">
        <v>413.56000000000103</v>
      </c>
      <c r="O560" s="166">
        <v>470.059999999995</v>
      </c>
      <c r="P560" s="169" t="e">
        <f t="shared" si="35"/>
        <v>#NAME?</v>
      </c>
      <c r="Q560" s="177">
        <v>470.059999999995</v>
      </c>
      <c r="R560" s="166">
        <v>470.56999999999499</v>
      </c>
      <c r="S560" s="166">
        <v>9.7832000000012016</v>
      </c>
      <c r="X560" s="166">
        <v>272.559999999995</v>
      </c>
      <c r="Y560" s="169" t="e">
        <f t="shared" si="36"/>
        <v>#NAME?</v>
      </c>
      <c r="Z560" s="177">
        <v>272.559999999995</v>
      </c>
    </row>
    <row r="561" spans="4:26">
      <c r="D561" s="166">
        <v>413.57000000000102</v>
      </c>
      <c r="E561" s="168" t="e">
        <f t="shared" si="34"/>
        <v>#NAME?</v>
      </c>
      <c r="F561" s="169">
        <v>413.57000000000102</v>
      </c>
      <c r="O561" s="166">
        <v>470.06999999999499</v>
      </c>
      <c r="P561" s="169" t="e">
        <f t="shared" si="35"/>
        <v>#NAME?</v>
      </c>
      <c r="Q561" s="177">
        <v>470.06999999999499</v>
      </c>
      <c r="R561" s="166">
        <v>470.57999999999498</v>
      </c>
      <c r="S561" s="166">
        <v>9.7808000000012036</v>
      </c>
      <c r="X561" s="166">
        <v>272.56999999999499</v>
      </c>
      <c r="Y561" s="169" t="e">
        <f t="shared" si="36"/>
        <v>#NAME?</v>
      </c>
      <c r="Z561" s="177">
        <v>272.56999999999499</v>
      </c>
    </row>
    <row r="562" spans="4:26">
      <c r="D562" s="166">
        <v>413.58000000000101</v>
      </c>
      <c r="E562" s="168" t="e">
        <f t="shared" si="34"/>
        <v>#NAME?</v>
      </c>
      <c r="F562" s="169">
        <v>413.58000000000101</v>
      </c>
      <c r="O562" s="166">
        <v>470.07999999999498</v>
      </c>
      <c r="P562" s="169" t="e">
        <f t="shared" si="35"/>
        <v>#NAME?</v>
      </c>
      <c r="Q562" s="177">
        <v>470.07999999999498</v>
      </c>
      <c r="R562" s="166">
        <v>470.58999999999497</v>
      </c>
      <c r="S562" s="166">
        <v>9.7784000000012057</v>
      </c>
      <c r="X562" s="166">
        <v>272.57999999999498</v>
      </c>
      <c r="Y562" s="169" t="e">
        <f t="shared" si="36"/>
        <v>#NAME?</v>
      </c>
      <c r="Z562" s="177">
        <v>272.57999999999498</v>
      </c>
    </row>
    <row r="563" spans="4:26">
      <c r="D563" s="166">
        <v>413.590000000001</v>
      </c>
      <c r="E563" s="168" t="e">
        <f t="shared" si="34"/>
        <v>#NAME?</v>
      </c>
      <c r="F563" s="169">
        <v>413.590000000001</v>
      </c>
      <c r="O563" s="166">
        <v>470.08999999999497</v>
      </c>
      <c r="P563" s="169" t="e">
        <f t="shared" si="35"/>
        <v>#NAME?</v>
      </c>
      <c r="Q563" s="177">
        <v>470.08999999999497</v>
      </c>
      <c r="R563" s="166">
        <v>470.59999999999502</v>
      </c>
      <c r="S563" s="166">
        <v>9.7760000000011953</v>
      </c>
      <c r="X563" s="166">
        <v>272.58999999999497</v>
      </c>
      <c r="Y563" s="169" t="e">
        <f t="shared" si="36"/>
        <v>#NAME?</v>
      </c>
      <c r="Z563" s="177">
        <v>272.58999999999497</v>
      </c>
    </row>
    <row r="564" spans="4:26">
      <c r="D564" s="166">
        <v>413.60000000000099</v>
      </c>
      <c r="E564" s="168" t="e">
        <f t="shared" si="34"/>
        <v>#NAME?</v>
      </c>
      <c r="F564" s="169">
        <v>413.60000000000099</v>
      </c>
      <c r="O564" s="166">
        <v>470.09999999999502</v>
      </c>
      <c r="P564" s="169" t="e">
        <f t="shared" si="35"/>
        <v>#NAME?</v>
      </c>
      <c r="Q564" s="177">
        <v>470.09999999999502</v>
      </c>
      <c r="R564" s="166">
        <v>470.60999999999501</v>
      </c>
      <c r="S564" s="166">
        <v>9.7736000000011973</v>
      </c>
      <c r="X564" s="166">
        <v>272.59999999999502</v>
      </c>
      <c r="Y564" s="169" t="e">
        <f t="shared" si="36"/>
        <v>#NAME?</v>
      </c>
      <c r="Z564" s="177">
        <v>272.59999999999502</v>
      </c>
    </row>
    <row r="565" spans="4:26">
      <c r="D565" s="166">
        <v>413.61000000000098</v>
      </c>
      <c r="E565" s="168" t="e">
        <f t="shared" si="34"/>
        <v>#NAME?</v>
      </c>
      <c r="F565" s="169">
        <v>413.61000000000098</v>
      </c>
      <c r="O565" s="166">
        <v>470.10999999999501</v>
      </c>
      <c r="P565" s="169" t="e">
        <f t="shared" si="35"/>
        <v>#NAME?</v>
      </c>
      <c r="Q565" s="177">
        <v>470.10999999999501</v>
      </c>
      <c r="R565" s="166">
        <v>470.619999999995</v>
      </c>
      <c r="S565" s="166">
        <v>9.7712000000011994</v>
      </c>
      <c r="X565" s="166">
        <v>272.60999999999501</v>
      </c>
      <c r="Y565" s="169" t="e">
        <f t="shared" si="36"/>
        <v>#NAME?</v>
      </c>
      <c r="Z565" s="177">
        <v>272.60999999999501</v>
      </c>
    </row>
    <row r="566" spans="4:26">
      <c r="D566" s="166">
        <v>413.62000000000103</v>
      </c>
      <c r="E566" s="168" t="e">
        <f t="shared" si="34"/>
        <v>#NAME?</v>
      </c>
      <c r="F566" s="169">
        <v>413.62000000000103</v>
      </c>
      <c r="O566" s="166">
        <v>470.119999999995</v>
      </c>
      <c r="P566" s="169" t="e">
        <f t="shared" si="35"/>
        <v>#NAME?</v>
      </c>
      <c r="Q566" s="177">
        <v>470.119999999995</v>
      </c>
      <c r="R566" s="166">
        <v>470.62999999999499</v>
      </c>
      <c r="S566" s="166">
        <v>9.7688000000012014</v>
      </c>
      <c r="X566" s="166">
        <v>272.619999999995</v>
      </c>
      <c r="Y566" s="169" t="e">
        <f t="shared" si="36"/>
        <v>#NAME?</v>
      </c>
      <c r="Z566" s="177">
        <v>272.619999999995</v>
      </c>
    </row>
    <row r="567" spans="4:26">
      <c r="D567" s="166">
        <v>413.63000000000102</v>
      </c>
      <c r="E567" s="168" t="e">
        <f t="shared" si="34"/>
        <v>#NAME?</v>
      </c>
      <c r="F567" s="169">
        <v>413.63000000000102</v>
      </c>
      <c r="O567" s="166">
        <v>470.12999999999499</v>
      </c>
      <c r="P567" s="169" t="e">
        <f t="shared" si="35"/>
        <v>#NAME?</v>
      </c>
      <c r="Q567" s="177">
        <v>470.12999999999499</v>
      </c>
      <c r="R567" s="166">
        <v>470.63999999999498</v>
      </c>
      <c r="S567" s="166">
        <v>9.7664000000012035</v>
      </c>
      <c r="X567" s="166">
        <v>272.62999999999499</v>
      </c>
      <c r="Y567" s="169" t="e">
        <f t="shared" si="36"/>
        <v>#NAME?</v>
      </c>
      <c r="Z567" s="177">
        <v>272.62999999999499</v>
      </c>
    </row>
    <row r="568" spans="4:26">
      <c r="D568" s="166">
        <v>413.64000000000101</v>
      </c>
      <c r="E568" s="168" t="e">
        <f t="shared" si="34"/>
        <v>#NAME?</v>
      </c>
      <c r="F568" s="169">
        <v>413.64000000000101</v>
      </c>
      <c r="O568" s="166">
        <v>470.13999999999498</v>
      </c>
      <c r="P568" s="169" t="e">
        <f t="shared" si="35"/>
        <v>#NAME?</v>
      </c>
      <c r="Q568" s="177">
        <v>470.13999999999498</v>
      </c>
      <c r="R568" s="166">
        <v>470.64999999999498</v>
      </c>
      <c r="S568" s="166">
        <v>9.7640000000012055</v>
      </c>
      <c r="X568" s="166">
        <v>272.63999999999498</v>
      </c>
      <c r="Y568" s="169" t="e">
        <f t="shared" si="36"/>
        <v>#NAME?</v>
      </c>
      <c r="Z568" s="177">
        <v>272.63999999999498</v>
      </c>
    </row>
    <row r="569" spans="4:26">
      <c r="D569" s="166">
        <v>413.65000000000202</v>
      </c>
      <c r="E569" s="168" t="e">
        <f t="shared" si="34"/>
        <v>#NAME?</v>
      </c>
      <c r="F569" s="169">
        <v>413.65000000000202</v>
      </c>
      <c r="O569" s="166">
        <v>470.14999999999498</v>
      </c>
      <c r="P569" s="169" t="e">
        <f t="shared" si="35"/>
        <v>#NAME?</v>
      </c>
      <c r="Q569" s="177">
        <v>470.14999999999498</v>
      </c>
      <c r="R569" s="166">
        <v>470.65999999999502</v>
      </c>
      <c r="S569" s="166">
        <v>9.7616000000011951</v>
      </c>
      <c r="X569" s="166">
        <v>272.64999999999498</v>
      </c>
      <c r="Y569" s="169" t="e">
        <f t="shared" si="36"/>
        <v>#NAME?</v>
      </c>
      <c r="Z569" s="177">
        <v>272.64999999999498</v>
      </c>
    </row>
    <row r="570" spans="4:26">
      <c r="D570" s="166">
        <v>413.66000000000201</v>
      </c>
      <c r="E570" s="168" t="e">
        <f t="shared" si="34"/>
        <v>#NAME?</v>
      </c>
      <c r="F570" s="169">
        <v>413.66000000000201</v>
      </c>
      <c r="O570" s="166">
        <v>470.15999999999502</v>
      </c>
      <c r="P570" s="169" t="e">
        <f t="shared" si="35"/>
        <v>#NAME?</v>
      </c>
      <c r="Q570" s="177">
        <v>470.15999999999502</v>
      </c>
      <c r="R570" s="166">
        <v>470.66999999999501</v>
      </c>
      <c r="S570" s="166">
        <v>9.7592000000011971</v>
      </c>
      <c r="X570" s="166">
        <v>272.65999999999502</v>
      </c>
      <c r="Y570" s="169" t="e">
        <f t="shared" si="36"/>
        <v>#NAME?</v>
      </c>
      <c r="Z570" s="177">
        <v>272.65999999999502</v>
      </c>
    </row>
    <row r="571" spans="4:26">
      <c r="D571" s="166">
        <v>413.67000000000201</v>
      </c>
      <c r="E571" s="168" t="e">
        <f t="shared" si="34"/>
        <v>#NAME?</v>
      </c>
      <c r="F571" s="169">
        <v>413.67000000000201</v>
      </c>
      <c r="O571" s="166">
        <v>470.16999999999501</v>
      </c>
      <c r="P571" s="169" t="e">
        <f t="shared" si="35"/>
        <v>#NAME?</v>
      </c>
      <c r="Q571" s="177">
        <v>470.16999999999501</v>
      </c>
      <c r="R571" s="166">
        <v>470.679999999995</v>
      </c>
      <c r="S571" s="166">
        <v>9.7568000000011992</v>
      </c>
      <c r="X571" s="166">
        <v>272.66999999999501</v>
      </c>
      <c r="Y571" s="169" t="e">
        <f t="shared" si="36"/>
        <v>#NAME?</v>
      </c>
      <c r="Z571" s="177">
        <v>272.66999999999501</v>
      </c>
    </row>
    <row r="572" spans="4:26">
      <c r="D572" s="166">
        <v>413.680000000002</v>
      </c>
      <c r="E572" s="168" t="e">
        <f t="shared" si="34"/>
        <v>#NAME?</v>
      </c>
      <c r="F572" s="169">
        <v>413.680000000002</v>
      </c>
      <c r="O572" s="166">
        <v>470.179999999995</v>
      </c>
      <c r="P572" s="169" t="e">
        <f t="shared" si="35"/>
        <v>#NAME?</v>
      </c>
      <c r="Q572" s="177">
        <v>470.179999999995</v>
      </c>
      <c r="R572" s="166">
        <v>470.689999999995</v>
      </c>
      <c r="S572" s="166">
        <v>9.7544000000012012</v>
      </c>
      <c r="X572" s="166">
        <v>272.679999999995</v>
      </c>
      <c r="Y572" s="169" t="e">
        <f t="shared" si="36"/>
        <v>#NAME?</v>
      </c>
      <c r="Z572" s="177">
        <v>272.679999999995</v>
      </c>
    </row>
    <row r="573" spans="4:26">
      <c r="D573" s="166">
        <v>413.69000000000199</v>
      </c>
      <c r="E573" s="168" t="e">
        <f t="shared" si="34"/>
        <v>#NAME?</v>
      </c>
      <c r="F573" s="169">
        <v>413.69000000000199</v>
      </c>
      <c r="O573" s="166">
        <v>470.189999999995</v>
      </c>
      <c r="P573" s="169" t="e">
        <f t="shared" si="35"/>
        <v>#NAME?</v>
      </c>
      <c r="Q573" s="177">
        <v>470.189999999995</v>
      </c>
      <c r="R573" s="166">
        <v>470.69999999999499</v>
      </c>
      <c r="S573" s="166">
        <v>9.7520000000012033</v>
      </c>
      <c r="X573" s="166">
        <v>272.689999999995</v>
      </c>
      <c r="Y573" s="169" t="e">
        <f t="shared" si="36"/>
        <v>#NAME?</v>
      </c>
      <c r="Z573" s="177">
        <v>272.689999999995</v>
      </c>
    </row>
    <row r="574" spans="4:26">
      <c r="D574" s="166">
        <v>413.70000000000198</v>
      </c>
      <c r="E574" s="168" t="e">
        <f t="shared" si="34"/>
        <v>#NAME?</v>
      </c>
      <c r="F574" s="169">
        <v>413.70000000000198</v>
      </c>
      <c r="O574" s="166">
        <v>470.19999999999499</v>
      </c>
      <c r="P574" s="169" t="e">
        <f t="shared" si="35"/>
        <v>#NAME?</v>
      </c>
      <c r="Q574" s="177">
        <v>470.19999999999499</v>
      </c>
      <c r="R574" s="166">
        <v>470.70999999999498</v>
      </c>
      <c r="S574" s="166">
        <v>9.7496000000012053</v>
      </c>
      <c r="X574" s="166">
        <v>272.69999999999499</v>
      </c>
      <c r="Y574" s="169" t="e">
        <f t="shared" si="36"/>
        <v>#NAME?</v>
      </c>
      <c r="Z574" s="177">
        <v>272.69999999999499</v>
      </c>
    </row>
    <row r="575" spans="4:26">
      <c r="D575" s="166">
        <v>413.71000000000203</v>
      </c>
      <c r="E575" s="168" t="e">
        <f t="shared" si="34"/>
        <v>#NAME?</v>
      </c>
      <c r="F575" s="169">
        <v>413.71000000000203</v>
      </c>
      <c r="O575" s="166">
        <v>470.20999999999498</v>
      </c>
      <c r="P575" s="169" t="e">
        <f t="shared" si="35"/>
        <v>#NAME?</v>
      </c>
      <c r="Q575" s="177">
        <v>470.20999999999498</v>
      </c>
      <c r="R575" s="166">
        <v>470.71999999999503</v>
      </c>
      <c r="S575" s="166">
        <v>9.7472000000011931</v>
      </c>
      <c r="X575" s="166">
        <v>272.70999999999498</v>
      </c>
      <c r="Y575" s="169" t="e">
        <f t="shared" si="36"/>
        <v>#NAME?</v>
      </c>
      <c r="Z575" s="177">
        <v>272.70999999999498</v>
      </c>
    </row>
    <row r="576" spans="4:26">
      <c r="D576" s="166">
        <v>413.72000000000202</v>
      </c>
      <c r="E576" s="168" t="e">
        <f t="shared" si="34"/>
        <v>#NAME?</v>
      </c>
      <c r="F576" s="169">
        <v>413.72000000000202</v>
      </c>
      <c r="O576" s="166">
        <v>470.21999999999503</v>
      </c>
      <c r="P576" s="169" t="e">
        <f t="shared" si="35"/>
        <v>#NAME?</v>
      </c>
      <c r="Q576" s="177">
        <v>470.21999999999503</v>
      </c>
      <c r="R576" s="166">
        <v>470.72999999999502</v>
      </c>
      <c r="S576" s="166">
        <v>9.7448000000011952</v>
      </c>
      <c r="X576" s="166">
        <v>272.71999999999503</v>
      </c>
      <c r="Y576" s="169" t="e">
        <f t="shared" si="36"/>
        <v>#NAME?</v>
      </c>
      <c r="Z576" s="177">
        <v>272.71999999999503</v>
      </c>
    </row>
    <row r="577" spans="4:26">
      <c r="D577" s="166">
        <v>413.73000000000201</v>
      </c>
      <c r="E577" s="168" t="e">
        <f t="shared" si="34"/>
        <v>#NAME?</v>
      </c>
      <c r="F577" s="169">
        <v>413.73000000000201</v>
      </c>
      <c r="O577" s="166">
        <v>470.22999999999502</v>
      </c>
      <c r="P577" s="169" t="e">
        <f t="shared" si="35"/>
        <v>#NAME?</v>
      </c>
      <c r="Q577" s="177">
        <v>470.22999999999502</v>
      </c>
      <c r="R577" s="166">
        <v>470.73999999999501</v>
      </c>
      <c r="S577" s="166">
        <v>9.742400000001199</v>
      </c>
      <c r="X577" s="166">
        <v>272.72999999999502</v>
      </c>
      <c r="Y577" s="169" t="e">
        <f t="shared" si="36"/>
        <v>#NAME?</v>
      </c>
      <c r="Z577" s="177">
        <v>272.72999999999502</v>
      </c>
    </row>
    <row r="578" spans="4:26">
      <c r="D578" s="166">
        <v>413.740000000002</v>
      </c>
      <c r="E578" s="168" t="e">
        <f t="shared" si="34"/>
        <v>#NAME?</v>
      </c>
      <c r="F578" s="169">
        <v>413.740000000002</v>
      </c>
      <c r="O578" s="166">
        <v>470.23999999999501</v>
      </c>
      <c r="P578" s="169" t="e">
        <f t="shared" si="35"/>
        <v>#NAME?</v>
      </c>
      <c r="Q578" s="177">
        <v>470.23999999999501</v>
      </c>
      <c r="R578" s="166">
        <v>470.749999999995</v>
      </c>
      <c r="S578" s="166">
        <v>9.740000000001201</v>
      </c>
      <c r="X578" s="166">
        <v>272.73999999999501</v>
      </c>
      <c r="Y578" s="169" t="e">
        <f t="shared" si="36"/>
        <v>#NAME?</v>
      </c>
      <c r="Z578" s="177">
        <v>272.73999999999501</v>
      </c>
    </row>
    <row r="579" spans="4:26">
      <c r="D579" s="166">
        <v>413.75000000000199</v>
      </c>
      <c r="E579" s="168" t="e">
        <f t="shared" si="34"/>
        <v>#NAME?</v>
      </c>
      <c r="F579" s="169">
        <v>413.75000000000199</v>
      </c>
      <c r="O579" s="166">
        <v>470.249999999995</v>
      </c>
      <c r="P579" s="169" t="e">
        <f t="shared" si="35"/>
        <v>#NAME?</v>
      </c>
      <c r="Q579" s="177">
        <v>470.249999999995</v>
      </c>
      <c r="R579" s="166">
        <v>470.75999999999499</v>
      </c>
      <c r="S579" s="166">
        <v>9.7376000000012031</v>
      </c>
      <c r="X579" s="166">
        <v>272.749999999995</v>
      </c>
      <c r="Y579" s="169" t="e">
        <f t="shared" si="36"/>
        <v>#NAME?</v>
      </c>
      <c r="Z579" s="177">
        <v>272.749999999995</v>
      </c>
    </row>
    <row r="580" spans="4:26">
      <c r="D580" s="166">
        <v>413.76000000000198</v>
      </c>
      <c r="E580" s="168" t="e">
        <f t="shared" ref="E580:E643" si="37">VLOOKUP(D580,THONGSOHO_BK,2,1)+(VLOOKUP(D580+1,THONGSOHO_BK,2,1)-VLOOKUP(D580,THONGSOHO_BK,2,1))/1*(D580-VLOOKUP(D580,THONGSOHO_BK,1,1))-48.55</f>
        <v>#NAME?</v>
      </c>
      <c r="F580" s="169">
        <v>413.76000000000198</v>
      </c>
      <c r="O580" s="166">
        <v>470.25999999999499</v>
      </c>
      <c r="P580" s="169" t="e">
        <f t="shared" ref="P580:P643" si="38">VLOOKUP(O580,THONGSOHO_BTS,2,1)+(VLOOKUP(O580+5,THONGSOHO_BTS,2,1)-VLOOKUP(O580,THONGSOHO_BTS,2,1))/5*(O580-VLOOKUP(O580,THONGSOHO_BTS,1,1))-264.29</f>
        <v>#NAME?</v>
      </c>
      <c r="Q580" s="177">
        <v>470.25999999999499</v>
      </c>
      <c r="R580" s="166">
        <v>470.76999999999498</v>
      </c>
      <c r="S580" s="166">
        <v>9.7352000000012051</v>
      </c>
      <c r="X580" s="166">
        <v>272.75999999999499</v>
      </c>
      <c r="Y580" s="169" t="e">
        <f t="shared" ref="Y580:Y643" si="39">VLOOKUP(X580,THONGSOHO_SP3,2,1)+(VLOOKUP(X580+2,THONGSOHO_SP3,2,1)-VLOOKUP(X580,THONGSOHO_SP3,2,1))/2*(X580-VLOOKUP(X580,THONGSOHO_SP3,1,1))-156.13</f>
        <v>#NAME?</v>
      </c>
      <c r="Z580" s="177">
        <v>272.75999999999499</v>
      </c>
    </row>
    <row r="581" spans="4:26">
      <c r="D581" s="166">
        <v>413.77000000000203</v>
      </c>
      <c r="E581" s="168" t="e">
        <f t="shared" si="37"/>
        <v>#NAME?</v>
      </c>
      <c r="F581" s="169">
        <v>413.77000000000203</v>
      </c>
      <c r="O581" s="166">
        <v>470.26999999999498</v>
      </c>
      <c r="P581" s="169" t="e">
        <f t="shared" si="38"/>
        <v>#NAME?</v>
      </c>
      <c r="Q581" s="177">
        <v>470.26999999999498</v>
      </c>
      <c r="R581" s="166">
        <v>470.77999999999503</v>
      </c>
      <c r="S581" s="166">
        <v>9.7328000000011929</v>
      </c>
      <c r="X581" s="166">
        <v>272.76999999999498</v>
      </c>
      <c r="Y581" s="169" t="e">
        <f t="shared" si="39"/>
        <v>#NAME?</v>
      </c>
      <c r="Z581" s="177">
        <v>272.76999999999498</v>
      </c>
    </row>
    <row r="582" spans="4:26">
      <c r="D582" s="166">
        <v>413.78000000000202</v>
      </c>
      <c r="E582" s="168" t="e">
        <f t="shared" si="37"/>
        <v>#NAME?</v>
      </c>
      <c r="F582" s="169">
        <v>413.78000000000202</v>
      </c>
      <c r="O582" s="166">
        <v>470.27999999999503</v>
      </c>
      <c r="P582" s="169" t="e">
        <f t="shared" si="38"/>
        <v>#NAME?</v>
      </c>
      <c r="Q582" s="177">
        <v>470.27999999999503</v>
      </c>
      <c r="R582" s="166">
        <v>470.78999999999502</v>
      </c>
      <c r="S582" s="166">
        <v>9.730400000001195</v>
      </c>
      <c r="X582" s="166">
        <v>272.77999999999503</v>
      </c>
      <c r="Y582" s="169" t="e">
        <f t="shared" si="39"/>
        <v>#NAME?</v>
      </c>
      <c r="Z582" s="177">
        <v>272.77999999999503</v>
      </c>
    </row>
    <row r="583" spans="4:26">
      <c r="D583" s="166">
        <v>413.79000000000201</v>
      </c>
      <c r="E583" s="168" t="e">
        <f t="shared" si="37"/>
        <v>#NAME?</v>
      </c>
      <c r="F583" s="169">
        <v>413.79000000000201</v>
      </c>
      <c r="O583" s="166">
        <v>470.28999999999502</v>
      </c>
      <c r="P583" s="169" t="e">
        <f t="shared" si="38"/>
        <v>#NAME?</v>
      </c>
      <c r="Q583" s="177">
        <v>470.28999999999502</v>
      </c>
      <c r="R583" s="166">
        <v>470.79999999999501</v>
      </c>
      <c r="S583" s="166">
        <v>9.728000000001197</v>
      </c>
      <c r="X583" s="166">
        <v>272.78999999999502</v>
      </c>
      <c r="Y583" s="169" t="e">
        <f t="shared" si="39"/>
        <v>#NAME?</v>
      </c>
      <c r="Z583" s="177">
        <v>272.78999999999502</v>
      </c>
    </row>
    <row r="584" spans="4:26">
      <c r="D584" s="166">
        <v>413.800000000002</v>
      </c>
      <c r="E584" s="168" t="e">
        <f t="shared" si="37"/>
        <v>#NAME?</v>
      </c>
      <c r="F584" s="169">
        <v>413.800000000002</v>
      </c>
      <c r="O584" s="166">
        <v>470.29999999999501</v>
      </c>
      <c r="P584" s="169" t="e">
        <f t="shared" si="38"/>
        <v>#NAME?</v>
      </c>
      <c r="Q584" s="177">
        <v>470.29999999999501</v>
      </c>
      <c r="R584" s="166">
        <v>470.809999999995</v>
      </c>
      <c r="S584" s="166">
        <v>9.7256000000011991</v>
      </c>
      <c r="X584" s="166">
        <v>272.79999999999501</v>
      </c>
      <c r="Y584" s="169" t="e">
        <f t="shared" si="39"/>
        <v>#NAME?</v>
      </c>
      <c r="Z584" s="177">
        <v>272.79999999999501</v>
      </c>
    </row>
    <row r="585" spans="4:26">
      <c r="D585" s="166">
        <v>413.81000000000199</v>
      </c>
      <c r="E585" s="168" t="e">
        <f t="shared" si="37"/>
        <v>#NAME?</v>
      </c>
      <c r="F585" s="169">
        <v>413.81000000000199</v>
      </c>
      <c r="O585" s="166">
        <v>470.309999999995</v>
      </c>
      <c r="P585" s="169" t="e">
        <f t="shared" si="38"/>
        <v>#NAME?</v>
      </c>
      <c r="Q585" s="177">
        <v>470.309999999995</v>
      </c>
      <c r="R585" s="166">
        <v>470.81999999999499</v>
      </c>
      <c r="S585" s="166">
        <v>9.7232000000012011</v>
      </c>
      <c r="X585" s="166">
        <v>272.809999999995</v>
      </c>
      <c r="Y585" s="169" t="e">
        <f t="shared" si="39"/>
        <v>#NAME?</v>
      </c>
      <c r="Z585" s="177">
        <v>272.809999999995</v>
      </c>
    </row>
    <row r="586" spans="4:26">
      <c r="D586" s="166">
        <v>413.82000000000198</v>
      </c>
      <c r="E586" s="168" t="e">
        <f t="shared" si="37"/>
        <v>#NAME?</v>
      </c>
      <c r="F586" s="169">
        <v>413.82000000000198</v>
      </c>
      <c r="O586" s="166">
        <v>470.31999999999499</v>
      </c>
      <c r="P586" s="169" t="e">
        <f t="shared" si="38"/>
        <v>#NAME?</v>
      </c>
      <c r="Q586" s="177">
        <v>470.31999999999499</v>
      </c>
      <c r="R586" s="166">
        <v>470.82999999999498</v>
      </c>
      <c r="S586" s="166">
        <v>9.7208000000012049</v>
      </c>
      <c r="X586" s="166">
        <v>272.81999999999499</v>
      </c>
      <c r="Y586" s="169" t="e">
        <f t="shared" si="39"/>
        <v>#NAME?</v>
      </c>
      <c r="Z586" s="177">
        <v>272.81999999999499</v>
      </c>
    </row>
    <row r="587" spans="4:26">
      <c r="D587" s="166">
        <v>413.83000000000197</v>
      </c>
      <c r="E587" s="168" t="e">
        <f t="shared" si="37"/>
        <v>#NAME?</v>
      </c>
      <c r="F587" s="169">
        <v>413.83000000000197</v>
      </c>
      <c r="O587" s="166">
        <v>470.32999999999498</v>
      </c>
      <c r="P587" s="169" t="e">
        <f t="shared" si="38"/>
        <v>#NAME?</v>
      </c>
      <c r="Q587" s="177">
        <v>470.32999999999498</v>
      </c>
      <c r="R587" s="166">
        <v>470.83999999999497</v>
      </c>
      <c r="S587" s="166">
        <v>9.718400000001207</v>
      </c>
      <c r="X587" s="166">
        <v>272.82999999999498</v>
      </c>
      <c r="Y587" s="169" t="e">
        <f t="shared" si="39"/>
        <v>#NAME?</v>
      </c>
      <c r="Z587" s="177">
        <v>272.82999999999498</v>
      </c>
    </row>
    <row r="588" spans="4:26">
      <c r="D588" s="166">
        <v>413.84000000000202</v>
      </c>
      <c r="E588" s="168" t="e">
        <f t="shared" si="37"/>
        <v>#NAME?</v>
      </c>
      <c r="F588" s="169">
        <v>413.84000000000202</v>
      </c>
      <c r="O588" s="166">
        <v>470.33999999999497</v>
      </c>
      <c r="P588" s="169" t="e">
        <f t="shared" si="38"/>
        <v>#NAME?</v>
      </c>
      <c r="Q588" s="177">
        <v>470.33999999999497</v>
      </c>
      <c r="R588" s="166">
        <v>470.84999999999502</v>
      </c>
      <c r="S588" s="166">
        <v>9.7160000000011948</v>
      </c>
      <c r="X588" s="166">
        <v>272.83999999999497</v>
      </c>
      <c r="Y588" s="169" t="e">
        <f t="shared" si="39"/>
        <v>#NAME?</v>
      </c>
      <c r="Z588" s="177">
        <v>272.83999999999497</v>
      </c>
    </row>
    <row r="589" spans="4:26">
      <c r="D589" s="166">
        <v>413.85000000000201</v>
      </c>
      <c r="E589" s="168" t="e">
        <f t="shared" si="37"/>
        <v>#NAME?</v>
      </c>
      <c r="F589" s="169">
        <v>413.85000000000201</v>
      </c>
      <c r="O589" s="166">
        <v>470.34999999999502</v>
      </c>
      <c r="P589" s="169" t="e">
        <f t="shared" si="38"/>
        <v>#NAME?</v>
      </c>
      <c r="Q589" s="177">
        <v>470.34999999999502</v>
      </c>
      <c r="R589" s="166">
        <v>470.85999999999501</v>
      </c>
      <c r="S589" s="166">
        <v>9.7136000000011968</v>
      </c>
      <c r="X589" s="166">
        <v>272.84999999999502</v>
      </c>
      <c r="Y589" s="169" t="e">
        <f t="shared" si="39"/>
        <v>#NAME?</v>
      </c>
      <c r="Z589" s="177">
        <v>272.84999999999502</v>
      </c>
    </row>
    <row r="590" spans="4:26">
      <c r="D590" s="166">
        <v>413.86000000000303</v>
      </c>
      <c r="E590" s="168" t="e">
        <f t="shared" si="37"/>
        <v>#NAME?</v>
      </c>
      <c r="F590" s="169">
        <v>413.86000000000303</v>
      </c>
      <c r="O590" s="166">
        <v>470.35999999999501</v>
      </c>
      <c r="P590" s="169" t="e">
        <f t="shared" si="38"/>
        <v>#NAME?</v>
      </c>
      <c r="Q590" s="177">
        <v>470.35999999999501</v>
      </c>
      <c r="R590" s="166">
        <v>470.869999999995</v>
      </c>
      <c r="S590" s="166">
        <v>9.7112000000011989</v>
      </c>
      <c r="X590" s="166">
        <v>272.85999999999501</v>
      </c>
      <c r="Y590" s="169" t="e">
        <f t="shared" si="39"/>
        <v>#NAME?</v>
      </c>
      <c r="Z590" s="177">
        <v>272.85999999999501</v>
      </c>
    </row>
    <row r="591" spans="4:26">
      <c r="D591" s="166">
        <v>413.87000000000302</v>
      </c>
      <c r="E591" s="168" t="e">
        <f t="shared" si="37"/>
        <v>#NAME?</v>
      </c>
      <c r="F591" s="169">
        <v>413.87000000000302</v>
      </c>
      <c r="O591" s="166">
        <v>470.369999999995</v>
      </c>
      <c r="P591" s="169" t="e">
        <f t="shared" si="38"/>
        <v>#NAME?</v>
      </c>
      <c r="Q591" s="177">
        <v>470.369999999995</v>
      </c>
      <c r="R591" s="166">
        <v>470.87999999999499</v>
      </c>
      <c r="S591" s="166">
        <v>9.7088000000012009</v>
      </c>
      <c r="X591" s="166">
        <v>272.869999999995</v>
      </c>
      <c r="Y591" s="169" t="e">
        <f t="shared" si="39"/>
        <v>#NAME?</v>
      </c>
      <c r="Z591" s="177">
        <v>272.869999999995</v>
      </c>
    </row>
    <row r="592" spans="4:26">
      <c r="D592" s="166">
        <v>413.88000000000301</v>
      </c>
      <c r="E592" s="168" t="e">
        <f t="shared" si="37"/>
        <v>#NAME?</v>
      </c>
      <c r="F592" s="169">
        <v>413.88000000000301</v>
      </c>
      <c r="O592" s="166">
        <v>470.37999999999499</v>
      </c>
      <c r="P592" s="169" t="e">
        <f t="shared" si="38"/>
        <v>#NAME?</v>
      </c>
      <c r="Q592" s="177">
        <v>470.37999999999499</v>
      </c>
      <c r="R592" s="166">
        <v>470.88999999999498</v>
      </c>
      <c r="S592" s="166">
        <v>9.706400000001203</v>
      </c>
      <c r="X592" s="166">
        <v>272.87999999999499</v>
      </c>
      <c r="Y592" s="169" t="e">
        <f t="shared" si="39"/>
        <v>#NAME?</v>
      </c>
      <c r="Z592" s="177">
        <v>272.87999999999499</v>
      </c>
    </row>
    <row r="593" spans="4:26">
      <c r="D593" s="166">
        <v>413.890000000003</v>
      </c>
      <c r="E593" s="168" t="e">
        <f t="shared" si="37"/>
        <v>#NAME?</v>
      </c>
      <c r="F593" s="169">
        <v>413.890000000003</v>
      </c>
      <c r="O593" s="166">
        <v>470.38999999999498</v>
      </c>
      <c r="P593" s="169" t="e">
        <f t="shared" si="38"/>
        <v>#NAME?</v>
      </c>
      <c r="Q593" s="177">
        <v>470.38999999999498</v>
      </c>
      <c r="R593" s="166">
        <v>470.89999999999498</v>
      </c>
      <c r="S593" s="166">
        <v>9.704000000001205</v>
      </c>
      <c r="X593" s="166">
        <v>272.88999999999498</v>
      </c>
      <c r="Y593" s="169" t="e">
        <f t="shared" si="39"/>
        <v>#NAME?</v>
      </c>
      <c r="Z593" s="177">
        <v>272.88999999999498</v>
      </c>
    </row>
    <row r="594" spans="4:26">
      <c r="D594" s="166">
        <v>413.90000000000299</v>
      </c>
      <c r="E594" s="168" t="e">
        <f t="shared" si="37"/>
        <v>#NAME?</v>
      </c>
      <c r="F594" s="169">
        <v>413.90000000000299</v>
      </c>
      <c r="O594" s="166">
        <v>470.39999999999498</v>
      </c>
      <c r="P594" s="169" t="e">
        <f t="shared" si="38"/>
        <v>#NAME?</v>
      </c>
      <c r="Q594" s="177">
        <v>470.39999999999498</v>
      </c>
      <c r="R594" s="166">
        <v>470.90999999999502</v>
      </c>
      <c r="S594" s="166">
        <v>9.7016000000011946</v>
      </c>
      <c r="X594" s="166">
        <v>272.89999999999498</v>
      </c>
      <c r="Y594" s="169" t="e">
        <f t="shared" si="39"/>
        <v>#NAME?</v>
      </c>
      <c r="Z594" s="177">
        <v>272.89999999999498</v>
      </c>
    </row>
    <row r="595" spans="4:26">
      <c r="D595" s="166">
        <v>413.91000000000298</v>
      </c>
      <c r="E595" s="168" t="e">
        <f t="shared" si="37"/>
        <v>#NAME?</v>
      </c>
      <c r="F595" s="169">
        <v>413.91000000000298</v>
      </c>
      <c r="O595" s="166">
        <v>470.40999999999502</v>
      </c>
      <c r="P595" s="169" t="e">
        <f t="shared" si="38"/>
        <v>#NAME?</v>
      </c>
      <c r="Q595" s="177">
        <v>470.40999999999502</v>
      </c>
      <c r="R595" s="166">
        <v>470.91999999999501</v>
      </c>
      <c r="S595" s="166">
        <v>9.6992000000011966</v>
      </c>
      <c r="X595" s="166">
        <v>272.90999999999502</v>
      </c>
      <c r="Y595" s="169" t="e">
        <f t="shared" si="39"/>
        <v>#NAME?</v>
      </c>
      <c r="Z595" s="177">
        <v>272.90999999999502</v>
      </c>
    </row>
    <row r="596" spans="4:26">
      <c r="D596" s="166">
        <v>413.92000000000297</v>
      </c>
      <c r="E596" s="168" t="e">
        <f t="shared" si="37"/>
        <v>#NAME?</v>
      </c>
      <c r="F596" s="169">
        <v>413.92000000000297</v>
      </c>
      <c r="O596" s="166">
        <v>470.41999999999501</v>
      </c>
      <c r="P596" s="169" t="e">
        <f t="shared" si="38"/>
        <v>#NAME?</v>
      </c>
      <c r="Q596" s="177">
        <v>470.41999999999501</v>
      </c>
      <c r="R596" s="166">
        <v>470.929999999995</v>
      </c>
      <c r="S596" s="166">
        <v>9.6968000000011987</v>
      </c>
      <c r="X596" s="166">
        <v>272.91999999999501</v>
      </c>
      <c r="Y596" s="169" t="e">
        <f t="shared" si="39"/>
        <v>#NAME?</v>
      </c>
      <c r="Z596" s="177">
        <v>272.91999999999501</v>
      </c>
    </row>
    <row r="597" spans="4:26">
      <c r="D597" s="166">
        <v>413.93000000000302</v>
      </c>
      <c r="E597" s="168" t="e">
        <f t="shared" si="37"/>
        <v>#NAME?</v>
      </c>
      <c r="F597" s="169">
        <v>413.93000000000302</v>
      </c>
      <c r="O597" s="166">
        <v>470.429999999995</v>
      </c>
      <c r="P597" s="169" t="e">
        <f t="shared" si="38"/>
        <v>#NAME?</v>
      </c>
      <c r="Q597" s="177">
        <v>470.429999999995</v>
      </c>
      <c r="R597" s="166">
        <v>470.939999999995</v>
      </c>
      <c r="S597" s="166">
        <v>9.6944000000012007</v>
      </c>
      <c r="X597" s="166">
        <v>272.929999999995</v>
      </c>
      <c r="Y597" s="169" t="e">
        <f t="shared" si="39"/>
        <v>#NAME?</v>
      </c>
      <c r="Z597" s="177">
        <v>272.929999999995</v>
      </c>
    </row>
    <row r="598" spans="4:26">
      <c r="D598" s="166">
        <v>413.94000000000301</v>
      </c>
      <c r="E598" s="168" t="e">
        <f t="shared" si="37"/>
        <v>#NAME?</v>
      </c>
      <c r="F598" s="169">
        <v>413.94000000000301</v>
      </c>
      <c r="O598" s="166">
        <v>470.439999999995</v>
      </c>
      <c r="P598" s="169" t="e">
        <f t="shared" si="38"/>
        <v>#NAME?</v>
      </c>
      <c r="Q598" s="177">
        <v>470.439999999995</v>
      </c>
      <c r="R598" s="166">
        <v>470.94999999999499</v>
      </c>
      <c r="S598" s="166">
        <v>9.6920000000012028</v>
      </c>
      <c r="X598" s="166">
        <v>272.939999999995</v>
      </c>
      <c r="Y598" s="169" t="e">
        <f t="shared" si="39"/>
        <v>#NAME?</v>
      </c>
      <c r="Z598" s="177">
        <v>272.939999999995</v>
      </c>
    </row>
    <row r="599" spans="4:26">
      <c r="D599" s="166">
        <v>413.950000000003</v>
      </c>
      <c r="E599" s="168" t="e">
        <f t="shared" si="37"/>
        <v>#NAME?</v>
      </c>
      <c r="F599" s="169">
        <v>413.950000000003</v>
      </c>
      <c r="O599" s="166">
        <v>470.44999999999499</v>
      </c>
      <c r="P599" s="169" t="e">
        <f t="shared" si="38"/>
        <v>#NAME?</v>
      </c>
      <c r="Q599" s="177">
        <v>470.44999999999499</v>
      </c>
      <c r="R599" s="166">
        <v>470.95999999999498</v>
      </c>
      <c r="S599" s="166">
        <v>9.6896000000012048</v>
      </c>
      <c r="X599" s="166">
        <v>272.94999999999499</v>
      </c>
      <c r="Y599" s="169" t="e">
        <f t="shared" si="39"/>
        <v>#NAME?</v>
      </c>
      <c r="Z599" s="177">
        <v>272.94999999999499</v>
      </c>
    </row>
    <row r="600" spans="4:26">
      <c r="D600" s="166">
        <v>413.96000000000299</v>
      </c>
      <c r="E600" s="168" t="e">
        <f t="shared" si="37"/>
        <v>#NAME?</v>
      </c>
      <c r="F600" s="169">
        <v>413.96000000000299</v>
      </c>
      <c r="O600" s="166">
        <v>470.45999999999498</v>
      </c>
      <c r="P600" s="169" t="e">
        <f t="shared" si="38"/>
        <v>#NAME?</v>
      </c>
      <c r="Q600" s="177">
        <v>470.45999999999498</v>
      </c>
      <c r="R600" s="166">
        <v>470.96999999999503</v>
      </c>
      <c r="S600" s="166">
        <v>9.6872000000011944</v>
      </c>
      <c r="X600" s="166">
        <v>272.95999999999498</v>
      </c>
      <c r="Y600" s="169" t="e">
        <f t="shared" si="39"/>
        <v>#NAME?</v>
      </c>
      <c r="Z600" s="177">
        <v>272.95999999999498</v>
      </c>
    </row>
    <row r="601" spans="4:26">
      <c r="D601" s="166">
        <v>413.97000000000298</v>
      </c>
      <c r="E601" s="168" t="e">
        <f t="shared" si="37"/>
        <v>#NAME?</v>
      </c>
      <c r="F601" s="169">
        <v>413.97000000000298</v>
      </c>
      <c r="O601" s="166">
        <v>470.46999999999503</v>
      </c>
      <c r="P601" s="169" t="e">
        <f t="shared" si="38"/>
        <v>#NAME?</v>
      </c>
      <c r="Q601" s="177">
        <v>470.46999999999503</v>
      </c>
      <c r="R601" s="166">
        <v>470.97999999999502</v>
      </c>
      <c r="S601" s="166">
        <v>9.6848000000011965</v>
      </c>
      <c r="X601" s="166">
        <v>272.96999999999503</v>
      </c>
      <c r="Y601" s="169" t="e">
        <f t="shared" si="39"/>
        <v>#NAME?</v>
      </c>
      <c r="Z601" s="177">
        <v>272.96999999999503</v>
      </c>
    </row>
    <row r="602" spans="4:26">
      <c r="D602" s="166">
        <v>413.98000000000297</v>
      </c>
      <c r="E602" s="168" t="e">
        <f t="shared" si="37"/>
        <v>#NAME?</v>
      </c>
      <c r="F602" s="169">
        <v>413.98000000000297</v>
      </c>
      <c r="O602" s="166">
        <v>470.47999999999502</v>
      </c>
      <c r="P602" s="169" t="e">
        <f t="shared" si="38"/>
        <v>#NAME?</v>
      </c>
      <c r="Q602" s="177">
        <v>470.47999999999502</v>
      </c>
      <c r="R602" s="166">
        <v>470.98999999999501</v>
      </c>
      <c r="S602" s="166">
        <v>9.6824000000011985</v>
      </c>
      <c r="X602" s="166">
        <v>272.97999999999502</v>
      </c>
      <c r="Y602" s="169" t="e">
        <f t="shared" si="39"/>
        <v>#NAME?</v>
      </c>
      <c r="Z602" s="177">
        <v>272.97999999999502</v>
      </c>
    </row>
    <row r="603" spans="4:26">
      <c r="D603" s="166">
        <v>413.99000000000302</v>
      </c>
      <c r="E603" s="168" t="e">
        <f t="shared" si="37"/>
        <v>#NAME?</v>
      </c>
      <c r="F603" s="169">
        <v>413.99000000000302</v>
      </c>
      <c r="O603" s="166">
        <v>470.48999999999501</v>
      </c>
      <c r="P603" s="169" t="e">
        <f t="shared" si="38"/>
        <v>#NAME?</v>
      </c>
      <c r="Q603" s="177">
        <v>470.48999999999501</v>
      </c>
      <c r="R603" s="166">
        <v>470.999999999995</v>
      </c>
      <c r="S603" s="166">
        <v>9.6800000000012005</v>
      </c>
      <c r="X603" s="166">
        <v>272.98999999999501</v>
      </c>
      <c r="Y603" s="169" t="e">
        <f t="shared" si="39"/>
        <v>#NAME?</v>
      </c>
      <c r="Z603" s="177">
        <v>272.98999999999501</v>
      </c>
    </row>
    <row r="604" spans="4:26">
      <c r="D604" s="166">
        <v>414.00000000000301</v>
      </c>
      <c r="E604" s="168" t="e">
        <f t="shared" si="37"/>
        <v>#NAME?</v>
      </c>
      <c r="F604" s="169">
        <v>414.00000000000301</v>
      </c>
      <c r="O604" s="166">
        <v>470.499999999995</v>
      </c>
      <c r="P604" s="169" t="e">
        <f t="shared" si="38"/>
        <v>#NAME?</v>
      </c>
      <c r="Q604" s="177">
        <v>470.499999999995</v>
      </c>
      <c r="R604" s="166">
        <v>471.00999999999499</v>
      </c>
      <c r="S604" s="166">
        <v>9.6778000000011026</v>
      </c>
      <c r="X604" s="166">
        <v>272.999999999995</v>
      </c>
      <c r="Y604" s="169" t="e">
        <f t="shared" si="39"/>
        <v>#NAME?</v>
      </c>
      <c r="Z604" s="177">
        <v>272.999999999995</v>
      </c>
    </row>
    <row r="605" spans="4:26">
      <c r="D605" s="166">
        <v>414.010000000003</v>
      </c>
      <c r="E605" s="168" t="e">
        <f t="shared" si="37"/>
        <v>#NAME?</v>
      </c>
      <c r="F605" s="169">
        <v>414.010000000003</v>
      </c>
      <c r="O605" s="166">
        <v>470.50999999999499</v>
      </c>
      <c r="P605" s="169" t="e">
        <f t="shared" si="38"/>
        <v>#NAME?</v>
      </c>
      <c r="Q605" s="177">
        <v>470.50999999999499</v>
      </c>
      <c r="R605" s="166">
        <v>471.01999999999498</v>
      </c>
      <c r="S605" s="166">
        <v>9.6756000000011042</v>
      </c>
      <c r="X605" s="166">
        <v>273.00999999999499</v>
      </c>
      <c r="Y605" s="169" t="e">
        <f t="shared" si="39"/>
        <v>#NAME?</v>
      </c>
      <c r="Z605" s="177">
        <v>273.00999999999499</v>
      </c>
    </row>
    <row r="606" spans="4:26">
      <c r="D606" s="166">
        <v>414.02000000000299</v>
      </c>
      <c r="E606" s="168" t="e">
        <f t="shared" si="37"/>
        <v>#NAME?</v>
      </c>
      <c r="F606" s="169">
        <v>414.02000000000299</v>
      </c>
      <c r="O606" s="166">
        <v>470.51999999999498</v>
      </c>
      <c r="P606" s="169" t="e">
        <f t="shared" si="38"/>
        <v>#NAME?</v>
      </c>
      <c r="Q606" s="177">
        <v>470.51999999999498</v>
      </c>
      <c r="R606" s="166">
        <v>471.02999999999503</v>
      </c>
      <c r="S606" s="166">
        <v>9.6734000000010933</v>
      </c>
      <c r="X606" s="166">
        <v>273.01999999999498</v>
      </c>
      <c r="Y606" s="169" t="e">
        <f t="shared" si="39"/>
        <v>#NAME?</v>
      </c>
      <c r="Z606" s="177">
        <v>273.01999999999498</v>
      </c>
    </row>
    <row r="607" spans="4:26">
      <c r="D607" s="166">
        <v>414.03000000000299</v>
      </c>
      <c r="E607" s="168" t="e">
        <f t="shared" si="37"/>
        <v>#NAME?</v>
      </c>
      <c r="F607" s="169">
        <v>414.03000000000299</v>
      </c>
      <c r="O607" s="166">
        <v>470.52999999999503</v>
      </c>
      <c r="P607" s="169" t="e">
        <f t="shared" si="38"/>
        <v>#NAME?</v>
      </c>
      <c r="Q607" s="177">
        <v>470.52999999999503</v>
      </c>
      <c r="R607" s="166">
        <v>471.03999999999502</v>
      </c>
      <c r="S607" s="166">
        <v>9.6712000000010949</v>
      </c>
      <c r="X607" s="166">
        <v>273.02999999999503</v>
      </c>
      <c r="Y607" s="169" t="e">
        <f t="shared" si="39"/>
        <v>#NAME?</v>
      </c>
      <c r="Z607" s="177">
        <v>273.02999999999503</v>
      </c>
    </row>
    <row r="608" spans="4:26">
      <c r="D608" s="166">
        <v>414.04000000000298</v>
      </c>
      <c r="E608" s="168" t="e">
        <f t="shared" si="37"/>
        <v>#NAME?</v>
      </c>
      <c r="F608" s="169">
        <v>414.04000000000298</v>
      </c>
      <c r="O608" s="166">
        <v>470.53999999999502</v>
      </c>
      <c r="P608" s="169" t="e">
        <f t="shared" si="38"/>
        <v>#NAME?</v>
      </c>
      <c r="Q608" s="177">
        <v>470.53999999999502</v>
      </c>
      <c r="R608" s="166">
        <v>471.04999999999399</v>
      </c>
      <c r="S608" s="166">
        <v>9.6690000000013221</v>
      </c>
      <c r="X608" s="166">
        <v>273.03999999999502</v>
      </c>
      <c r="Y608" s="169" t="e">
        <f t="shared" si="39"/>
        <v>#NAME?</v>
      </c>
      <c r="Z608" s="177">
        <v>273.03999999999502</v>
      </c>
    </row>
    <row r="609" spans="4:26">
      <c r="D609" s="166">
        <v>414.05000000000302</v>
      </c>
      <c r="E609" s="168" t="e">
        <f t="shared" si="37"/>
        <v>#NAME?</v>
      </c>
      <c r="F609" s="169">
        <v>414.05000000000302</v>
      </c>
      <c r="O609" s="166">
        <v>470.54999999999399</v>
      </c>
      <c r="P609" s="169" t="e">
        <f t="shared" si="38"/>
        <v>#NAME?</v>
      </c>
      <c r="Q609" s="177">
        <v>470.54999999999399</v>
      </c>
      <c r="R609" s="166">
        <v>471.05999999999398</v>
      </c>
      <c r="S609" s="166">
        <v>9.6668000000013254</v>
      </c>
      <c r="X609" s="166">
        <v>273.04999999999399</v>
      </c>
      <c r="Y609" s="169" t="e">
        <f t="shared" si="39"/>
        <v>#NAME?</v>
      </c>
      <c r="Z609" s="177">
        <v>273.04999999999399</v>
      </c>
    </row>
    <row r="610" spans="4:26">
      <c r="D610" s="166">
        <v>414.06000000000301</v>
      </c>
      <c r="E610" s="168" t="e">
        <f t="shared" si="37"/>
        <v>#NAME?</v>
      </c>
      <c r="F610" s="169">
        <v>414.06000000000301</v>
      </c>
      <c r="O610" s="166">
        <v>470.55999999999398</v>
      </c>
      <c r="P610" s="169" t="e">
        <f t="shared" si="38"/>
        <v>#NAME?</v>
      </c>
      <c r="Q610" s="177">
        <v>470.55999999999398</v>
      </c>
      <c r="R610" s="166">
        <v>471.06999999999402</v>
      </c>
      <c r="S610" s="166">
        <v>9.6646000000013146</v>
      </c>
      <c r="X610" s="166">
        <v>273.05999999999398</v>
      </c>
      <c r="Y610" s="169" t="e">
        <f t="shared" si="39"/>
        <v>#NAME?</v>
      </c>
      <c r="Z610" s="177">
        <v>273.05999999999398</v>
      </c>
    </row>
    <row r="611" spans="4:26">
      <c r="D611" s="166">
        <v>414.07000000000301</v>
      </c>
      <c r="E611" s="168" t="e">
        <f t="shared" si="37"/>
        <v>#NAME?</v>
      </c>
      <c r="F611" s="169">
        <v>414.07000000000301</v>
      </c>
      <c r="O611" s="166">
        <v>470.56999999999402</v>
      </c>
      <c r="P611" s="169" t="e">
        <f t="shared" si="38"/>
        <v>#NAME?</v>
      </c>
      <c r="Q611" s="177">
        <v>470.56999999999402</v>
      </c>
      <c r="R611" s="166">
        <v>471.07999999999402</v>
      </c>
      <c r="S611" s="166">
        <v>9.6624000000013162</v>
      </c>
      <c r="X611" s="166">
        <v>273.06999999999402</v>
      </c>
      <c r="Y611" s="169" t="e">
        <f t="shared" si="39"/>
        <v>#NAME?</v>
      </c>
      <c r="Z611" s="177">
        <v>273.06999999999402</v>
      </c>
    </row>
    <row r="612" spans="4:26">
      <c r="D612" s="166">
        <v>414.080000000003</v>
      </c>
      <c r="E612" s="168" t="e">
        <f t="shared" si="37"/>
        <v>#NAME?</v>
      </c>
      <c r="F612" s="169">
        <v>414.080000000003</v>
      </c>
      <c r="O612" s="166">
        <v>470.57999999999402</v>
      </c>
      <c r="P612" s="169" t="e">
        <f t="shared" si="38"/>
        <v>#NAME?</v>
      </c>
      <c r="Q612" s="177">
        <v>470.57999999999402</v>
      </c>
      <c r="R612" s="166">
        <v>471.08999999999401</v>
      </c>
      <c r="S612" s="166">
        <v>9.6602000000013177</v>
      </c>
      <c r="X612" s="166">
        <v>273.07999999999402</v>
      </c>
      <c r="Y612" s="169" t="e">
        <f t="shared" si="39"/>
        <v>#NAME?</v>
      </c>
      <c r="Z612" s="177">
        <v>273.07999999999402</v>
      </c>
    </row>
    <row r="613" spans="4:26">
      <c r="D613" s="166">
        <v>414.09000000000299</v>
      </c>
      <c r="E613" s="168" t="e">
        <f t="shared" si="37"/>
        <v>#NAME?</v>
      </c>
      <c r="F613" s="169">
        <v>414.09000000000299</v>
      </c>
      <c r="O613" s="166">
        <v>470.58999999999401</v>
      </c>
      <c r="P613" s="169" t="e">
        <f t="shared" si="38"/>
        <v>#NAME?</v>
      </c>
      <c r="Q613" s="177">
        <v>470.58999999999401</v>
      </c>
      <c r="R613" s="166">
        <v>471.099999999994</v>
      </c>
      <c r="S613" s="166">
        <v>9.6580000000013211</v>
      </c>
      <c r="X613" s="166">
        <v>273.08999999999401</v>
      </c>
      <c r="Y613" s="169" t="e">
        <f t="shared" si="39"/>
        <v>#NAME?</v>
      </c>
      <c r="Z613" s="177">
        <v>273.08999999999401</v>
      </c>
    </row>
    <row r="614" spans="4:26">
      <c r="D614" s="166">
        <v>414.10000000000298</v>
      </c>
      <c r="E614" s="168" t="e">
        <f t="shared" si="37"/>
        <v>#NAME?</v>
      </c>
      <c r="F614" s="169">
        <v>414.10000000000298</v>
      </c>
      <c r="O614" s="166">
        <v>470.599999999994</v>
      </c>
      <c r="P614" s="169" t="e">
        <f t="shared" si="38"/>
        <v>#NAME?</v>
      </c>
      <c r="Q614" s="177">
        <v>470.599999999994</v>
      </c>
      <c r="R614" s="166">
        <v>471.10999999999399</v>
      </c>
      <c r="S614" s="166">
        <v>9.6558000000013227</v>
      </c>
      <c r="X614" s="166">
        <v>273.099999999994</v>
      </c>
      <c r="Y614" s="169" t="e">
        <f t="shared" si="39"/>
        <v>#NAME?</v>
      </c>
      <c r="Z614" s="177">
        <v>273.099999999994</v>
      </c>
    </row>
    <row r="615" spans="4:26">
      <c r="D615" s="166">
        <v>414.11000000000303</v>
      </c>
      <c r="E615" s="168" t="e">
        <f t="shared" si="37"/>
        <v>#NAME?</v>
      </c>
      <c r="F615" s="169">
        <v>414.11000000000303</v>
      </c>
      <c r="O615" s="166">
        <v>470.60999999999399</v>
      </c>
      <c r="P615" s="169" t="e">
        <f t="shared" si="38"/>
        <v>#NAME?</v>
      </c>
      <c r="Q615" s="177">
        <v>470.60999999999399</v>
      </c>
      <c r="R615" s="166">
        <v>471.11999999999398</v>
      </c>
      <c r="S615" s="166">
        <v>9.6536000000013242</v>
      </c>
      <c r="X615" s="166">
        <v>273.10999999999399</v>
      </c>
      <c r="Y615" s="169" t="e">
        <f t="shared" si="39"/>
        <v>#NAME?</v>
      </c>
      <c r="Z615" s="177">
        <v>273.10999999999399</v>
      </c>
    </row>
    <row r="616" spans="4:26">
      <c r="D616" s="166">
        <v>414.12000000000302</v>
      </c>
      <c r="E616" s="168" t="e">
        <f t="shared" si="37"/>
        <v>#NAME?</v>
      </c>
      <c r="F616" s="169">
        <v>414.12000000000302</v>
      </c>
      <c r="O616" s="166">
        <v>470.61999999999398</v>
      </c>
      <c r="P616" s="169" t="e">
        <f t="shared" si="38"/>
        <v>#NAME?</v>
      </c>
      <c r="Q616" s="177">
        <v>470.61999999999398</v>
      </c>
      <c r="R616" s="166">
        <v>471.12999999999403</v>
      </c>
      <c r="S616" s="166">
        <v>9.6514000000013134</v>
      </c>
      <c r="X616" s="166">
        <v>273.11999999999398</v>
      </c>
      <c r="Y616" s="169" t="e">
        <f t="shared" si="39"/>
        <v>#NAME?</v>
      </c>
      <c r="Z616" s="177">
        <v>273.11999999999398</v>
      </c>
    </row>
    <row r="617" spans="4:26">
      <c r="D617" s="166">
        <v>414.13000000000301</v>
      </c>
      <c r="E617" s="168" t="e">
        <f t="shared" si="37"/>
        <v>#NAME?</v>
      </c>
      <c r="F617" s="169">
        <v>414.13000000000301</v>
      </c>
      <c r="O617" s="166">
        <v>470.62999999999403</v>
      </c>
      <c r="P617" s="169" t="e">
        <f t="shared" si="38"/>
        <v>#NAME?</v>
      </c>
      <c r="Q617" s="177">
        <v>470.62999999999403</v>
      </c>
      <c r="R617" s="166">
        <v>471.13999999999402</v>
      </c>
      <c r="S617" s="166">
        <v>9.6492000000013167</v>
      </c>
      <c r="X617" s="166">
        <v>273.12999999999403</v>
      </c>
      <c r="Y617" s="169" t="e">
        <f t="shared" si="39"/>
        <v>#NAME?</v>
      </c>
      <c r="Z617" s="177">
        <v>273.12999999999403</v>
      </c>
    </row>
    <row r="618" spans="4:26">
      <c r="D618" s="166">
        <v>414.140000000003</v>
      </c>
      <c r="E618" s="168" t="e">
        <f t="shared" si="37"/>
        <v>#NAME?</v>
      </c>
      <c r="F618" s="169">
        <v>414.140000000003</v>
      </c>
      <c r="O618" s="166">
        <v>470.63999999999402</v>
      </c>
      <c r="P618" s="169" t="e">
        <f t="shared" si="38"/>
        <v>#NAME?</v>
      </c>
      <c r="Q618" s="177">
        <v>470.63999999999402</v>
      </c>
      <c r="R618" s="166">
        <v>471.14999999999401</v>
      </c>
      <c r="S618" s="166">
        <v>9.6470000000013183</v>
      </c>
      <c r="X618" s="166">
        <v>273.13999999999402</v>
      </c>
      <c r="Y618" s="169" t="e">
        <f t="shared" si="39"/>
        <v>#NAME?</v>
      </c>
      <c r="Z618" s="177">
        <v>273.13999999999402</v>
      </c>
    </row>
    <row r="619" spans="4:26">
      <c r="D619" s="166">
        <v>414.15000000000299</v>
      </c>
      <c r="E619" s="168" t="e">
        <f t="shared" si="37"/>
        <v>#NAME?</v>
      </c>
      <c r="F619" s="169">
        <v>414.15000000000299</v>
      </c>
      <c r="O619" s="166">
        <v>470.64999999999401</v>
      </c>
      <c r="P619" s="169" t="e">
        <f t="shared" si="38"/>
        <v>#NAME?</v>
      </c>
      <c r="Q619" s="177">
        <v>470.64999999999401</v>
      </c>
      <c r="R619" s="166">
        <v>471.159999999994</v>
      </c>
      <c r="S619" s="166">
        <v>9.6448000000013199</v>
      </c>
      <c r="X619" s="166">
        <v>273.14999999999401</v>
      </c>
      <c r="Y619" s="169" t="e">
        <f t="shared" si="39"/>
        <v>#NAME?</v>
      </c>
      <c r="Z619" s="177">
        <v>273.14999999999401</v>
      </c>
    </row>
    <row r="620" spans="4:26">
      <c r="D620" s="166">
        <v>414.16000000000298</v>
      </c>
      <c r="E620" s="168" t="e">
        <f t="shared" si="37"/>
        <v>#NAME?</v>
      </c>
      <c r="F620" s="169">
        <v>414.16000000000298</v>
      </c>
      <c r="O620" s="166">
        <v>470.659999999994</v>
      </c>
      <c r="P620" s="169" t="e">
        <f t="shared" si="38"/>
        <v>#NAME?</v>
      </c>
      <c r="Q620" s="177">
        <v>470.659999999994</v>
      </c>
      <c r="R620" s="166">
        <v>471.16999999999399</v>
      </c>
      <c r="S620" s="166">
        <v>9.6426000000013214</v>
      </c>
      <c r="X620" s="166">
        <v>273.159999999994</v>
      </c>
      <c r="Y620" s="169" t="e">
        <f t="shared" si="39"/>
        <v>#NAME?</v>
      </c>
      <c r="Z620" s="177">
        <v>273.159999999994</v>
      </c>
    </row>
    <row r="621" spans="4:26">
      <c r="D621" s="166">
        <v>414.17000000000297</v>
      </c>
      <c r="E621" s="168" t="e">
        <f t="shared" si="37"/>
        <v>#NAME?</v>
      </c>
      <c r="F621" s="169">
        <v>414.17000000000297</v>
      </c>
      <c r="O621" s="166">
        <v>470.66999999999399</v>
      </c>
      <c r="P621" s="169" t="e">
        <f t="shared" si="38"/>
        <v>#NAME?</v>
      </c>
      <c r="Q621" s="177">
        <v>470.66999999999399</v>
      </c>
      <c r="R621" s="166">
        <v>471.17999999999398</v>
      </c>
      <c r="S621" s="166">
        <v>9.6404000000013248</v>
      </c>
      <c r="X621" s="166">
        <v>273.16999999999399</v>
      </c>
      <c r="Y621" s="169" t="e">
        <f t="shared" si="39"/>
        <v>#NAME?</v>
      </c>
      <c r="Z621" s="177">
        <v>273.16999999999399</v>
      </c>
    </row>
    <row r="622" spans="4:26">
      <c r="D622" s="166">
        <v>414.18000000000302</v>
      </c>
      <c r="E622" s="168" t="e">
        <f t="shared" si="37"/>
        <v>#NAME?</v>
      </c>
      <c r="F622" s="169">
        <v>414.18000000000302</v>
      </c>
      <c r="O622" s="166">
        <v>470.67999999999398</v>
      </c>
      <c r="P622" s="169" t="e">
        <f t="shared" si="38"/>
        <v>#NAME?</v>
      </c>
      <c r="Q622" s="177">
        <v>470.67999999999398</v>
      </c>
      <c r="R622" s="166">
        <v>471.18999999999397</v>
      </c>
      <c r="S622" s="166">
        <v>9.6382000000013264</v>
      </c>
      <c r="X622" s="166">
        <v>273.17999999999398</v>
      </c>
      <c r="Y622" s="169" t="e">
        <f t="shared" si="39"/>
        <v>#NAME?</v>
      </c>
      <c r="Z622" s="177">
        <v>273.17999999999398</v>
      </c>
    </row>
    <row r="623" spans="4:26">
      <c r="D623" s="166">
        <v>414.19000000000301</v>
      </c>
      <c r="E623" s="168" t="e">
        <f t="shared" si="37"/>
        <v>#NAME?</v>
      </c>
      <c r="F623" s="169">
        <v>414.19000000000301</v>
      </c>
      <c r="O623" s="166">
        <v>470.68999999999397</v>
      </c>
      <c r="P623" s="169" t="e">
        <f t="shared" si="38"/>
        <v>#NAME?</v>
      </c>
      <c r="Q623" s="177">
        <v>470.68999999999397</v>
      </c>
      <c r="R623" s="166">
        <v>471.19999999999402</v>
      </c>
      <c r="S623" s="166">
        <v>9.6360000000013155</v>
      </c>
      <c r="X623" s="166">
        <v>273.18999999999397</v>
      </c>
      <c r="Y623" s="169" t="e">
        <f t="shared" si="39"/>
        <v>#NAME?</v>
      </c>
      <c r="Z623" s="177">
        <v>273.18999999999397</v>
      </c>
    </row>
    <row r="624" spans="4:26">
      <c r="D624" s="166">
        <v>414.200000000003</v>
      </c>
      <c r="E624" s="168" t="e">
        <f t="shared" si="37"/>
        <v>#NAME?</v>
      </c>
      <c r="F624" s="169">
        <v>414.200000000003</v>
      </c>
      <c r="O624" s="166">
        <v>470.69999999999402</v>
      </c>
      <c r="P624" s="169" t="e">
        <f t="shared" si="38"/>
        <v>#NAME?</v>
      </c>
      <c r="Q624" s="177">
        <v>470.69999999999402</v>
      </c>
      <c r="R624" s="166">
        <v>471.20999999999401</v>
      </c>
      <c r="S624" s="166">
        <v>9.6338000000013171</v>
      </c>
      <c r="X624" s="166">
        <v>273.19999999999402</v>
      </c>
      <c r="Y624" s="169" t="e">
        <f t="shared" si="39"/>
        <v>#NAME?</v>
      </c>
      <c r="Z624" s="177">
        <v>273.19999999999402</v>
      </c>
    </row>
    <row r="625" spans="4:26">
      <c r="D625" s="166">
        <v>414.21000000000299</v>
      </c>
      <c r="E625" s="168" t="e">
        <f t="shared" si="37"/>
        <v>#NAME?</v>
      </c>
      <c r="F625" s="169">
        <v>414.21000000000299</v>
      </c>
      <c r="O625" s="166">
        <v>470.70999999999401</v>
      </c>
      <c r="P625" s="169" t="e">
        <f t="shared" si="38"/>
        <v>#NAME?</v>
      </c>
      <c r="Q625" s="177">
        <v>470.70999999999401</v>
      </c>
      <c r="R625" s="166">
        <v>471.219999999994</v>
      </c>
      <c r="S625" s="166">
        <v>9.6316000000013204</v>
      </c>
      <c r="X625" s="166">
        <v>273.20999999999401</v>
      </c>
      <c r="Y625" s="169" t="e">
        <f t="shared" si="39"/>
        <v>#NAME?</v>
      </c>
      <c r="Z625" s="177">
        <v>273.20999999999401</v>
      </c>
    </row>
    <row r="626" spans="4:26">
      <c r="D626" s="166">
        <v>414.22000000000298</v>
      </c>
      <c r="E626" s="168" t="e">
        <f t="shared" si="37"/>
        <v>#NAME?</v>
      </c>
      <c r="F626" s="169">
        <v>414.22000000000298</v>
      </c>
      <c r="O626" s="166">
        <v>470.719999999994</v>
      </c>
      <c r="P626" s="169" t="e">
        <f t="shared" si="38"/>
        <v>#NAME?</v>
      </c>
      <c r="Q626" s="177">
        <v>470.719999999994</v>
      </c>
      <c r="R626" s="166">
        <v>471.22999999999399</v>
      </c>
      <c r="S626" s="166">
        <v>9.629400000001322</v>
      </c>
      <c r="X626" s="166">
        <v>273.219999999994</v>
      </c>
      <c r="Y626" s="169" t="e">
        <f t="shared" si="39"/>
        <v>#NAME?</v>
      </c>
      <c r="Z626" s="177">
        <v>273.219999999994</v>
      </c>
    </row>
    <row r="627" spans="4:26">
      <c r="D627" s="166">
        <v>414.23000000000297</v>
      </c>
      <c r="E627" s="168" t="e">
        <f t="shared" si="37"/>
        <v>#NAME?</v>
      </c>
      <c r="F627" s="169">
        <v>414.23000000000297</v>
      </c>
      <c r="O627" s="166">
        <v>470.72999999999399</v>
      </c>
      <c r="P627" s="169" t="e">
        <f t="shared" si="38"/>
        <v>#NAME?</v>
      </c>
      <c r="Q627" s="177">
        <v>470.72999999999399</v>
      </c>
      <c r="R627" s="166">
        <v>471.23999999999398</v>
      </c>
      <c r="S627" s="166">
        <v>9.6272000000013236</v>
      </c>
      <c r="X627" s="166">
        <v>273.22999999999399</v>
      </c>
      <c r="Y627" s="169" t="e">
        <f t="shared" si="39"/>
        <v>#NAME?</v>
      </c>
      <c r="Z627" s="177">
        <v>273.22999999999399</v>
      </c>
    </row>
    <row r="628" spans="4:26">
      <c r="D628" s="166">
        <v>414.24000000000302</v>
      </c>
      <c r="E628" s="168" t="e">
        <f t="shared" si="37"/>
        <v>#NAME?</v>
      </c>
      <c r="F628" s="169">
        <v>414.24000000000302</v>
      </c>
      <c r="O628" s="166">
        <v>470.73999999999398</v>
      </c>
      <c r="P628" s="169" t="e">
        <f t="shared" si="38"/>
        <v>#NAME?</v>
      </c>
      <c r="Q628" s="177">
        <v>470.73999999999398</v>
      </c>
      <c r="R628" s="166">
        <v>471.24999999999397</v>
      </c>
      <c r="S628" s="166">
        <v>9.6250000000013252</v>
      </c>
      <c r="X628" s="166">
        <v>273.23999999999398</v>
      </c>
      <c r="Y628" s="169" t="e">
        <f t="shared" si="39"/>
        <v>#NAME?</v>
      </c>
      <c r="Z628" s="177">
        <v>273.23999999999398</v>
      </c>
    </row>
    <row r="629" spans="4:26">
      <c r="D629" s="166">
        <v>414.25000000000301</v>
      </c>
      <c r="E629" s="168" t="e">
        <f t="shared" si="37"/>
        <v>#NAME?</v>
      </c>
      <c r="F629" s="169">
        <v>414.25000000000301</v>
      </c>
      <c r="O629" s="166">
        <v>470.74999999999397</v>
      </c>
      <c r="P629" s="169" t="e">
        <f t="shared" si="38"/>
        <v>#NAME?</v>
      </c>
      <c r="Q629" s="177">
        <v>470.74999999999397</v>
      </c>
      <c r="R629" s="166">
        <v>471.25999999999402</v>
      </c>
      <c r="S629" s="166">
        <v>9.6228000000013143</v>
      </c>
      <c r="X629" s="166">
        <v>273.24999999999397</v>
      </c>
      <c r="Y629" s="169" t="e">
        <f t="shared" si="39"/>
        <v>#NAME?</v>
      </c>
      <c r="Z629" s="177">
        <v>273.24999999999397</v>
      </c>
    </row>
    <row r="630" spans="4:26">
      <c r="D630" s="166">
        <v>414.260000000003</v>
      </c>
      <c r="E630" s="168" t="e">
        <f t="shared" si="37"/>
        <v>#NAME?</v>
      </c>
      <c r="F630" s="169">
        <v>414.260000000003</v>
      </c>
      <c r="O630" s="166">
        <v>470.75999999999402</v>
      </c>
      <c r="P630" s="169" t="e">
        <f t="shared" si="38"/>
        <v>#NAME?</v>
      </c>
      <c r="Q630" s="177">
        <v>470.75999999999402</v>
      </c>
      <c r="R630" s="166">
        <v>471.26999999999401</v>
      </c>
      <c r="S630" s="166">
        <v>9.6206000000013177</v>
      </c>
      <c r="X630" s="166">
        <v>273.25999999999402</v>
      </c>
      <c r="Y630" s="169" t="e">
        <f t="shared" si="39"/>
        <v>#NAME?</v>
      </c>
      <c r="Z630" s="177">
        <v>273.25999999999402</v>
      </c>
    </row>
    <row r="631" spans="4:26">
      <c r="D631" s="166">
        <v>414.27000000000299</v>
      </c>
      <c r="E631" s="168" t="e">
        <f t="shared" si="37"/>
        <v>#NAME?</v>
      </c>
      <c r="F631" s="169">
        <v>414.27000000000299</v>
      </c>
      <c r="O631" s="166">
        <v>470.76999999999401</v>
      </c>
      <c r="P631" s="169" t="e">
        <f t="shared" si="38"/>
        <v>#NAME?</v>
      </c>
      <c r="Q631" s="177">
        <v>470.76999999999401</v>
      </c>
      <c r="R631" s="166">
        <v>471.279999999994</v>
      </c>
      <c r="S631" s="166">
        <v>9.6184000000013192</v>
      </c>
      <c r="X631" s="166">
        <v>273.26999999999401</v>
      </c>
      <c r="Y631" s="169" t="e">
        <f t="shared" si="39"/>
        <v>#NAME?</v>
      </c>
      <c r="Z631" s="177">
        <v>273.26999999999401</v>
      </c>
    </row>
    <row r="632" spans="4:26">
      <c r="D632" s="166">
        <v>414.28000000000299</v>
      </c>
      <c r="E632" s="168" t="e">
        <f t="shared" si="37"/>
        <v>#NAME?</v>
      </c>
      <c r="F632" s="169">
        <v>414.28000000000299</v>
      </c>
      <c r="O632" s="166">
        <v>470.779999999994</v>
      </c>
      <c r="P632" s="169" t="e">
        <f t="shared" si="38"/>
        <v>#NAME?</v>
      </c>
      <c r="Q632" s="177">
        <v>470.779999999994</v>
      </c>
      <c r="R632" s="166">
        <v>471.289999999994</v>
      </c>
      <c r="S632" s="166">
        <v>9.6162000000013208</v>
      </c>
      <c r="X632" s="166">
        <v>273.279999999994</v>
      </c>
      <c r="Y632" s="169" t="e">
        <f t="shared" si="39"/>
        <v>#NAME?</v>
      </c>
      <c r="Z632" s="177">
        <v>273.279999999994</v>
      </c>
    </row>
    <row r="633" spans="4:26">
      <c r="D633" s="166">
        <v>414.29000000000298</v>
      </c>
      <c r="E633" s="168" t="e">
        <f t="shared" si="37"/>
        <v>#NAME?</v>
      </c>
      <c r="F633" s="169">
        <v>414.29000000000298</v>
      </c>
      <c r="O633" s="166">
        <v>470.789999999994</v>
      </c>
      <c r="P633" s="169" t="e">
        <f t="shared" si="38"/>
        <v>#NAME?</v>
      </c>
      <c r="Q633" s="177">
        <v>470.789999999994</v>
      </c>
      <c r="R633" s="166">
        <v>471.29999999999399</v>
      </c>
      <c r="S633" s="166">
        <v>9.6140000000013224</v>
      </c>
      <c r="X633" s="166">
        <v>273.289999999994</v>
      </c>
      <c r="Y633" s="169" t="e">
        <f t="shared" si="39"/>
        <v>#NAME?</v>
      </c>
      <c r="Z633" s="177">
        <v>273.289999999994</v>
      </c>
    </row>
    <row r="634" spans="4:26">
      <c r="D634" s="166">
        <v>414.30000000000302</v>
      </c>
      <c r="E634" s="168" t="e">
        <f t="shared" si="37"/>
        <v>#NAME?</v>
      </c>
      <c r="F634" s="169">
        <v>414.30000000000302</v>
      </c>
      <c r="O634" s="166">
        <v>470.79999999999399</v>
      </c>
      <c r="P634" s="169" t="e">
        <f t="shared" si="38"/>
        <v>#NAME?</v>
      </c>
      <c r="Q634" s="177">
        <v>470.79999999999399</v>
      </c>
      <c r="R634" s="166">
        <v>471.30999999999398</v>
      </c>
      <c r="S634" s="166">
        <v>9.6118000000013257</v>
      </c>
      <c r="X634" s="166">
        <v>273.29999999999399</v>
      </c>
      <c r="Y634" s="169" t="e">
        <f t="shared" si="39"/>
        <v>#NAME?</v>
      </c>
      <c r="Z634" s="177">
        <v>273.29999999999399</v>
      </c>
    </row>
    <row r="635" spans="4:26">
      <c r="D635" s="166">
        <v>414.31000000000301</v>
      </c>
      <c r="E635" s="168" t="e">
        <f t="shared" si="37"/>
        <v>#NAME?</v>
      </c>
      <c r="F635" s="169">
        <v>414.31000000000301</v>
      </c>
      <c r="O635" s="166">
        <v>470.80999999999398</v>
      </c>
      <c r="P635" s="169" t="e">
        <f t="shared" si="38"/>
        <v>#NAME?</v>
      </c>
      <c r="Q635" s="177">
        <v>470.80999999999398</v>
      </c>
      <c r="R635" s="166">
        <v>471.31999999999402</v>
      </c>
      <c r="S635" s="166">
        <v>9.6096000000013149</v>
      </c>
      <c r="X635" s="166">
        <v>273.30999999999398</v>
      </c>
      <c r="Y635" s="169" t="e">
        <f t="shared" si="39"/>
        <v>#NAME?</v>
      </c>
      <c r="Z635" s="177">
        <v>273.30999999999398</v>
      </c>
    </row>
    <row r="636" spans="4:26">
      <c r="D636" s="166">
        <v>414.32000000000301</v>
      </c>
      <c r="E636" s="168" t="e">
        <f t="shared" si="37"/>
        <v>#NAME?</v>
      </c>
      <c r="F636" s="169">
        <v>414.32000000000301</v>
      </c>
      <c r="O636" s="166">
        <v>470.81999999999402</v>
      </c>
      <c r="P636" s="169" t="e">
        <f t="shared" si="38"/>
        <v>#NAME?</v>
      </c>
      <c r="Q636" s="177">
        <v>470.81999999999402</v>
      </c>
      <c r="R636" s="166">
        <v>471.32999999999402</v>
      </c>
      <c r="S636" s="166">
        <v>9.6074000000013164</v>
      </c>
      <c r="X636" s="166">
        <v>273.31999999999402</v>
      </c>
      <c r="Y636" s="169" t="e">
        <f t="shared" si="39"/>
        <v>#NAME?</v>
      </c>
      <c r="Z636" s="177">
        <v>273.31999999999402</v>
      </c>
    </row>
    <row r="637" spans="4:26">
      <c r="D637" s="166">
        <v>414.330000000003</v>
      </c>
      <c r="E637" s="168" t="e">
        <f t="shared" si="37"/>
        <v>#NAME?</v>
      </c>
      <c r="F637" s="169">
        <v>414.330000000003</v>
      </c>
      <c r="O637" s="166">
        <v>470.82999999999402</v>
      </c>
      <c r="P637" s="169" t="e">
        <f t="shared" si="38"/>
        <v>#NAME?</v>
      </c>
      <c r="Q637" s="177">
        <v>470.82999999999402</v>
      </c>
      <c r="R637" s="166">
        <v>471.33999999999401</v>
      </c>
      <c r="S637" s="166">
        <v>9.605200000001318</v>
      </c>
      <c r="X637" s="166">
        <v>273.32999999999402</v>
      </c>
      <c r="Y637" s="169" t="e">
        <f t="shared" si="39"/>
        <v>#NAME?</v>
      </c>
      <c r="Z637" s="177">
        <v>273.32999999999402</v>
      </c>
    </row>
    <row r="638" spans="4:26">
      <c r="D638" s="166">
        <v>414.34000000000299</v>
      </c>
      <c r="E638" s="168" t="e">
        <f t="shared" si="37"/>
        <v>#NAME?</v>
      </c>
      <c r="F638" s="169">
        <v>414.34000000000299</v>
      </c>
      <c r="O638" s="166">
        <v>470.83999999999401</v>
      </c>
      <c r="P638" s="169" t="e">
        <f t="shared" si="38"/>
        <v>#NAME?</v>
      </c>
      <c r="Q638" s="177">
        <v>470.83999999999401</v>
      </c>
      <c r="R638" s="166">
        <v>471.349999999994</v>
      </c>
      <c r="S638" s="166">
        <v>9.6030000000013214</v>
      </c>
      <c r="X638" s="166">
        <v>273.33999999999401</v>
      </c>
      <c r="Y638" s="169" t="e">
        <f t="shared" si="39"/>
        <v>#NAME?</v>
      </c>
      <c r="Z638" s="177">
        <v>273.33999999999401</v>
      </c>
    </row>
    <row r="639" spans="4:26">
      <c r="D639" s="166">
        <v>414.35000000000298</v>
      </c>
      <c r="E639" s="168" t="e">
        <f t="shared" si="37"/>
        <v>#NAME?</v>
      </c>
      <c r="F639" s="169">
        <v>414.35000000000298</v>
      </c>
      <c r="O639" s="166">
        <v>470.849999999994</v>
      </c>
      <c r="P639" s="169" t="e">
        <f t="shared" si="38"/>
        <v>#NAME?</v>
      </c>
      <c r="Q639" s="177">
        <v>470.849999999994</v>
      </c>
      <c r="R639" s="166">
        <v>471.35999999999399</v>
      </c>
      <c r="S639" s="166">
        <v>9.6008000000013229</v>
      </c>
      <c r="X639" s="166">
        <v>273.349999999994</v>
      </c>
      <c r="Y639" s="169" t="e">
        <f t="shared" si="39"/>
        <v>#NAME?</v>
      </c>
      <c r="Z639" s="177">
        <v>273.349999999994</v>
      </c>
    </row>
    <row r="640" spans="4:26">
      <c r="D640" s="166">
        <v>414.36000000000303</v>
      </c>
      <c r="E640" s="168" t="e">
        <f t="shared" si="37"/>
        <v>#NAME?</v>
      </c>
      <c r="F640" s="169">
        <v>414.36000000000303</v>
      </c>
      <c r="O640" s="166">
        <v>470.85999999999399</v>
      </c>
      <c r="P640" s="169" t="e">
        <f t="shared" si="38"/>
        <v>#NAME?</v>
      </c>
      <c r="Q640" s="177">
        <v>470.85999999999399</v>
      </c>
      <c r="R640" s="166">
        <v>471.36999999999398</v>
      </c>
      <c r="S640" s="166">
        <v>9.5986000000013245</v>
      </c>
      <c r="X640" s="166">
        <v>273.35999999999399</v>
      </c>
      <c r="Y640" s="169" t="e">
        <f t="shared" si="39"/>
        <v>#NAME?</v>
      </c>
      <c r="Z640" s="177">
        <v>273.35999999999399</v>
      </c>
    </row>
    <row r="641" spans="4:26">
      <c r="D641" s="166">
        <v>414.37000000000302</v>
      </c>
      <c r="E641" s="168" t="e">
        <f t="shared" si="37"/>
        <v>#NAME?</v>
      </c>
      <c r="F641" s="169">
        <v>414.37000000000302</v>
      </c>
      <c r="O641" s="166">
        <v>470.86999999999398</v>
      </c>
      <c r="P641" s="169" t="e">
        <f t="shared" si="38"/>
        <v>#NAME?</v>
      </c>
      <c r="Q641" s="177">
        <v>470.86999999999398</v>
      </c>
      <c r="R641" s="166">
        <v>471.37999999999403</v>
      </c>
      <c r="S641" s="166">
        <v>9.5964000000013137</v>
      </c>
      <c r="X641" s="166">
        <v>273.36999999999398</v>
      </c>
      <c r="Y641" s="169" t="e">
        <f t="shared" si="39"/>
        <v>#NAME?</v>
      </c>
      <c r="Z641" s="177">
        <v>273.36999999999398</v>
      </c>
    </row>
    <row r="642" spans="4:26">
      <c r="D642" s="166">
        <v>414.38000000000301</v>
      </c>
      <c r="E642" s="168" t="e">
        <f t="shared" si="37"/>
        <v>#NAME?</v>
      </c>
      <c r="F642" s="169">
        <v>414.38000000000301</v>
      </c>
      <c r="O642" s="166">
        <v>470.87999999999403</v>
      </c>
      <c r="P642" s="169" t="e">
        <f t="shared" si="38"/>
        <v>#NAME?</v>
      </c>
      <c r="Q642" s="177">
        <v>470.87999999999403</v>
      </c>
      <c r="R642" s="166">
        <v>471.38999999999402</v>
      </c>
      <c r="S642" s="166">
        <v>9.594200000001317</v>
      </c>
      <c r="X642" s="166">
        <v>273.37999999999403</v>
      </c>
      <c r="Y642" s="169" t="e">
        <f t="shared" si="39"/>
        <v>#NAME?</v>
      </c>
      <c r="Z642" s="177">
        <v>273.37999999999403</v>
      </c>
    </row>
    <row r="643" spans="4:26">
      <c r="D643" s="166">
        <v>414.390000000003</v>
      </c>
      <c r="E643" s="168" t="e">
        <f t="shared" si="37"/>
        <v>#NAME?</v>
      </c>
      <c r="F643" s="169">
        <v>414.390000000003</v>
      </c>
      <c r="O643" s="166">
        <v>470.88999999999402</v>
      </c>
      <c r="P643" s="169" t="e">
        <f t="shared" si="38"/>
        <v>#NAME?</v>
      </c>
      <c r="Q643" s="177">
        <v>470.88999999999402</v>
      </c>
      <c r="R643" s="166">
        <v>471.39999999999401</v>
      </c>
      <c r="S643" s="166">
        <v>9.5920000000013186</v>
      </c>
      <c r="X643" s="166">
        <v>273.38999999999402</v>
      </c>
      <c r="Y643" s="169" t="e">
        <f t="shared" si="39"/>
        <v>#NAME?</v>
      </c>
      <c r="Z643" s="177">
        <v>273.38999999999402</v>
      </c>
    </row>
    <row r="644" spans="4:26">
      <c r="D644" s="166">
        <v>414.40000000000299</v>
      </c>
      <c r="E644" s="168" t="e">
        <f t="shared" ref="E644:E704" si="40">VLOOKUP(D644,THONGSOHO_BK,2,1)+(VLOOKUP(D644+1,THONGSOHO_BK,2,1)-VLOOKUP(D644,THONGSOHO_BK,2,1))/1*(D644-VLOOKUP(D644,THONGSOHO_BK,1,1))-48.55</f>
        <v>#NAME?</v>
      </c>
      <c r="F644" s="169">
        <v>414.40000000000299</v>
      </c>
      <c r="O644" s="166">
        <v>470.89999999999401</v>
      </c>
      <c r="P644" s="169" t="e">
        <f t="shared" ref="P644:P707" si="41">VLOOKUP(O644,THONGSOHO_BTS,2,1)+(VLOOKUP(O644+5,THONGSOHO_BTS,2,1)-VLOOKUP(O644,THONGSOHO_BTS,2,1))/5*(O644-VLOOKUP(O644,THONGSOHO_BTS,1,1))-264.29</f>
        <v>#NAME?</v>
      </c>
      <c r="Q644" s="177">
        <v>470.89999999999401</v>
      </c>
      <c r="R644" s="166">
        <v>471.409999999994</v>
      </c>
      <c r="S644" s="166">
        <v>9.5898000000013202</v>
      </c>
      <c r="X644" s="166">
        <v>273.39999999999401</v>
      </c>
      <c r="Y644" s="169" t="e">
        <f t="shared" ref="Y644:Y707" si="42">VLOOKUP(X644,THONGSOHO_SP3,2,1)+(VLOOKUP(X644+2,THONGSOHO_SP3,2,1)-VLOOKUP(X644,THONGSOHO_SP3,2,1))/2*(X644-VLOOKUP(X644,THONGSOHO_SP3,1,1))-156.13</f>
        <v>#NAME?</v>
      </c>
      <c r="Z644" s="177">
        <v>273.39999999999401</v>
      </c>
    </row>
    <row r="645" spans="4:26">
      <c r="D645" s="166">
        <v>414.41000000000298</v>
      </c>
      <c r="E645" s="168" t="e">
        <f t="shared" si="40"/>
        <v>#NAME?</v>
      </c>
      <c r="F645" s="169">
        <v>414.41000000000298</v>
      </c>
      <c r="O645" s="166">
        <v>470.909999999994</v>
      </c>
      <c r="P645" s="169" t="e">
        <f t="shared" si="41"/>
        <v>#NAME?</v>
      </c>
      <c r="Q645" s="177">
        <v>470.909999999994</v>
      </c>
      <c r="R645" s="166">
        <v>471.41999999999399</v>
      </c>
      <c r="S645" s="166">
        <v>9.5876000000013217</v>
      </c>
      <c r="X645" s="166">
        <v>273.409999999994</v>
      </c>
      <c r="Y645" s="169" t="e">
        <f t="shared" si="42"/>
        <v>#NAME?</v>
      </c>
      <c r="Z645" s="177">
        <v>273.409999999994</v>
      </c>
    </row>
    <row r="646" spans="4:26">
      <c r="D646" s="166">
        <v>414.42000000000297</v>
      </c>
      <c r="E646" s="168" t="e">
        <f t="shared" si="40"/>
        <v>#NAME?</v>
      </c>
      <c r="F646" s="169">
        <v>414.42000000000297</v>
      </c>
      <c r="O646" s="166">
        <v>470.91999999999399</v>
      </c>
      <c r="P646" s="169" t="e">
        <f t="shared" si="41"/>
        <v>#NAME?</v>
      </c>
      <c r="Q646" s="177">
        <v>470.91999999999399</v>
      </c>
      <c r="R646" s="166">
        <v>471.42999999999398</v>
      </c>
      <c r="S646" s="166">
        <v>9.5854000000013251</v>
      </c>
      <c r="X646" s="166">
        <v>273.41999999999399</v>
      </c>
      <c r="Y646" s="169" t="e">
        <f t="shared" si="42"/>
        <v>#NAME?</v>
      </c>
      <c r="Z646" s="177">
        <v>273.41999999999399</v>
      </c>
    </row>
    <row r="647" spans="4:26">
      <c r="D647" s="166">
        <v>414.43000000000302</v>
      </c>
      <c r="E647" s="168" t="e">
        <f t="shared" si="40"/>
        <v>#NAME?</v>
      </c>
      <c r="F647" s="169">
        <v>414.43000000000302</v>
      </c>
      <c r="O647" s="166">
        <v>470.92999999999398</v>
      </c>
      <c r="P647" s="169" t="e">
        <f t="shared" si="41"/>
        <v>#NAME?</v>
      </c>
      <c r="Q647" s="177">
        <v>470.92999999999398</v>
      </c>
      <c r="R647" s="166">
        <v>471.43999999999397</v>
      </c>
      <c r="S647" s="166">
        <v>9.5832000000013267</v>
      </c>
      <c r="X647" s="166">
        <v>273.42999999999398</v>
      </c>
      <c r="Y647" s="169" t="e">
        <f t="shared" si="42"/>
        <v>#NAME?</v>
      </c>
      <c r="Z647" s="177">
        <v>273.42999999999398</v>
      </c>
    </row>
    <row r="648" spans="4:26">
      <c r="D648" s="166">
        <v>414.44000000000301</v>
      </c>
      <c r="E648" s="168" t="e">
        <f t="shared" si="40"/>
        <v>#NAME?</v>
      </c>
      <c r="F648" s="169">
        <v>414.44000000000301</v>
      </c>
      <c r="O648" s="166">
        <v>470.93999999999397</v>
      </c>
      <c r="P648" s="169" t="e">
        <f t="shared" si="41"/>
        <v>#NAME?</v>
      </c>
      <c r="Q648" s="177">
        <v>470.93999999999397</v>
      </c>
      <c r="R648" s="166">
        <v>471.44999999999402</v>
      </c>
      <c r="S648" s="166">
        <v>9.5810000000013158</v>
      </c>
      <c r="X648" s="166">
        <v>273.43999999999397</v>
      </c>
      <c r="Y648" s="169" t="e">
        <f t="shared" si="42"/>
        <v>#NAME?</v>
      </c>
      <c r="Z648" s="177">
        <v>273.43999999999397</v>
      </c>
    </row>
    <row r="649" spans="4:26">
      <c r="D649" s="166">
        <v>414.450000000003</v>
      </c>
      <c r="E649" s="168" t="e">
        <f t="shared" si="40"/>
        <v>#NAME?</v>
      </c>
      <c r="F649" s="169">
        <v>414.450000000003</v>
      </c>
      <c r="O649" s="166">
        <v>470.94999999999402</v>
      </c>
      <c r="P649" s="169" t="e">
        <f t="shared" si="41"/>
        <v>#NAME?</v>
      </c>
      <c r="Q649" s="177">
        <v>470.94999999999402</v>
      </c>
      <c r="R649" s="166">
        <v>471.45999999999401</v>
      </c>
      <c r="S649" s="166">
        <v>9.5788000000013174</v>
      </c>
      <c r="X649" s="166">
        <v>273.44999999999402</v>
      </c>
      <c r="Y649" s="169" t="e">
        <f t="shared" si="42"/>
        <v>#NAME?</v>
      </c>
      <c r="Z649" s="177">
        <v>273.44999999999402</v>
      </c>
    </row>
    <row r="650" spans="4:26">
      <c r="D650" s="166">
        <v>414.46000000000299</v>
      </c>
      <c r="E650" s="168" t="e">
        <f t="shared" si="40"/>
        <v>#NAME?</v>
      </c>
      <c r="F650" s="169">
        <v>414.46000000000299</v>
      </c>
      <c r="O650" s="166">
        <v>470.95999999999401</v>
      </c>
      <c r="P650" s="169" t="e">
        <f t="shared" si="41"/>
        <v>#NAME?</v>
      </c>
      <c r="Q650" s="177">
        <v>470.95999999999401</v>
      </c>
      <c r="R650" s="166">
        <v>471.469999999994</v>
      </c>
      <c r="S650" s="166">
        <v>9.5766000000013207</v>
      </c>
      <c r="X650" s="166">
        <v>273.45999999999401</v>
      </c>
      <c r="Y650" s="169" t="e">
        <f t="shared" si="42"/>
        <v>#NAME?</v>
      </c>
      <c r="Z650" s="177">
        <v>273.45999999999401</v>
      </c>
    </row>
    <row r="651" spans="4:26">
      <c r="D651" s="166">
        <v>414.47000000000298</v>
      </c>
      <c r="E651" s="168" t="e">
        <f t="shared" si="40"/>
        <v>#NAME?</v>
      </c>
      <c r="F651" s="169">
        <v>414.47000000000298</v>
      </c>
      <c r="O651" s="166">
        <v>470.969999999994</v>
      </c>
      <c r="P651" s="169" t="e">
        <f t="shared" si="41"/>
        <v>#NAME?</v>
      </c>
      <c r="Q651" s="177">
        <v>470.969999999994</v>
      </c>
      <c r="R651" s="166">
        <v>471.47999999999399</v>
      </c>
      <c r="S651" s="166">
        <v>9.5744000000013223</v>
      </c>
      <c r="X651" s="166">
        <v>273.469999999994</v>
      </c>
      <c r="Y651" s="169" t="e">
        <f t="shared" si="42"/>
        <v>#NAME?</v>
      </c>
      <c r="Z651" s="177">
        <v>273.469999999994</v>
      </c>
    </row>
    <row r="652" spans="4:26">
      <c r="D652" s="166">
        <v>414.48000000000297</v>
      </c>
      <c r="E652" s="168" t="e">
        <f t="shared" si="40"/>
        <v>#NAME?</v>
      </c>
      <c r="F652" s="169">
        <v>414.48000000000297</v>
      </c>
      <c r="O652" s="166">
        <v>470.97999999999399</v>
      </c>
      <c r="P652" s="169" t="e">
        <f t="shared" si="41"/>
        <v>#NAME?</v>
      </c>
      <c r="Q652" s="177">
        <v>470.97999999999399</v>
      </c>
      <c r="R652" s="166">
        <v>471.48999999999398</v>
      </c>
      <c r="S652" s="166">
        <v>9.5722000000013239</v>
      </c>
      <c r="X652" s="166">
        <v>273.47999999999399</v>
      </c>
      <c r="Y652" s="169" t="e">
        <f t="shared" si="42"/>
        <v>#NAME?</v>
      </c>
      <c r="Z652" s="177">
        <v>273.47999999999399</v>
      </c>
    </row>
    <row r="653" spans="4:26">
      <c r="D653" s="166">
        <v>414.49000000000302</v>
      </c>
      <c r="E653" s="168" t="e">
        <f t="shared" si="40"/>
        <v>#NAME?</v>
      </c>
      <c r="F653" s="169">
        <v>414.49000000000302</v>
      </c>
      <c r="O653" s="166">
        <v>470.98999999999398</v>
      </c>
      <c r="P653" s="169" t="e">
        <f t="shared" si="41"/>
        <v>#NAME?</v>
      </c>
      <c r="Q653" s="177">
        <v>470.98999999999398</v>
      </c>
      <c r="R653" s="166">
        <v>471.49999999999397</v>
      </c>
      <c r="S653" s="166">
        <v>9.5700000000013254</v>
      </c>
      <c r="X653" s="166">
        <v>273.48999999999398</v>
      </c>
      <c r="Y653" s="169" t="e">
        <f t="shared" si="42"/>
        <v>#NAME?</v>
      </c>
      <c r="Z653" s="177">
        <v>273.48999999999398</v>
      </c>
    </row>
    <row r="654" spans="4:26">
      <c r="D654" s="166">
        <v>414.50000000000301</v>
      </c>
      <c r="E654" s="168" t="e">
        <f t="shared" si="40"/>
        <v>#NAME?</v>
      </c>
      <c r="F654" s="169">
        <v>414.50000000000301</v>
      </c>
      <c r="O654" s="166">
        <v>470.99999999999397</v>
      </c>
      <c r="P654" s="169" t="e">
        <f t="shared" si="41"/>
        <v>#NAME?</v>
      </c>
      <c r="Q654" s="177">
        <v>470.99999999999397</v>
      </c>
      <c r="R654" s="166">
        <v>471.50999999999402</v>
      </c>
      <c r="S654" s="166">
        <v>9.5678000000013146</v>
      </c>
      <c r="X654" s="166">
        <v>273.49999999999397</v>
      </c>
      <c r="Y654" s="169" t="e">
        <f t="shared" si="42"/>
        <v>#NAME?</v>
      </c>
      <c r="Z654" s="177">
        <v>273.49999999999397</v>
      </c>
    </row>
    <row r="655" spans="4:26">
      <c r="D655" s="166">
        <v>414.510000000003</v>
      </c>
      <c r="E655" s="168" t="e">
        <f t="shared" si="40"/>
        <v>#NAME?</v>
      </c>
      <c r="F655" s="169">
        <v>414.510000000003</v>
      </c>
      <c r="O655" s="166">
        <v>471.00999999999402</v>
      </c>
      <c r="P655" s="169" t="e">
        <f t="shared" si="41"/>
        <v>#NAME?</v>
      </c>
      <c r="Q655" s="177">
        <v>471.00999999999402</v>
      </c>
      <c r="R655" s="166">
        <v>471.51999999999401</v>
      </c>
      <c r="S655" s="166">
        <v>9.5656000000013179</v>
      </c>
      <c r="X655" s="166">
        <v>273.50999999999402</v>
      </c>
      <c r="Y655" s="169" t="e">
        <f t="shared" si="42"/>
        <v>#NAME?</v>
      </c>
      <c r="Z655" s="177">
        <v>273.50999999999402</v>
      </c>
    </row>
    <row r="656" spans="4:26">
      <c r="D656" s="166">
        <v>414.52000000000299</v>
      </c>
      <c r="E656" s="168" t="e">
        <f t="shared" si="40"/>
        <v>#NAME?</v>
      </c>
      <c r="F656" s="169">
        <v>414.52000000000299</v>
      </c>
      <c r="O656" s="166">
        <v>471.01999999999401</v>
      </c>
      <c r="P656" s="169" t="e">
        <f t="shared" si="41"/>
        <v>#NAME?</v>
      </c>
      <c r="Q656" s="177">
        <v>471.01999999999401</v>
      </c>
      <c r="R656" s="166">
        <v>471.529999999994</v>
      </c>
      <c r="S656" s="166">
        <v>9.5634000000013195</v>
      </c>
      <c r="X656" s="166">
        <v>273.51999999999401</v>
      </c>
      <c r="Y656" s="169" t="e">
        <f t="shared" si="42"/>
        <v>#NAME?</v>
      </c>
      <c r="Z656" s="177">
        <v>273.51999999999401</v>
      </c>
    </row>
    <row r="657" spans="4:26">
      <c r="D657" s="166">
        <v>414.53000000000299</v>
      </c>
      <c r="E657" s="168" t="e">
        <f t="shared" si="40"/>
        <v>#NAME?</v>
      </c>
      <c r="F657" s="169">
        <v>414.53000000000299</v>
      </c>
      <c r="O657" s="166">
        <v>471.029999999994</v>
      </c>
      <c r="P657" s="169" t="e">
        <f t="shared" si="41"/>
        <v>#NAME?</v>
      </c>
      <c r="Q657" s="177">
        <v>471.029999999994</v>
      </c>
      <c r="R657" s="166">
        <v>471.539999999994</v>
      </c>
      <c r="S657" s="166">
        <v>9.5612000000013211</v>
      </c>
      <c r="X657" s="166">
        <v>273.529999999994</v>
      </c>
      <c r="Y657" s="169" t="e">
        <f t="shared" si="42"/>
        <v>#NAME?</v>
      </c>
      <c r="Z657" s="177">
        <v>273.529999999994</v>
      </c>
    </row>
    <row r="658" spans="4:26">
      <c r="D658" s="166">
        <v>414.54000000000298</v>
      </c>
      <c r="E658" s="168" t="e">
        <f t="shared" si="40"/>
        <v>#NAME?</v>
      </c>
      <c r="F658" s="169">
        <v>414.54000000000298</v>
      </c>
      <c r="O658" s="166">
        <v>471.039999999994</v>
      </c>
      <c r="P658" s="169" t="e">
        <f t="shared" si="41"/>
        <v>#NAME?</v>
      </c>
      <c r="Q658" s="177">
        <v>471.039999999994</v>
      </c>
      <c r="R658" s="166">
        <v>471.54999999999399</v>
      </c>
      <c r="S658" s="166">
        <v>9.5590000000013227</v>
      </c>
      <c r="X658" s="166">
        <v>273.539999999994</v>
      </c>
      <c r="Y658" s="169" t="e">
        <f t="shared" si="42"/>
        <v>#NAME?</v>
      </c>
      <c r="Z658" s="177">
        <v>273.539999999994</v>
      </c>
    </row>
    <row r="659" spans="4:26">
      <c r="D659" s="166">
        <v>414.55000000000302</v>
      </c>
      <c r="E659" s="168" t="e">
        <f t="shared" si="40"/>
        <v>#NAME?</v>
      </c>
      <c r="F659" s="169">
        <v>414.55000000000302</v>
      </c>
      <c r="O659" s="166">
        <v>471.04999999999399</v>
      </c>
      <c r="P659" s="169" t="e">
        <f t="shared" si="41"/>
        <v>#NAME?</v>
      </c>
      <c r="Q659" s="177">
        <v>471.04999999999399</v>
      </c>
      <c r="R659" s="166">
        <v>471.55999999999398</v>
      </c>
      <c r="S659" s="166">
        <v>9.556800000001326</v>
      </c>
      <c r="X659" s="166">
        <v>273.54999999999399</v>
      </c>
      <c r="Y659" s="169" t="e">
        <f t="shared" si="42"/>
        <v>#NAME?</v>
      </c>
      <c r="Z659" s="177">
        <v>273.54999999999399</v>
      </c>
    </row>
    <row r="660" spans="4:26">
      <c r="D660" s="166">
        <v>414.56000000000301</v>
      </c>
      <c r="E660" s="168" t="e">
        <f t="shared" si="40"/>
        <v>#NAME?</v>
      </c>
      <c r="F660" s="169">
        <v>414.56000000000301</v>
      </c>
      <c r="O660" s="166">
        <v>471.05999999999398</v>
      </c>
      <c r="P660" s="169" t="e">
        <f t="shared" si="41"/>
        <v>#NAME?</v>
      </c>
      <c r="Q660" s="177">
        <v>471.05999999999398</v>
      </c>
      <c r="R660" s="166">
        <v>471.56999999999402</v>
      </c>
      <c r="S660" s="166">
        <v>9.5546000000013152</v>
      </c>
      <c r="X660" s="166">
        <v>273.55999999999398</v>
      </c>
      <c r="Y660" s="169" t="e">
        <f t="shared" si="42"/>
        <v>#NAME?</v>
      </c>
      <c r="Z660" s="177">
        <v>273.55999999999398</v>
      </c>
    </row>
    <row r="661" spans="4:26">
      <c r="D661" s="166">
        <v>414.57000000000198</v>
      </c>
      <c r="E661" s="168" t="e">
        <f t="shared" si="40"/>
        <v>#NAME?</v>
      </c>
      <c r="F661" s="169">
        <v>414.57000000000198</v>
      </c>
      <c r="O661" s="166">
        <v>471.06999999999402</v>
      </c>
      <c r="P661" s="169" t="e">
        <f t="shared" si="41"/>
        <v>#NAME?</v>
      </c>
      <c r="Q661" s="177">
        <v>471.06999999999402</v>
      </c>
      <c r="R661" s="166">
        <v>471.57999999999402</v>
      </c>
      <c r="S661" s="166">
        <v>9.5524000000013167</v>
      </c>
      <c r="X661" s="166">
        <v>273.56999999999402</v>
      </c>
      <c r="Y661" s="169" t="e">
        <f t="shared" si="42"/>
        <v>#NAME?</v>
      </c>
      <c r="Z661" s="177">
        <v>273.56999999999402</v>
      </c>
    </row>
    <row r="662" spans="4:26">
      <c r="D662" s="166">
        <v>414.58000000000197</v>
      </c>
      <c r="E662" s="168" t="e">
        <f t="shared" si="40"/>
        <v>#NAME?</v>
      </c>
      <c r="F662" s="169">
        <v>414.58000000000197</v>
      </c>
      <c r="O662" s="166">
        <v>471.07999999999402</v>
      </c>
      <c r="P662" s="169" t="e">
        <f t="shared" si="41"/>
        <v>#NAME?</v>
      </c>
      <c r="Q662" s="177">
        <v>471.07999999999402</v>
      </c>
      <c r="R662" s="166">
        <v>471.58999999999401</v>
      </c>
      <c r="S662" s="166">
        <v>9.5502000000013183</v>
      </c>
      <c r="X662" s="166">
        <v>273.57999999999402</v>
      </c>
      <c r="Y662" s="169" t="e">
        <f t="shared" si="42"/>
        <v>#NAME?</v>
      </c>
      <c r="Z662" s="177">
        <v>273.57999999999402</v>
      </c>
    </row>
    <row r="663" spans="4:26">
      <c r="D663" s="166">
        <v>414.59000000000202</v>
      </c>
      <c r="E663" s="168" t="e">
        <f t="shared" si="40"/>
        <v>#NAME?</v>
      </c>
      <c r="F663" s="169">
        <v>414.59000000000202</v>
      </c>
      <c r="O663" s="166">
        <v>471.08999999999401</v>
      </c>
      <c r="P663" s="169" t="e">
        <f t="shared" si="41"/>
        <v>#NAME?</v>
      </c>
      <c r="Q663" s="177">
        <v>471.08999999999401</v>
      </c>
      <c r="R663" s="166">
        <v>471.599999999994</v>
      </c>
      <c r="S663" s="166">
        <v>9.5480000000013217</v>
      </c>
      <c r="X663" s="166">
        <v>273.58999999999401</v>
      </c>
      <c r="Y663" s="169" t="e">
        <f t="shared" si="42"/>
        <v>#NAME?</v>
      </c>
      <c r="Z663" s="177">
        <v>273.58999999999401</v>
      </c>
    </row>
    <row r="664" spans="4:26">
      <c r="D664" s="166">
        <v>414.60000000000201</v>
      </c>
      <c r="E664" s="168" t="e">
        <f t="shared" si="40"/>
        <v>#NAME?</v>
      </c>
      <c r="F664" s="169">
        <v>414.60000000000201</v>
      </c>
      <c r="O664" s="166">
        <v>471.099999999994</v>
      </c>
      <c r="P664" s="169" t="e">
        <f t="shared" si="41"/>
        <v>#NAME?</v>
      </c>
      <c r="Q664" s="177">
        <v>471.099999999994</v>
      </c>
      <c r="R664" s="166">
        <v>471.60999999999399</v>
      </c>
      <c r="S664" s="166">
        <v>9.5458000000013232</v>
      </c>
      <c r="X664" s="166">
        <v>273.599999999994</v>
      </c>
      <c r="Y664" s="169" t="e">
        <f t="shared" si="42"/>
        <v>#NAME?</v>
      </c>
      <c r="Z664" s="177">
        <v>273.599999999994</v>
      </c>
    </row>
    <row r="665" spans="4:26">
      <c r="D665" s="166">
        <v>414.610000000002</v>
      </c>
      <c r="E665" s="168" t="e">
        <f t="shared" si="40"/>
        <v>#NAME?</v>
      </c>
      <c r="F665" s="169">
        <v>414.610000000002</v>
      </c>
      <c r="O665" s="166">
        <v>471.10999999999399</v>
      </c>
      <c r="P665" s="169" t="e">
        <f t="shared" si="41"/>
        <v>#NAME?</v>
      </c>
      <c r="Q665" s="177">
        <v>471.10999999999399</v>
      </c>
      <c r="R665" s="166">
        <v>471.61999999999398</v>
      </c>
      <c r="S665" s="166">
        <v>9.5436000000013248</v>
      </c>
      <c r="X665" s="166">
        <v>273.60999999999399</v>
      </c>
      <c r="Y665" s="169" t="e">
        <f t="shared" si="42"/>
        <v>#NAME?</v>
      </c>
      <c r="Z665" s="177">
        <v>273.60999999999399</v>
      </c>
    </row>
    <row r="666" spans="4:26">
      <c r="D666" s="166">
        <v>414.62000000000199</v>
      </c>
      <c r="E666" s="168" t="e">
        <f t="shared" si="40"/>
        <v>#NAME?</v>
      </c>
      <c r="F666" s="169">
        <v>414.62000000000199</v>
      </c>
      <c r="O666" s="166">
        <v>471.11999999999398</v>
      </c>
      <c r="P666" s="169" t="e">
        <f t="shared" si="41"/>
        <v>#NAME?</v>
      </c>
      <c r="Q666" s="177">
        <v>471.11999999999398</v>
      </c>
      <c r="R666" s="166">
        <v>471.62999999999403</v>
      </c>
      <c r="S666" s="166">
        <v>9.5414000000013139</v>
      </c>
      <c r="X666" s="166">
        <v>273.61999999999398</v>
      </c>
      <c r="Y666" s="169" t="e">
        <f t="shared" si="42"/>
        <v>#NAME?</v>
      </c>
      <c r="Z666" s="177">
        <v>273.61999999999398</v>
      </c>
    </row>
    <row r="667" spans="4:26">
      <c r="D667" s="166">
        <v>414.63000000000198</v>
      </c>
      <c r="E667" s="168" t="e">
        <f t="shared" si="40"/>
        <v>#NAME?</v>
      </c>
      <c r="F667" s="169">
        <v>414.63000000000198</v>
      </c>
      <c r="O667" s="166">
        <v>471.12999999999403</v>
      </c>
      <c r="P667" s="169" t="e">
        <f t="shared" si="41"/>
        <v>#NAME?</v>
      </c>
      <c r="Q667" s="177">
        <v>471.12999999999403</v>
      </c>
      <c r="R667" s="166">
        <v>471.63999999999402</v>
      </c>
      <c r="S667" s="166">
        <v>9.5392000000013173</v>
      </c>
      <c r="X667" s="166">
        <v>273.62999999999403</v>
      </c>
      <c r="Y667" s="169" t="e">
        <f t="shared" si="42"/>
        <v>#NAME?</v>
      </c>
      <c r="Z667" s="177">
        <v>273.62999999999403</v>
      </c>
    </row>
    <row r="668" spans="4:26">
      <c r="D668" s="166">
        <v>414.64000000000198</v>
      </c>
      <c r="E668" s="168" t="e">
        <f t="shared" si="40"/>
        <v>#NAME?</v>
      </c>
      <c r="F668" s="169">
        <v>414.64000000000198</v>
      </c>
      <c r="O668" s="166">
        <v>471.13999999999402</v>
      </c>
      <c r="P668" s="169" t="e">
        <f t="shared" si="41"/>
        <v>#NAME?</v>
      </c>
      <c r="Q668" s="177">
        <v>471.13999999999402</v>
      </c>
      <c r="R668" s="166">
        <v>471.64999999999401</v>
      </c>
      <c r="S668" s="166">
        <v>9.5370000000013189</v>
      </c>
      <c r="X668" s="166">
        <v>273.63999999999402</v>
      </c>
      <c r="Y668" s="169" t="e">
        <f t="shared" si="42"/>
        <v>#NAME?</v>
      </c>
      <c r="Z668" s="177">
        <v>273.63999999999402</v>
      </c>
    </row>
    <row r="669" spans="4:26">
      <c r="D669" s="166">
        <v>414.65000000000202</v>
      </c>
      <c r="E669" s="168" t="e">
        <f t="shared" si="40"/>
        <v>#NAME?</v>
      </c>
      <c r="F669" s="169">
        <v>414.65000000000202</v>
      </c>
      <c r="O669" s="166">
        <v>471.14999999999401</v>
      </c>
      <c r="P669" s="169" t="e">
        <f t="shared" si="41"/>
        <v>#NAME?</v>
      </c>
      <c r="Q669" s="177">
        <v>471.14999999999401</v>
      </c>
      <c r="R669" s="166">
        <v>471.659999999994</v>
      </c>
      <c r="S669" s="166">
        <v>9.5348000000013204</v>
      </c>
      <c r="X669" s="166">
        <v>273.64999999999401</v>
      </c>
      <c r="Y669" s="169" t="e">
        <f t="shared" si="42"/>
        <v>#NAME?</v>
      </c>
      <c r="Z669" s="177">
        <v>273.64999999999401</v>
      </c>
    </row>
    <row r="670" spans="4:26">
      <c r="D670" s="166">
        <v>414.66000000000201</v>
      </c>
      <c r="E670" s="168" t="e">
        <f t="shared" si="40"/>
        <v>#NAME?</v>
      </c>
      <c r="F670" s="169">
        <v>414.66000000000201</v>
      </c>
      <c r="O670" s="166">
        <v>471.159999999994</v>
      </c>
      <c r="P670" s="169" t="e">
        <f t="shared" si="41"/>
        <v>#NAME?</v>
      </c>
      <c r="Q670" s="177">
        <v>471.159999999994</v>
      </c>
      <c r="R670" s="166">
        <v>471.66999999999399</v>
      </c>
      <c r="S670" s="166">
        <v>9.532600000001322</v>
      </c>
      <c r="X670" s="166">
        <v>273.659999999994</v>
      </c>
      <c r="Y670" s="169" t="e">
        <f t="shared" si="42"/>
        <v>#NAME?</v>
      </c>
      <c r="Z670" s="177">
        <v>273.659999999994</v>
      </c>
    </row>
    <row r="671" spans="4:26">
      <c r="D671" s="166">
        <v>414.67000000000201</v>
      </c>
      <c r="E671" s="168" t="e">
        <f t="shared" si="40"/>
        <v>#NAME?</v>
      </c>
      <c r="F671" s="169">
        <v>414.67000000000201</v>
      </c>
      <c r="O671" s="166">
        <v>471.16999999999399</v>
      </c>
      <c r="P671" s="169" t="e">
        <f t="shared" si="41"/>
        <v>#NAME?</v>
      </c>
      <c r="Q671" s="177">
        <v>471.16999999999399</v>
      </c>
      <c r="R671" s="166">
        <v>471.67999999999398</v>
      </c>
      <c r="S671" s="166">
        <v>9.5304000000013254</v>
      </c>
      <c r="X671" s="166">
        <v>273.66999999999399</v>
      </c>
      <c r="Y671" s="169" t="e">
        <f t="shared" si="42"/>
        <v>#NAME?</v>
      </c>
      <c r="Z671" s="177">
        <v>273.66999999999399</v>
      </c>
    </row>
    <row r="672" spans="4:26">
      <c r="D672" s="166">
        <v>414.680000000002</v>
      </c>
      <c r="E672" s="168" t="e">
        <f t="shared" si="40"/>
        <v>#NAME?</v>
      </c>
      <c r="F672" s="169">
        <v>414.680000000002</v>
      </c>
      <c r="O672" s="166">
        <v>471.17999999999398</v>
      </c>
      <c r="P672" s="169" t="e">
        <f t="shared" si="41"/>
        <v>#NAME?</v>
      </c>
      <c r="Q672" s="177">
        <v>471.17999999999398</v>
      </c>
      <c r="R672" s="166">
        <v>471.68999999999397</v>
      </c>
      <c r="S672" s="166">
        <v>9.5282000000013269</v>
      </c>
      <c r="X672" s="166">
        <v>273.67999999999398</v>
      </c>
      <c r="Y672" s="169" t="e">
        <f t="shared" si="42"/>
        <v>#NAME?</v>
      </c>
      <c r="Z672" s="177">
        <v>273.67999999999398</v>
      </c>
    </row>
    <row r="673" spans="4:26">
      <c r="D673" s="166">
        <v>414.69000000000199</v>
      </c>
      <c r="E673" s="168" t="e">
        <f t="shared" si="40"/>
        <v>#NAME?</v>
      </c>
      <c r="F673" s="169">
        <v>414.69000000000199</v>
      </c>
      <c r="O673" s="166">
        <v>471.18999999999397</v>
      </c>
      <c r="P673" s="169" t="e">
        <f t="shared" si="41"/>
        <v>#NAME?</v>
      </c>
      <c r="Q673" s="177">
        <v>471.18999999999397</v>
      </c>
      <c r="R673" s="166">
        <v>471.69999999999402</v>
      </c>
      <c r="S673" s="166">
        <v>9.5260000000013161</v>
      </c>
      <c r="X673" s="166">
        <v>273.68999999999397</v>
      </c>
      <c r="Y673" s="169" t="e">
        <f t="shared" si="42"/>
        <v>#NAME?</v>
      </c>
      <c r="Z673" s="177">
        <v>273.68999999999397</v>
      </c>
    </row>
    <row r="674" spans="4:26">
      <c r="D674" s="166">
        <v>414.70000000000198</v>
      </c>
      <c r="E674" s="168" t="e">
        <f t="shared" si="40"/>
        <v>#NAME?</v>
      </c>
      <c r="F674" s="169">
        <v>414.70000000000198</v>
      </c>
      <c r="O674" s="166">
        <v>471.19999999999402</v>
      </c>
      <c r="P674" s="169" t="e">
        <f t="shared" si="41"/>
        <v>#NAME?</v>
      </c>
      <c r="Q674" s="177">
        <v>471.19999999999402</v>
      </c>
      <c r="R674" s="166">
        <v>471.70999999999401</v>
      </c>
      <c r="S674" s="166">
        <v>9.5238000000013177</v>
      </c>
      <c r="X674" s="166">
        <v>273.69999999999402</v>
      </c>
      <c r="Y674" s="169" t="e">
        <f t="shared" si="42"/>
        <v>#NAME?</v>
      </c>
      <c r="Z674" s="177">
        <v>273.69999999999402</v>
      </c>
    </row>
    <row r="675" spans="4:26">
      <c r="D675" s="166">
        <v>414.71000000000203</v>
      </c>
      <c r="E675" s="168" t="e">
        <f t="shared" si="40"/>
        <v>#NAME?</v>
      </c>
      <c r="F675" s="169">
        <v>414.71000000000203</v>
      </c>
      <c r="O675" s="166">
        <v>471.20999999999401</v>
      </c>
      <c r="P675" s="169" t="e">
        <f t="shared" si="41"/>
        <v>#NAME?</v>
      </c>
      <c r="Q675" s="177">
        <v>471.20999999999401</v>
      </c>
      <c r="R675" s="166">
        <v>471.719999999994</v>
      </c>
      <c r="S675" s="166">
        <v>9.521600000001321</v>
      </c>
      <c r="X675" s="166">
        <v>273.70999999999401</v>
      </c>
      <c r="Y675" s="169" t="e">
        <f t="shared" si="42"/>
        <v>#NAME?</v>
      </c>
      <c r="Z675" s="177">
        <v>273.70999999999401</v>
      </c>
    </row>
    <row r="676" spans="4:26">
      <c r="D676" s="166">
        <v>414.72000000000202</v>
      </c>
      <c r="E676" s="168" t="e">
        <f t="shared" si="40"/>
        <v>#NAME?</v>
      </c>
      <c r="F676" s="169">
        <v>414.72000000000202</v>
      </c>
      <c r="O676" s="166">
        <v>471.219999999994</v>
      </c>
      <c r="P676" s="169" t="e">
        <f t="shared" si="41"/>
        <v>#NAME?</v>
      </c>
      <c r="Q676" s="177">
        <v>471.219999999994</v>
      </c>
      <c r="R676" s="166">
        <v>471.72999999999399</v>
      </c>
      <c r="S676" s="166">
        <v>9.5194000000013226</v>
      </c>
      <c r="X676" s="166">
        <v>273.719999999994</v>
      </c>
      <c r="Y676" s="169" t="e">
        <f t="shared" si="42"/>
        <v>#NAME?</v>
      </c>
      <c r="Z676" s="177">
        <v>273.719999999994</v>
      </c>
    </row>
    <row r="677" spans="4:26">
      <c r="D677" s="166">
        <v>414.73000000000201</v>
      </c>
      <c r="E677" s="168" t="e">
        <f t="shared" si="40"/>
        <v>#NAME?</v>
      </c>
      <c r="F677" s="169">
        <v>414.73000000000201</v>
      </c>
      <c r="O677" s="166">
        <v>471.22999999999399</v>
      </c>
      <c r="P677" s="169" t="e">
        <f t="shared" si="41"/>
        <v>#NAME?</v>
      </c>
      <c r="Q677" s="177">
        <v>471.22999999999399</v>
      </c>
      <c r="R677" s="166">
        <v>471.73999999999398</v>
      </c>
      <c r="S677" s="166">
        <v>9.5172000000013242</v>
      </c>
      <c r="X677" s="166">
        <v>273.72999999999399</v>
      </c>
      <c r="Y677" s="169" t="e">
        <f t="shared" si="42"/>
        <v>#NAME?</v>
      </c>
      <c r="Z677" s="177">
        <v>273.72999999999399</v>
      </c>
    </row>
    <row r="678" spans="4:26">
      <c r="D678" s="166">
        <v>414.740000000002</v>
      </c>
      <c r="E678" s="168" t="e">
        <f t="shared" si="40"/>
        <v>#NAME?</v>
      </c>
      <c r="F678" s="169">
        <v>414.740000000002</v>
      </c>
      <c r="O678" s="166">
        <v>471.23999999999398</v>
      </c>
      <c r="P678" s="169" t="e">
        <f t="shared" si="41"/>
        <v>#NAME?</v>
      </c>
      <c r="Q678" s="177">
        <v>471.23999999999398</v>
      </c>
      <c r="R678" s="166">
        <v>471.74999999999397</v>
      </c>
      <c r="S678" s="166">
        <v>9.5150000000013257</v>
      </c>
      <c r="X678" s="166">
        <v>273.73999999999398</v>
      </c>
      <c r="Y678" s="169" t="e">
        <f t="shared" si="42"/>
        <v>#NAME?</v>
      </c>
      <c r="Z678" s="177">
        <v>273.73999999999398</v>
      </c>
    </row>
    <row r="679" spans="4:26">
      <c r="D679" s="166">
        <v>414.75000000000199</v>
      </c>
      <c r="E679" s="168" t="e">
        <f t="shared" si="40"/>
        <v>#NAME?</v>
      </c>
      <c r="F679" s="169">
        <v>414.75000000000199</v>
      </c>
      <c r="O679" s="166">
        <v>471.24999999999397</v>
      </c>
      <c r="P679" s="169" t="e">
        <f t="shared" si="41"/>
        <v>#NAME?</v>
      </c>
      <c r="Q679" s="177">
        <v>471.24999999999397</v>
      </c>
      <c r="R679" s="166">
        <v>471.75999999999402</v>
      </c>
      <c r="S679" s="166">
        <v>9.5128000000013149</v>
      </c>
      <c r="X679" s="166">
        <v>273.74999999999397</v>
      </c>
      <c r="Y679" s="169" t="e">
        <f t="shared" si="42"/>
        <v>#NAME?</v>
      </c>
      <c r="Z679" s="177">
        <v>273.74999999999397</v>
      </c>
    </row>
    <row r="680" spans="4:26">
      <c r="D680" s="166">
        <v>414.76000000000198</v>
      </c>
      <c r="E680" s="168" t="e">
        <f t="shared" si="40"/>
        <v>#NAME?</v>
      </c>
      <c r="F680" s="169">
        <v>414.76000000000198</v>
      </c>
      <c r="O680" s="166">
        <v>471.25999999999402</v>
      </c>
      <c r="P680" s="169" t="e">
        <f t="shared" si="41"/>
        <v>#NAME?</v>
      </c>
      <c r="Q680" s="177">
        <v>471.25999999999402</v>
      </c>
      <c r="R680" s="166">
        <v>471.76999999999401</v>
      </c>
      <c r="S680" s="166">
        <v>9.5106000000013182</v>
      </c>
      <c r="X680" s="166">
        <v>273.75999999999402</v>
      </c>
      <c r="Y680" s="169" t="e">
        <f t="shared" si="42"/>
        <v>#NAME?</v>
      </c>
      <c r="Z680" s="177">
        <v>273.75999999999402</v>
      </c>
    </row>
    <row r="681" spans="4:26">
      <c r="D681" s="166">
        <v>414.77000000000203</v>
      </c>
      <c r="E681" s="168" t="e">
        <f t="shared" si="40"/>
        <v>#NAME?</v>
      </c>
      <c r="F681" s="169">
        <v>414.77000000000203</v>
      </c>
      <c r="O681" s="166">
        <v>471.26999999999401</v>
      </c>
      <c r="P681" s="169" t="e">
        <f t="shared" si="41"/>
        <v>#NAME?</v>
      </c>
      <c r="Q681" s="177">
        <v>471.26999999999401</v>
      </c>
      <c r="R681" s="166">
        <v>471.779999999994</v>
      </c>
      <c r="S681" s="166">
        <v>9.5084000000013198</v>
      </c>
      <c r="X681" s="166">
        <v>273.76999999999401</v>
      </c>
      <c r="Y681" s="169" t="e">
        <f t="shared" si="42"/>
        <v>#NAME?</v>
      </c>
      <c r="Z681" s="177">
        <v>273.76999999999401</v>
      </c>
    </row>
    <row r="682" spans="4:26">
      <c r="D682" s="166">
        <v>414.78000000000202</v>
      </c>
      <c r="E682" s="168" t="e">
        <f t="shared" si="40"/>
        <v>#NAME?</v>
      </c>
      <c r="F682" s="169">
        <v>414.78000000000202</v>
      </c>
      <c r="O682" s="166">
        <v>471.279999999994</v>
      </c>
      <c r="P682" s="169" t="e">
        <f t="shared" si="41"/>
        <v>#NAME?</v>
      </c>
      <c r="Q682" s="177">
        <v>471.279999999994</v>
      </c>
      <c r="R682" s="166">
        <v>471.789999999994</v>
      </c>
      <c r="S682" s="166">
        <v>9.5062000000013214</v>
      </c>
      <c r="X682" s="166">
        <v>273.779999999994</v>
      </c>
      <c r="Y682" s="169" t="e">
        <f t="shared" si="42"/>
        <v>#NAME?</v>
      </c>
      <c r="Z682" s="177">
        <v>273.779999999994</v>
      </c>
    </row>
    <row r="683" spans="4:26">
      <c r="D683" s="166">
        <v>414.79000000000201</v>
      </c>
      <c r="E683" s="168" t="e">
        <f t="shared" si="40"/>
        <v>#NAME?</v>
      </c>
      <c r="F683" s="169">
        <v>414.79000000000201</v>
      </c>
      <c r="O683" s="166">
        <v>471.289999999994</v>
      </c>
      <c r="P683" s="169" t="e">
        <f t="shared" si="41"/>
        <v>#NAME?</v>
      </c>
      <c r="Q683" s="177">
        <v>471.289999999994</v>
      </c>
      <c r="R683" s="166">
        <v>471.79999999999399</v>
      </c>
      <c r="S683" s="166">
        <v>9.5040000000013229</v>
      </c>
      <c r="X683" s="166">
        <v>273.789999999994</v>
      </c>
      <c r="Y683" s="169" t="e">
        <f t="shared" si="42"/>
        <v>#NAME?</v>
      </c>
      <c r="Z683" s="177">
        <v>273.789999999994</v>
      </c>
    </row>
    <row r="684" spans="4:26">
      <c r="D684" s="166">
        <v>414.800000000002</v>
      </c>
      <c r="E684" s="168" t="e">
        <f t="shared" si="40"/>
        <v>#NAME?</v>
      </c>
      <c r="F684" s="169">
        <v>414.800000000002</v>
      </c>
      <c r="O684" s="166">
        <v>471.29999999999399</v>
      </c>
      <c r="P684" s="169" t="e">
        <f t="shared" si="41"/>
        <v>#NAME?</v>
      </c>
      <c r="Q684" s="177">
        <v>471.29999999999399</v>
      </c>
      <c r="R684" s="166">
        <v>471.80999999999398</v>
      </c>
      <c r="S684" s="166">
        <v>9.5018000000013263</v>
      </c>
      <c r="X684" s="166">
        <v>273.79999999999399</v>
      </c>
      <c r="Y684" s="169" t="e">
        <f t="shared" si="42"/>
        <v>#NAME?</v>
      </c>
      <c r="Z684" s="177">
        <v>273.79999999999399</v>
      </c>
    </row>
    <row r="685" spans="4:26">
      <c r="D685" s="166">
        <v>414.81000000000199</v>
      </c>
      <c r="E685" s="168" t="e">
        <f t="shared" si="40"/>
        <v>#NAME?</v>
      </c>
      <c r="F685" s="169">
        <v>414.81000000000199</v>
      </c>
      <c r="O685" s="166">
        <v>471.30999999999398</v>
      </c>
      <c r="P685" s="169" t="e">
        <f t="shared" si="41"/>
        <v>#NAME?</v>
      </c>
      <c r="Q685" s="177">
        <v>471.30999999999398</v>
      </c>
      <c r="R685" s="166">
        <v>471.81999999999402</v>
      </c>
      <c r="S685" s="166">
        <v>9.4996000000013154</v>
      </c>
      <c r="X685" s="166">
        <v>273.80999999999398</v>
      </c>
      <c r="Y685" s="169" t="e">
        <f t="shared" si="42"/>
        <v>#NAME?</v>
      </c>
      <c r="Z685" s="177">
        <v>273.80999999999398</v>
      </c>
    </row>
    <row r="686" spans="4:26">
      <c r="D686" s="166">
        <v>414.82000000000198</v>
      </c>
      <c r="E686" s="168" t="e">
        <f t="shared" si="40"/>
        <v>#NAME?</v>
      </c>
      <c r="F686" s="169">
        <v>414.82000000000198</v>
      </c>
      <c r="O686" s="166">
        <v>471.31999999999402</v>
      </c>
      <c r="P686" s="169" t="e">
        <f t="shared" si="41"/>
        <v>#NAME?</v>
      </c>
      <c r="Q686" s="177">
        <v>471.31999999999402</v>
      </c>
      <c r="R686" s="166">
        <v>471.82999999999402</v>
      </c>
      <c r="S686" s="166">
        <v>9.497400000001317</v>
      </c>
      <c r="X686" s="166">
        <v>273.81999999999402</v>
      </c>
      <c r="Y686" s="169" t="e">
        <f t="shared" si="42"/>
        <v>#NAME?</v>
      </c>
      <c r="Z686" s="177">
        <v>273.81999999999402</v>
      </c>
    </row>
    <row r="687" spans="4:26">
      <c r="D687" s="166">
        <v>414.83000000000197</v>
      </c>
      <c r="E687" s="168" t="e">
        <f t="shared" si="40"/>
        <v>#NAME?</v>
      </c>
      <c r="F687" s="169">
        <v>414.83000000000197</v>
      </c>
      <c r="O687" s="166">
        <v>471.32999999999402</v>
      </c>
      <c r="P687" s="169" t="e">
        <f t="shared" si="41"/>
        <v>#NAME?</v>
      </c>
      <c r="Q687" s="177">
        <v>471.32999999999402</v>
      </c>
      <c r="R687" s="166">
        <v>471.83999999999401</v>
      </c>
      <c r="S687" s="166">
        <v>9.4952000000013186</v>
      </c>
      <c r="X687" s="166">
        <v>273.82999999999402</v>
      </c>
      <c r="Y687" s="169" t="e">
        <f t="shared" si="42"/>
        <v>#NAME?</v>
      </c>
      <c r="Z687" s="177">
        <v>273.82999999999402</v>
      </c>
    </row>
    <row r="688" spans="4:26">
      <c r="D688" s="166">
        <v>414.84000000000202</v>
      </c>
      <c r="E688" s="168" t="e">
        <f t="shared" si="40"/>
        <v>#NAME?</v>
      </c>
      <c r="F688" s="169">
        <v>414.84000000000202</v>
      </c>
      <c r="O688" s="166">
        <v>471.33999999999401</v>
      </c>
      <c r="P688" s="169" t="e">
        <f t="shared" si="41"/>
        <v>#NAME?</v>
      </c>
      <c r="Q688" s="177">
        <v>471.33999999999401</v>
      </c>
      <c r="R688" s="166">
        <v>471.849999999994</v>
      </c>
      <c r="S688" s="166">
        <v>9.4930000000013219</v>
      </c>
      <c r="X688" s="166">
        <v>273.83999999999401</v>
      </c>
      <c r="Y688" s="169" t="e">
        <f t="shared" si="42"/>
        <v>#NAME?</v>
      </c>
      <c r="Z688" s="177">
        <v>273.83999999999401</v>
      </c>
    </row>
    <row r="689" spans="4:26">
      <c r="D689" s="166">
        <v>414.85000000000201</v>
      </c>
      <c r="E689" s="168" t="e">
        <f t="shared" si="40"/>
        <v>#NAME?</v>
      </c>
      <c r="F689" s="169">
        <v>414.85000000000201</v>
      </c>
      <c r="O689" s="166">
        <v>471.349999999994</v>
      </c>
      <c r="P689" s="169" t="e">
        <f t="shared" si="41"/>
        <v>#NAME?</v>
      </c>
      <c r="Q689" s="177">
        <v>471.349999999994</v>
      </c>
      <c r="R689" s="166">
        <v>471.85999999999399</v>
      </c>
      <c r="S689" s="166">
        <v>9.4908000000013235</v>
      </c>
      <c r="X689" s="166">
        <v>273.849999999994</v>
      </c>
      <c r="Y689" s="169" t="e">
        <f t="shared" si="42"/>
        <v>#NAME?</v>
      </c>
      <c r="Z689" s="177">
        <v>273.849999999994</v>
      </c>
    </row>
    <row r="690" spans="4:26">
      <c r="D690" s="166">
        <v>414.860000000002</v>
      </c>
      <c r="E690" s="168" t="e">
        <f t="shared" si="40"/>
        <v>#NAME?</v>
      </c>
      <c r="F690" s="169">
        <v>414.860000000002</v>
      </c>
      <c r="O690" s="166">
        <v>471.35999999999399</v>
      </c>
      <c r="P690" s="169" t="e">
        <f t="shared" si="41"/>
        <v>#NAME?</v>
      </c>
      <c r="Q690" s="177">
        <v>471.35999999999399</v>
      </c>
      <c r="R690" s="166">
        <v>471.86999999999398</v>
      </c>
      <c r="S690" s="166">
        <v>9.4886000000013251</v>
      </c>
      <c r="X690" s="166">
        <v>273.85999999999399</v>
      </c>
      <c r="Y690" s="169" t="e">
        <f t="shared" si="42"/>
        <v>#NAME?</v>
      </c>
      <c r="Z690" s="177">
        <v>273.85999999999399</v>
      </c>
    </row>
    <row r="691" spans="4:26">
      <c r="D691" s="166">
        <v>414.87000000000199</v>
      </c>
      <c r="E691" s="168" t="e">
        <f t="shared" si="40"/>
        <v>#NAME?</v>
      </c>
      <c r="F691" s="169">
        <v>414.87000000000199</v>
      </c>
      <c r="O691" s="166">
        <v>471.36999999999398</v>
      </c>
      <c r="P691" s="169" t="e">
        <f t="shared" si="41"/>
        <v>#NAME?</v>
      </c>
      <c r="Q691" s="177">
        <v>471.36999999999398</v>
      </c>
      <c r="R691" s="166">
        <v>471.87999999999403</v>
      </c>
      <c r="S691" s="166">
        <v>9.4864000000013142</v>
      </c>
      <c r="X691" s="166">
        <v>273.86999999999398</v>
      </c>
      <c r="Y691" s="169" t="e">
        <f t="shared" si="42"/>
        <v>#NAME?</v>
      </c>
      <c r="Z691" s="177">
        <v>273.86999999999398</v>
      </c>
    </row>
    <row r="692" spans="4:26">
      <c r="D692" s="166">
        <v>414.88000000000198</v>
      </c>
      <c r="E692" s="168" t="e">
        <f t="shared" si="40"/>
        <v>#NAME?</v>
      </c>
      <c r="F692" s="169">
        <v>414.88000000000198</v>
      </c>
      <c r="O692" s="166">
        <v>471.37999999999403</v>
      </c>
      <c r="P692" s="169" t="e">
        <f t="shared" si="41"/>
        <v>#NAME?</v>
      </c>
      <c r="Q692" s="177">
        <v>471.37999999999403</v>
      </c>
      <c r="R692" s="166">
        <v>471.88999999999402</v>
      </c>
      <c r="S692" s="166">
        <v>9.4842000000013176</v>
      </c>
      <c r="X692" s="166">
        <v>273.87999999999403</v>
      </c>
      <c r="Y692" s="169" t="e">
        <f t="shared" si="42"/>
        <v>#NAME?</v>
      </c>
      <c r="Z692" s="177">
        <v>273.87999999999403</v>
      </c>
    </row>
    <row r="693" spans="4:26">
      <c r="D693" s="166">
        <v>414.89000000000198</v>
      </c>
      <c r="E693" s="168" t="e">
        <f t="shared" si="40"/>
        <v>#NAME?</v>
      </c>
      <c r="F693" s="169">
        <v>414.89000000000198</v>
      </c>
      <c r="O693" s="166">
        <v>471.38999999999402</v>
      </c>
      <c r="P693" s="169" t="e">
        <f t="shared" si="41"/>
        <v>#NAME?</v>
      </c>
      <c r="Q693" s="177">
        <v>471.38999999999402</v>
      </c>
      <c r="R693" s="166">
        <v>471.89999999999401</v>
      </c>
      <c r="S693" s="166">
        <v>9.4820000000013192</v>
      </c>
      <c r="X693" s="166">
        <v>273.88999999999402</v>
      </c>
      <c r="Y693" s="169" t="e">
        <f t="shared" si="42"/>
        <v>#NAME?</v>
      </c>
      <c r="Z693" s="177">
        <v>273.88999999999402</v>
      </c>
    </row>
    <row r="694" spans="4:26">
      <c r="D694" s="166">
        <v>414.90000000000202</v>
      </c>
      <c r="E694" s="168" t="e">
        <f t="shared" si="40"/>
        <v>#NAME?</v>
      </c>
      <c r="F694" s="169">
        <v>414.90000000000202</v>
      </c>
      <c r="O694" s="166">
        <v>471.39999999999401</v>
      </c>
      <c r="P694" s="169" t="e">
        <f t="shared" si="41"/>
        <v>#NAME?</v>
      </c>
      <c r="Q694" s="177">
        <v>471.39999999999401</v>
      </c>
      <c r="R694" s="166">
        <v>471.909999999994</v>
      </c>
      <c r="S694" s="166">
        <v>9.4798000000013207</v>
      </c>
      <c r="X694" s="166">
        <v>273.89999999999401</v>
      </c>
      <c r="Y694" s="169" t="e">
        <f t="shared" si="42"/>
        <v>#NAME?</v>
      </c>
      <c r="Z694" s="177">
        <v>273.89999999999401</v>
      </c>
    </row>
    <row r="695" spans="4:26">
      <c r="D695" s="166">
        <v>414.91000000000201</v>
      </c>
      <c r="E695" s="168" t="e">
        <f t="shared" si="40"/>
        <v>#NAME?</v>
      </c>
      <c r="F695" s="169">
        <v>414.91000000000201</v>
      </c>
      <c r="O695" s="166">
        <v>471.409999999994</v>
      </c>
      <c r="P695" s="169" t="e">
        <f t="shared" si="41"/>
        <v>#NAME?</v>
      </c>
      <c r="Q695" s="177">
        <v>471.409999999994</v>
      </c>
      <c r="R695" s="166">
        <v>471.91999999999399</v>
      </c>
      <c r="S695" s="166">
        <v>9.4776000000013223</v>
      </c>
      <c r="X695" s="166">
        <v>273.909999999994</v>
      </c>
      <c r="Y695" s="169" t="e">
        <f t="shared" si="42"/>
        <v>#NAME?</v>
      </c>
      <c r="Z695" s="177">
        <v>273.909999999994</v>
      </c>
    </row>
    <row r="696" spans="4:26">
      <c r="D696" s="166">
        <v>414.92000000000201</v>
      </c>
      <c r="E696" s="168" t="e">
        <f t="shared" si="40"/>
        <v>#NAME?</v>
      </c>
      <c r="F696" s="169">
        <v>414.92000000000201</v>
      </c>
      <c r="O696" s="166">
        <v>471.41999999999399</v>
      </c>
      <c r="P696" s="169" t="e">
        <f t="shared" si="41"/>
        <v>#NAME?</v>
      </c>
      <c r="Q696" s="177">
        <v>471.41999999999399</v>
      </c>
      <c r="R696" s="166">
        <v>471.92999999999398</v>
      </c>
      <c r="S696" s="166">
        <v>9.4754000000013257</v>
      </c>
      <c r="X696" s="166">
        <v>273.91999999999399</v>
      </c>
      <c r="Y696" s="169" t="e">
        <f t="shared" si="42"/>
        <v>#NAME?</v>
      </c>
      <c r="Z696" s="177">
        <v>273.91999999999399</v>
      </c>
    </row>
    <row r="697" spans="4:26">
      <c r="D697" s="166">
        <v>414.930000000002</v>
      </c>
      <c r="E697" s="168" t="e">
        <f t="shared" si="40"/>
        <v>#NAME?</v>
      </c>
      <c r="F697" s="169">
        <v>414.930000000002</v>
      </c>
      <c r="O697" s="166">
        <v>471.42999999999398</v>
      </c>
      <c r="P697" s="169" t="e">
        <f t="shared" si="41"/>
        <v>#NAME?</v>
      </c>
      <c r="Q697" s="177">
        <v>471.42999999999398</v>
      </c>
      <c r="R697" s="166">
        <v>471.93999999999397</v>
      </c>
      <c r="S697" s="166">
        <v>9.4732000000013272</v>
      </c>
      <c r="X697" s="166">
        <v>273.92999999999398</v>
      </c>
      <c r="Y697" s="169" t="e">
        <f t="shared" si="42"/>
        <v>#NAME?</v>
      </c>
      <c r="Z697" s="177">
        <v>273.92999999999398</v>
      </c>
    </row>
    <row r="698" spans="4:26">
      <c r="D698" s="166">
        <v>414.94000000000199</v>
      </c>
      <c r="E698" s="168" t="e">
        <f t="shared" si="40"/>
        <v>#NAME?</v>
      </c>
      <c r="F698" s="169">
        <v>414.94000000000199</v>
      </c>
      <c r="O698" s="166">
        <v>471.43999999999397</v>
      </c>
      <c r="P698" s="169" t="e">
        <f t="shared" si="41"/>
        <v>#NAME?</v>
      </c>
      <c r="Q698" s="177">
        <v>471.43999999999397</v>
      </c>
      <c r="R698" s="166">
        <v>471.94999999999402</v>
      </c>
      <c r="S698" s="166">
        <v>9.4710000000013164</v>
      </c>
      <c r="X698" s="166">
        <v>273.93999999999397</v>
      </c>
      <c r="Y698" s="169" t="e">
        <f t="shared" si="42"/>
        <v>#NAME?</v>
      </c>
      <c r="Z698" s="177">
        <v>273.93999999999397</v>
      </c>
    </row>
    <row r="699" spans="4:26">
      <c r="D699" s="166">
        <v>414.95000000000198</v>
      </c>
      <c r="E699" s="168" t="e">
        <f t="shared" si="40"/>
        <v>#NAME?</v>
      </c>
      <c r="F699" s="169">
        <v>414.95000000000198</v>
      </c>
      <c r="O699" s="166">
        <v>471.44999999999402</v>
      </c>
      <c r="P699" s="169" t="e">
        <f t="shared" si="41"/>
        <v>#NAME?</v>
      </c>
      <c r="Q699" s="177">
        <v>471.44999999999402</v>
      </c>
      <c r="R699" s="166">
        <v>471.95999999999401</v>
      </c>
      <c r="S699" s="166">
        <v>9.4688000000013179</v>
      </c>
      <c r="X699" s="166">
        <v>273.94999999999402</v>
      </c>
      <c r="Y699" s="169" t="e">
        <f t="shared" si="42"/>
        <v>#NAME?</v>
      </c>
      <c r="Z699" s="177">
        <v>273.94999999999402</v>
      </c>
    </row>
    <row r="700" spans="4:26">
      <c r="D700" s="166">
        <v>414.96000000000203</v>
      </c>
      <c r="E700" s="168" t="e">
        <f t="shared" si="40"/>
        <v>#NAME?</v>
      </c>
      <c r="F700" s="169">
        <v>414.96000000000203</v>
      </c>
      <c r="O700" s="166">
        <v>471.45999999999401</v>
      </c>
      <c r="P700" s="169" t="e">
        <f t="shared" si="41"/>
        <v>#NAME?</v>
      </c>
      <c r="Q700" s="177">
        <v>471.45999999999401</v>
      </c>
      <c r="R700" s="166">
        <v>471.969999999994</v>
      </c>
      <c r="S700" s="166">
        <v>9.4666000000013213</v>
      </c>
      <c r="X700" s="166">
        <v>273.95999999999401</v>
      </c>
      <c r="Y700" s="169" t="e">
        <f t="shared" si="42"/>
        <v>#NAME?</v>
      </c>
      <c r="Z700" s="177">
        <v>273.95999999999401</v>
      </c>
    </row>
    <row r="701" spans="4:26">
      <c r="D701" s="166">
        <v>414.97000000000202</v>
      </c>
      <c r="E701" s="168" t="e">
        <f t="shared" si="40"/>
        <v>#NAME?</v>
      </c>
      <c r="F701" s="169">
        <v>414.97000000000202</v>
      </c>
      <c r="O701" s="166">
        <v>471.469999999994</v>
      </c>
      <c r="P701" s="169" t="e">
        <f t="shared" si="41"/>
        <v>#NAME?</v>
      </c>
      <c r="Q701" s="177">
        <v>471.469999999994</v>
      </c>
      <c r="R701" s="166">
        <v>471.97999999999399</v>
      </c>
      <c r="S701" s="166">
        <v>9.4644000000013229</v>
      </c>
      <c r="X701" s="166">
        <v>273.969999999994</v>
      </c>
      <c r="Y701" s="169" t="e">
        <f t="shared" si="42"/>
        <v>#NAME?</v>
      </c>
      <c r="Z701" s="177">
        <v>273.969999999994</v>
      </c>
    </row>
    <row r="702" spans="4:26">
      <c r="D702" s="166">
        <v>414.98000000000201</v>
      </c>
      <c r="E702" s="168" t="e">
        <f t="shared" si="40"/>
        <v>#NAME?</v>
      </c>
      <c r="F702" s="169">
        <v>414.98000000000201</v>
      </c>
      <c r="O702" s="166">
        <v>471.47999999999399</v>
      </c>
      <c r="P702" s="169" t="e">
        <f t="shared" si="41"/>
        <v>#NAME?</v>
      </c>
      <c r="Q702" s="177">
        <v>471.47999999999399</v>
      </c>
      <c r="R702" s="166">
        <v>471.98999999999398</v>
      </c>
      <c r="S702" s="166">
        <v>9.4622000000013244</v>
      </c>
      <c r="X702" s="166">
        <v>273.97999999999399</v>
      </c>
      <c r="Y702" s="169" t="e">
        <f t="shared" si="42"/>
        <v>#NAME?</v>
      </c>
      <c r="Z702" s="177">
        <v>273.97999999999399</v>
      </c>
    </row>
    <row r="703" spans="4:26">
      <c r="D703" s="166">
        <v>414.990000000002</v>
      </c>
      <c r="E703" s="168" t="e">
        <f t="shared" si="40"/>
        <v>#NAME?</v>
      </c>
      <c r="F703" s="169">
        <v>414.990000000002</v>
      </c>
      <c r="O703" s="166">
        <v>471.48999999999398</v>
      </c>
      <c r="P703" s="169" t="e">
        <f t="shared" si="41"/>
        <v>#NAME?</v>
      </c>
      <c r="Q703" s="177">
        <v>471.48999999999398</v>
      </c>
      <c r="R703" s="166">
        <v>471.99999999999397</v>
      </c>
      <c r="S703" s="166">
        <v>9.460000000001326</v>
      </c>
      <c r="X703" s="166">
        <v>273.98999999999398</v>
      </c>
      <c r="Y703" s="169" t="e">
        <f t="shared" si="42"/>
        <v>#NAME?</v>
      </c>
      <c r="Z703" s="177">
        <v>273.98999999999398</v>
      </c>
    </row>
    <row r="704" spans="4:26">
      <c r="D704" s="166">
        <v>415.00000000000199</v>
      </c>
      <c r="E704" s="168" t="e">
        <f t="shared" si="40"/>
        <v>#NAME?</v>
      </c>
      <c r="F704" s="169">
        <v>415.00000000000199</v>
      </c>
      <c r="O704" s="166">
        <v>471.49999999999397</v>
      </c>
      <c r="P704" s="169" t="e">
        <f t="shared" si="41"/>
        <v>#NAME?</v>
      </c>
      <c r="Q704" s="177">
        <v>471.49999999999397</v>
      </c>
      <c r="R704" s="166">
        <v>472.00999999999402</v>
      </c>
      <c r="S704" s="166">
        <v>9.4579000000012563</v>
      </c>
      <c r="X704" s="166">
        <v>273.99999999999397</v>
      </c>
      <c r="Y704" s="169" t="e">
        <f t="shared" si="42"/>
        <v>#NAME?</v>
      </c>
      <c r="Z704" s="177">
        <v>273.99999999999397</v>
      </c>
    </row>
    <row r="705" spans="15:26">
      <c r="O705" s="166">
        <v>471.50999999999402</v>
      </c>
      <c r="P705" s="169" t="e">
        <f t="shared" si="41"/>
        <v>#NAME?</v>
      </c>
      <c r="Q705" s="177">
        <v>471.50999999999402</v>
      </c>
      <c r="R705" s="166">
        <v>472.01999999999401</v>
      </c>
      <c r="S705" s="166">
        <v>9.4558000000012576</v>
      </c>
      <c r="X705" s="166">
        <v>274.00999999999402</v>
      </c>
      <c r="Y705" s="169" t="e">
        <f t="shared" si="42"/>
        <v>#NAME?</v>
      </c>
      <c r="Z705" s="177">
        <v>274.00999999999402</v>
      </c>
    </row>
    <row r="706" spans="15:26">
      <c r="O706" s="166">
        <v>471.51999999999401</v>
      </c>
      <c r="P706" s="169" t="e">
        <f t="shared" si="41"/>
        <v>#NAME?</v>
      </c>
      <c r="Q706" s="177">
        <v>471.51999999999401</v>
      </c>
      <c r="R706" s="166">
        <v>472.029999999994</v>
      </c>
      <c r="S706" s="166">
        <v>9.4537000000012608</v>
      </c>
      <c r="X706" s="166">
        <v>274.01999999999401</v>
      </c>
      <c r="Y706" s="169" t="e">
        <f t="shared" si="42"/>
        <v>#NAME?</v>
      </c>
      <c r="Z706" s="177">
        <v>274.01999999999401</v>
      </c>
    </row>
    <row r="707" spans="15:26">
      <c r="O707" s="166">
        <v>471.529999999994</v>
      </c>
      <c r="P707" s="169" t="e">
        <f t="shared" si="41"/>
        <v>#NAME?</v>
      </c>
      <c r="Q707" s="177">
        <v>471.529999999994</v>
      </c>
      <c r="R707" s="166">
        <v>472.039999999994</v>
      </c>
      <c r="S707" s="166">
        <v>9.4516000000012621</v>
      </c>
      <c r="X707" s="166">
        <v>274.029999999994</v>
      </c>
      <c r="Y707" s="169" t="e">
        <f t="shared" si="42"/>
        <v>#NAME?</v>
      </c>
      <c r="Z707" s="177">
        <v>274.029999999994</v>
      </c>
    </row>
    <row r="708" spans="15:26">
      <c r="O708" s="166">
        <v>471.539999999994</v>
      </c>
      <c r="P708" s="169" t="e">
        <f t="shared" ref="P708:P771" si="43">VLOOKUP(O708,THONGSOHO_BTS,2,1)+(VLOOKUP(O708+5,THONGSOHO_BTS,2,1)-VLOOKUP(O708,THONGSOHO_BTS,2,1))/5*(O708-VLOOKUP(O708,THONGSOHO_BTS,1,1))-264.29</f>
        <v>#NAME?</v>
      </c>
      <c r="Q708" s="177">
        <v>471.539999999994</v>
      </c>
      <c r="R708" s="166">
        <v>472.04999999999399</v>
      </c>
      <c r="S708" s="166">
        <v>9.4495000000012634</v>
      </c>
      <c r="X708" s="166">
        <v>274.039999999994</v>
      </c>
      <c r="Y708" s="169" t="e">
        <f t="shared" ref="Y708:Y771" si="44">VLOOKUP(X708,THONGSOHO_SP3,2,1)+(VLOOKUP(X708+2,THONGSOHO_SP3,2,1)-VLOOKUP(X708,THONGSOHO_SP3,2,1))/2*(X708-VLOOKUP(X708,THONGSOHO_SP3,1,1))-156.13</f>
        <v>#NAME?</v>
      </c>
      <c r="Z708" s="177">
        <v>274.039999999994</v>
      </c>
    </row>
    <row r="709" spans="15:26">
      <c r="O709" s="166">
        <v>471.54999999999399</v>
      </c>
      <c r="P709" s="169" t="e">
        <f t="shared" si="43"/>
        <v>#NAME?</v>
      </c>
      <c r="Q709" s="177">
        <v>471.54999999999399</v>
      </c>
      <c r="R709" s="166">
        <v>472.05999999999398</v>
      </c>
      <c r="S709" s="166">
        <v>9.4474000000012648</v>
      </c>
      <c r="X709" s="166">
        <v>274.04999999999399</v>
      </c>
      <c r="Y709" s="169" t="e">
        <f t="shared" si="44"/>
        <v>#NAME?</v>
      </c>
      <c r="Z709" s="177">
        <v>274.04999999999399</v>
      </c>
    </row>
    <row r="710" spans="15:26">
      <c r="O710" s="166">
        <v>471.55999999999398</v>
      </c>
      <c r="P710" s="169" t="e">
        <f t="shared" si="43"/>
        <v>#NAME?</v>
      </c>
      <c r="Q710" s="177">
        <v>471.55999999999398</v>
      </c>
      <c r="R710" s="166">
        <v>472.06999999999402</v>
      </c>
      <c r="S710" s="166">
        <v>9.4453000000012555</v>
      </c>
      <c r="X710" s="166">
        <v>274.05999999999398</v>
      </c>
      <c r="Y710" s="169" t="e">
        <f t="shared" si="44"/>
        <v>#NAME?</v>
      </c>
      <c r="Z710" s="177">
        <v>274.05999999999398</v>
      </c>
    </row>
    <row r="711" spans="15:26">
      <c r="O711" s="166">
        <v>471.56999999999402</v>
      </c>
      <c r="P711" s="169" t="e">
        <f t="shared" si="43"/>
        <v>#NAME?</v>
      </c>
      <c r="Q711" s="177">
        <v>471.56999999999402</v>
      </c>
      <c r="R711" s="166">
        <v>472.07999999999402</v>
      </c>
      <c r="S711" s="166">
        <v>9.4432000000012568</v>
      </c>
      <c r="X711" s="166">
        <v>274.06999999999402</v>
      </c>
      <c r="Y711" s="169" t="e">
        <f t="shared" si="44"/>
        <v>#NAME?</v>
      </c>
      <c r="Z711" s="177">
        <v>274.06999999999402</v>
      </c>
    </row>
    <row r="712" spans="15:26">
      <c r="O712" s="166">
        <v>471.57999999999402</v>
      </c>
      <c r="P712" s="169" t="e">
        <f t="shared" si="43"/>
        <v>#NAME?</v>
      </c>
      <c r="Q712" s="177">
        <v>471.57999999999402</v>
      </c>
      <c r="R712" s="166">
        <v>472.08999999999401</v>
      </c>
      <c r="S712" s="166">
        <v>9.4411000000012599</v>
      </c>
      <c r="X712" s="166">
        <v>274.07999999999402</v>
      </c>
      <c r="Y712" s="169" t="e">
        <f t="shared" si="44"/>
        <v>#NAME?</v>
      </c>
      <c r="Z712" s="177">
        <v>274.07999999999402</v>
      </c>
    </row>
    <row r="713" spans="15:26">
      <c r="O713" s="166">
        <v>471.58999999999401</v>
      </c>
      <c r="P713" s="169" t="e">
        <f t="shared" si="43"/>
        <v>#NAME?</v>
      </c>
      <c r="Q713" s="177">
        <v>471.58999999999401</v>
      </c>
      <c r="R713" s="166">
        <v>472.099999999994</v>
      </c>
      <c r="S713" s="166">
        <v>9.4390000000012613</v>
      </c>
      <c r="X713" s="166">
        <v>274.08999999999401</v>
      </c>
      <c r="Y713" s="169" t="e">
        <f t="shared" si="44"/>
        <v>#NAME?</v>
      </c>
      <c r="Z713" s="177">
        <v>274.08999999999401</v>
      </c>
    </row>
    <row r="714" spans="15:26">
      <c r="O714" s="166">
        <v>471.599999999994</v>
      </c>
      <c r="P714" s="169" t="e">
        <f t="shared" si="43"/>
        <v>#NAME?</v>
      </c>
      <c r="Q714" s="177">
        <v>471.599999999994</v>
      </c>
      <c r="R714" s="166">
        <v>472.10999999999399</v>
      </c>
      <c r="S714" s="166">
        <v>9.4369000000012626</v>
      </c>
      <c r="X714" s="166">
        <v>274.099999999994</v>
      </c>
      <c r="Y714" s="169" t="e">
        <f t="shared" si="44"/>
        <v>#NAME?</v>
      </c>
      <c r="Z714" s="177">
        <v>274.099999999994</v>
      </c>
    </row>
    <row r="715" spans="15:26">
      <c r="O715" s="166">
        <v>471.60999999999399</v>
      </c>
      <c r="P715" s="169" t="e">
        <f t="shared" si="43"/>
        <v>#NAME?</v>
      </c>
      <c r="Q715" s="177">
        <v>471.60999999999399</v>
      </c>
      <c r="R715" s="166">
        <v>472.11999999999398</v>
      </c>
      <c r="S715" s="166">
        <v>9.4348000000012657</v>
      </c>
      <c r="X715" s="166">
        <v>274.10999999999399</v>
      </c>
      <c r="Y715" s="169" t="e">
        <f t="shared" si="44"/>
        <v>#NAME?</v>
      </c>
      <c r="Z715" s="177">
        <v>274.10999999999399</v>
      </c>
    </row>
    <row r="716" spans="15:26">
      <c r="O716" s="166">
        <v>471.61999999999398</v>
      </c>
      <c r="P716" s="169" t="e">
        <f t="shared" si="43"/>
        <v>#NAME?</v>
      </c>
      <c r="Q716" s="177">
        <v>471.61999999999398</v>
      </c>
      <c r="R716" s="166">
        <v>472.12999999999403</v>
      </c>
      <c r="S716" s="166">
        <v>9.4327000000012546</v>
      </c>
      <c r="X716" s="166">
        <v>274.11999999999398</v>
      </c>
      <c r="Y716" s="169" t="e">
        <f t="shared" si="44"/>
        <v>#NAME?</v>
      </c>
      <c r="Z716" s="177">
        <v>274.11999999999398</v>
      </c>
    </row>
    <row r="717" spans="15:26">
      <c r="O717" s="166">
        <v>471.62999999999403</v>
      </c>
      <c r="P717" s="169" t="e">
        <f t="shared" si="43"/>
        <v>#NAME?</v>
      </c>
      <c r="Q717" s="177">
        <v>471.62999999999403</v>
      </c>
      <c r="R717" s="166">
        <v>472.13999999999402</v>
      </c>
      <c r="S717" s="166">
        <v>9.4306000000012578</v>
      </c>
      <c r="X717" s="166">
        <v>274.12999999999403</v>
      </c>
      <c r="Y717" s="169" t="e">
        <f t="shared" si="44"/>
        <v>#NAME?</v>
      </c>
      <c r="Z717" s="177">
        <v>274.12999999999403</v>
      </c>
    </row>
    <row r="718" spans="15:26">
      <c r="O718" s="166">
        <v>471.63999999999402</v>
      </c>
      <c r="P718" s="169" t="e">
        <f t="shared" si="43"/>
        <v>#NAME?</v>
      </c>
      <c r="Q718" s="177">
        <v>471.63999999999402</v>
      </c>
      <c r="R718" s="166">
        <v>472.14999999999299</v>
      </c>
      <c r="S718" s="166">
        <v>9.428500000001474</v>
      </c>
      <c r="X718" s="166">
        <v>274.13999999999402</v>
      </c>
      <c r="Y718" s="169" t="e">
        <f t="shared" si="44"/>
        <v>#NAME?</v>
      </c>
      <c r="Z718" s="177">
        <v>274.13999999999402</v>
      </c>
    </row>
    <row r="719" spans="15:26">
      <c r="O719" s="166">
        <v>471.64999999999299</v>
      </c>
      <c r="P719" s="169" t="e">
        <f t="shared" si="43"/>
        <v>#NAME?</v>
      </c>
      <c r="Q719" s="177">
        <v>471.64999999999299</v>
      </c>
      <c r="R719" s="166">
        <v>472.15999999999298</v>
      </c>
      <c r="S719" s="166">
        <v>9.4264000000014754</v>
      </c>
      <c r="X719" s="166">
        <v>274.14999999999299</v>
      </c>
      <c r="Y719" s="169" t="e">
        <f t="shared" si="44"/>
        <v>#NAME?</v>
      </c>
      <c r="Z719" s="177">
        <v>274.14999999999299</v>
      </c>
    </row>
    <row r="720" spans="15:26">
      <c r="O720" s="166">
        <v>471.65999999999298</v>
      </c>
      <c r="P720" s="169" t="e">
        <f t="shared" si="43"/>
        <v>#NAME?</v>
      </c>
      <c r="Q720" s="177">
        <v>471.65999999999298</v>
      </c>
      <c r="R720" s="166">
        <v>472.16999999999302</v>
      </c>
      <c r="S720" s="166">
        <v>9.4243000000014661</v>
      </c>
      <c r="X720" s="166">
        <v>274.15999999999298</v>
      </c>
      <c r="Y720" s="169" t="e">
        <f t="shared" si="44"/>
        <v>#NAME?</v>
      </c>
      <c r="Z720" s="177">
        <v>274.15999999999298</v>
      </c>
    </row>
    <row r="721" spans="15:26">
      <c r="O721" s="166">
        <v>471.66999999999302</v>
      </c>
      <c r="P721" s="169" t="e">
        <f t="shared" si="43"/>
        <v>#NAME?</v>
      </c>
      <c r="Q721" s="177">
        <v>471.66999999999302</v>
      </c>
      <c r="R721" s="166">
        <v>472.17999999999302</v>
      </c>
      <c r="S721" s="166">
        <v>9.4222000000014674</v>
      </c>
      <c r="X721" s="166">
        <v>274.16999999999302</v>
      </c>
      <c r="Y721" s="169" t="e">
        <f t="shared" si="44"/>
        <v>#NAME?</v>
      </c>
      <c r="Z721" s="177">
        <v>274.16999999999302</v>
      </c>
    </row>
    <row r="722" spans="15:26">
      <c r="O722" s="166">
        <v>471.67999999999302</v>
      </c>
      <c r="P722" s="169" t="e">
        <f t="shared" si="43"/>
        <v>#NAME?</v>
      </c>
      <c r="Q722" s="177">
        <v>471.67999999999302</v>
      </c>
      <c r="R722" s="166">
        <v>472.18999999999301</v>
      </c>
      <c r="S722" s="166">
        <v>9.4201000000014687</v>
      </c>
      <c r="X722" s="166">
        <v>274.17999999999302</v>
      </c>
      <c r="Y722" s="169" t="e">
        <f t="shared" si="44"/>
        <v>#NAME?</v>
      </c>
      <c r="Z722" s="177">
        <v>274.17999999999302</v>
      </c>
    </row>
    <row r="723" spans="15:26">
      <c r="O723" s="166">
        <v>471.68999999999301</v>
      </c>
      <c r="P723" s="169" t="e">
        <f t="shared" si="43"/>
        <v>#NAME?</v>
      </c>
      <c r="Q723" s="177">
        <v>471.68999999999301</v>
      </c>
      <c r="R723" s="166">
        <v>472.199999999993</v>
      </c>
      <c r="S723" s="166">
        <v>9.4180000000014719</v>
      </c>
      <c r="X723" s="166">
        <v>274.18999999999301</v>
      </c>
      <c r="Y723" s="169" t="e">
        <f t="shared" si="44"/>
        <v>#NAME?</v>
      </c>
      <c r="Z723" s="177">
        <v>274.18999999999301</v>
      </c>
    </row>
    <row r="724" spans="15:26">
      <c r="O724" s="166">
        <v>471.699999999993</v>
      </c>
      <c r="P724" s="169" t="e">
        <f t="shared" si="43"/>
        <v>#NAME?</v>
      </c>
      <c r="Q724" s="177">
        <v>471.699999999993</v>
      </c>
      <c r="R724" s="166">
        <v>472.20999999999299</v>
      </c>
      <c r="S724" s="166">
        <v>9.4159000000014732</v>
      </c>
      <c r="X724" s="166">
        <v>274.199999999993</v>
      </c>
      <c r="Y724" s="169" t="e">
        <f t="shared" si="44"/>
        <v>#NAME?</v>
      </c>
      <c r="Z724" s="177">
        <v>274.199999999993</v>
      </c>
    </row>
    <row r="725" spans="15:26">
      <c r="O725" s="166">
        <v>471.70999999999299</v>
      </c>
      <c r="P725" s="169" t="e">
        <f t="shared" si="43"/>
        <v>#NAME?</v>
      </c>
      <c r="Q725" s="177">
        <v>471.70999999999299</v>
      </c>
      <c r="R725" s="166">
        <v>472.21999999999298</v>
      </c>
      <c r="S725" s="166">
        <v>9.4138000000014745</v>
      </c>
      <c r="X725" s="166">
        <v>274.20999999999299</v>
      </c>
      <c r="Y725" s="169" t="e">
        <f t="shared" si="44"/>
        <v>#NAME?</v>
      </c>
      <c r="Z725" s="177">
        <v>274.20999999999299</v>
      </c>
    </row>
    <row r="726" spans="15:26">
      <c r="O726" s="166">
        <v>471.71999999999298</v>
      </c>
      <c r="P726" s="169" t="e">
        <f t="shared" si="43"/>
        <v>#NAME?</v>
      </c>
      <c r="Q726" s="177">
        <v>471.71999999999298</v>
      </c>
      <c r="R726" s="166">
        <v>472.22999999999303</v>
      </c>
      <c r="S726" s="166">
        <v>9.4117000000014652</v>
      </c>
      <c r="X726" s="166">
        <v>274.21999999999298</v>
      </c>
      <c r="Y726" s="169" t="e">
        <f t="shared" si="44"/>
        <v>#NAME?</v>
      </c>
      <c r="Z726" s="177">
        <v>274.21999999999298</v>
      </c>
    </row>
    <row r="727" spans="15:26">
      <c r="O727" s="166">
        <v>471.72999999999303</v>
      </c>
      <c r="P727" s="169" t="e">
        <f t="shared" si="43"/>
        <v>#NAME?</v>
      </c>
      <c r="Q727" s="177">
        <v>471.72999999999303</v>
      </c>
      <c r="R727" s="166">
        <v>472.23999999999302</v>
      </c>
      <c r="S727" s="166">
        <v>9.4096000000014666</v>
      </c>
      <c r="X727" s="166">
        <v>274.22999999999303</v>
      </c>
      <c r="Y727" s="169" t="e">
        <f t="shared" si="44"/>
        <v>#NAME?</v>
      </c>
      <c r="Z727" s="177">
        <v>274.22999999999303</v>
      </c>
    </row>
    <row r="728" spans="15:26">
      <c r="O728" s="166">
        <v>471.73999999999302</v>
      </c>
      <c r="P728" s="169" t="e">
        <f t="shared" si="43"/>
        <v>#NAME?</v>
      </c>
      <c r="Q728" s="177">
        <v>471.73999999999302</v>
      </c>
      <c r="R728" s="166">
        <v>472.24999999999301</v>
      </c>
      <c r="S728" s="166">
        <v>9.4075000000014697</v>
      </c>
      <c r="X728" s="166">
        <v>274.23999999999302</v>
      </c>
      <c r="Y728" s="169" t="e">
        <f t="shared" si="44"/>
        <v>#NAME?</v>
      </c>
      <c r="Z728" s="177">
        <v>274.23999999999302</v>
      </c>
    </row>
    <row r="729" spans="15:26">
      <c r="O729" s="166">
        <v>471.74999999999301</v>
      </c>
      <c r="P729" s="169" t="e">
        <f t="shared" si="43"/>
        <v>#NAME?</v>
      </c>
      <c r="Q729" s="177">
        <v>471.74999999999301</v>
      </c>
      <c r="R729" s="166">
        <v>472.259999999993</v>
      </c>
      <c r="S729" s="166">
        <v>9.405400000001471</v>
      </c>
      <c r="X729" s="166">
        <v>274.24999999999301</v>
      </c>
      <c r="Y729" s="169" t="e">
        <f t="shared" si="44"/>
        <v>#NAME?</v>
      </c>
      <c r="Z729" s="177">
        <v>274.24999999999301</v>
      </c>
    </row>
    <row r="730" spans="15:26">
      <c r="O730" s="166">
        <v>471.759999999993</v>
      </c>
      <c r="P730" s="169" t="e">
        <f t="shared" si="43"/>
        <v>#NAME?</v>
      </c>
      <c r="Q730" s="177">
        <v>471.759999999993</v>
      </c>
      <c r="R730" s="166">
        <v>472.26999999999299</v>
      </c>
      <c r="S730" s="166">
        <v>9.4033000000014724</v>
      </c>
      <c r="X730" s="166">
        <v>274.259999999993</v>
      </c>
      <c r="Y730" s="169" t="e">
        <f t="shared" si="44"/>
        <v>#NAME?</v>
      </c>
      <c r="Z730" s="177">
        <v>274.259999999993</v>
      </c>
    </row>
    <row r="731" spans="15:26">
      <c r="O731" s="166">
        <v>471.76999999999299</v>
      </c>
      <c r="P731" s="169" t="e">
        <f t="shared" si="43"/>
        <v>#NAME?</v>
      </c>
      <c r="Q731" s="177">
        <v>471.76999999999299</v>
      </c>
      <c r="R731" s="166">
        <v>472.27999999999298</v>
      </c>
      <c r="S731" s="166">
        <v>9.4012000000014755</v>
      </c>
      <c r="X731" s="166">
        <v>274.26999999999299</v>
      </c>
      <c r="Y731" s="169" t="e">
        <f t="shared" si="44"/>
        <v>#NAME?</v>
      </c>
      <c r="Z731" s="177">
        <v>274.26999999999299</v>
      </c>
    </row>
    <row r="732" spans="15:26">
      <c r="O732" s="166">
        <v>471.77999999999298</v>
      </c>
      <c r="P732" s="169" t="e">
        <f t="shared" si="43"/>
        <v>#NAME?</v>
      </c>
      <c r="Q732" s="177">
        <v>471.77999999999298</v>
      </c>
      <c r="R732" s="166">
        <v>472.28999999999297</v>
      </c>
      <c r="S732" s="166">
        <v>9.3991000000014768</v>
      </c>
      <c r="X732" s="166">
        <v>274.27999999999298</v>
      </c>
      <c r="Y732" s="169" t="e">
        <f t="shared" si="44"/>
        <v>#NAME?</v>
      </c>
      <c r="Z732" s="177">
        <v>274.27999999999298</v>
      </c>
    </row>
    <row r="733" spans="15:26">
      <c r="O733" s="166">
        <v>471.78999999999297</v>
      </c>
      <c r="P733" s="169" t="e">
        <f t="shared" si="43"/>
        <v>#NAME?</v>
      </c>
      <c r="Q733" s="177">
        <v>471.78999999999297</v>
      </c>
      <c r="R733" s="166">
        <v>472.29999999999302</v>
      </c>
      <c r="S733" s="166">
        <v>9.3970000000014657</v>
      </c>
      <c r="X733" s="166">
        <v>274.28999999999297</v>
      </c>
      <c r="Y733" s="169" t="e">
        <f t="shared" si="44"/>
        <v>#NAME?</v>
      </c>
      <c r="Z733" s="177">
        <v>274.28999999999297</v>
      </c>
    </row>
    <row r="734" spans="15:26">
      <c r="O734" s="166">
        <v>471.79999999999302</v>
      </c>
      <c r="P734" s="169" t="e">
        <f t="shared" si="43"/>
        <v>#NAME?</v>
      </c>
      <c r="Q734" s="177">
        <v>471.79999999999302</v>
      </c>
      <c r="R734" s="166">
        <v>472.30999999999301</v>
      </c>
      <c r="S734" s="166">
        <v>9.3949000000014689</v>
      </c>
      <c r="X734" s="166">
        <v>274.29999999999302</v>
      </c>
      <c r="Y734" s="169" t="e">
        <f t="shared" si="44"/>
        <v>#NAME?</v>
      </c>
      <c r="Z734" s="177">
        <v>274.29999999999302</v>
      </c>
    </row>
    <row r="735" spans="15:26">
      <c r="O735" s="166">
        <v>471.80999999999301</v>
      </c>
      <c r="P735" s="169" t="e">
        <f t="shared" si="43"/>
        <v>#NAME?</v>
      </c>
      <c r="Q735" s="177">
        <v>471.80999999999301</v>
      </c>
      <c r="R735" s="166">
        <v>472.319999999993</v>
      </c>
      <c r="S735" s="166">
        <v>9.3928000000014702</v>
      </c>
      <c r="X735" s="166">
        <v>274.30999999999301</v>
      </c>
      <c r="Y735" s="169" t="e">
        <f t="shared" si="44"/>
        <v>#NAME?</v>
      </c>
      <c r="Z735" s="177">
        <v>274.30999999999301</v>
      </c>
    </row>
    <row r="736" spans="15:26">
      <c r="O736" s="166">
        <v>471.819999999993</v>
      </c>
      <c r="P736" s="169" t="e">
        <f t="shared" si="43"/>
        <v>#NAME?</v>
      </c>
      <c r="Q736" s="177">
        <v>471.819999999993</v>
      </c>
      <c r="R736" s="166">
        <v>472.32999999999299</v>
      </c>
      <c r="S736" s="166">
        <v>9.3907000000014715</v>
      </c>
      <c r="X736" s="166">
        <v>274.319999999993</v>
      </c>
      <c r="Y736" s="169" t="e">
        <f t="shared" si="44"/>
        <v>#NAME?</v>
      </c>
      <c r="Z736" s="177">
        <v>274.319999999993</v>
      </c>
    </row>
    <row r="737" spans="15:26">
      <c r="O737" s="166">
        <v>471.82999999999299</v>
      </c>
      <c r="P737" s="169" t="e">
        <f t="shared" si="43"/>
        <v>#NAME?</v>
      </c>
      <c r="Q737" s="177">
        <v>471.82999999999299</v>
      </c>
      <c r="R737" s="166">
        <v>472.33999999999298</v>
      </c>
      <c r="S737" s="166">
        <v>9.3886000000014747</v>
      </c>
      <c r="X737" s="166">
        <v>274.32999999999299</v>
      </c>
      <c r="Y737" s="169" t="e">
        <f t="shared" si="44"/>
        <v>#NAME?</v>
      </c>
      <c r="Z737" s="177">
        <v>274.32999999999299</v>
      </c>
    </row>
    <row r="738" spans="15:26">
      <c r="O738" s="166">
        <v>471.83999999999298</v>
      </c>
      <c r="P738" s="169" t="e">
        <f t="shared" si="43"/>
        <v>#NAME?</v>
      </c>
      <c r="Q738" s="177">
        <v>471.83999999999298</v>
      </c>
      <c r="R738" s="166">
        <v>472.34999999999297</v>
      </c>
      <c r="S738" s="166">
        <v>9.386500000001476</v>
      </c>
      <c r="X738" s="166">
        <v>274.33999999999298</v>
      </c>
      <c r="Y738" s="169" t="e">
        <f t="shared" si="44"/>
        <v>#NAME?</v>
      </c>
      <c r="Z738" s="177">
        <v>274.33999999999298</v>
      </c>
    </row>
    <row r="739" spans="15:26">
      <c r="O739" s="166">
        <v>471.84999999999297</v>
      </c>
      <c r="P739" s="169" t="e">
        <f t="shared" si="43"/>
        <v>#NAME?</v>
      </c>
      <c r="Q739" s="177">
        <v>471.84999999999297</v>
      </c>
      <c r="R739" s="166">
        <v>472.35999999999302</v>
      </c>
      <c r="S739" s="166">
        <v>9.3844000000014667</v>
      </c>
      <c r="X739" s="166">
        <v>274.34999999999297</v>
      </c>
      <c r="Y739" s="169" t="e">
        <f t="shared" si="44"/>
        <v>#NAME?</v>
      </c>
      <c r="Z739" s="177">
        <v>274.34999999999297</v>
      </c>
    </row>
    <row r="740" spans="15:26">
      <c r="O740" s="166">
        <v>471.85999999999302</v>
      </c>
      <c r="P740" s="169" t="e">
        <f t="shared" si="43"/>
        <v>#NAME?</v>
      </c>
      <c r="Q740" s="177">
        <v>471.85999999999302</v>
      </c>
      <c r="R740" s="166">
        <v>472.36999999999301</v>
      </c>
      <c r="S740" s="166">
        <v>9.382300000001468</v>
      </c>
      <c r="X740" s="166">
        <v>274.35999999999302</v>
      </c>
      <c r="Y740" s="169" t="e">
        <f t="shared" si="44"/>
        <v>#NAME?</v>
      </c>
      <c r="Z740" s="177">
        <v>274.35999999999302</v>
      </c>
    </row>
    <row r="741" spans="15:26">
      <c r="O741" s="166">
        <v>471.86999999999301</v>
      </c>
      <c r="P741" s="169" t="e">
        <f t="shared" si="43"/>
        <v>#NAME?</v>
      </c>
      <c r="Q741" s="177">
        <v>471.86999999999301</v>
      </c>
      <c r="R741" s="166">
        <v>472.379999999993</v>
      </c>
      <c r="S741" s="166">
        <v>9.3802000000014694</v>
      </c>
      <c r="X741" s="166">
        <v>274.36999999999301</v>
      </c>
      <c r="Y741" s="169" t="e">
        <f t="shared" si="44"/>
        <v>#NAME?</v>
      </c>
      <c r="Z741" s="177">
        <v>274.36999999999301</v>
      </c>
    </row>
    <row r="742" spans="15:26">
      <c r="O742" s="166">
        <v>471.879999999993</v>
      </c>
      <c r="P742" s="169" t="e">
        <f t="shared" si="43"/>
        <v>#NAME?</v>
      </c>
      <c r="Q742" s="177">
        <v>471.879999999993</v>
      </c>
      <c r="R742" s="166">
        <v>472.38999999999299</v>
      </c>
      <c r="S742" s="166">
        <v>9.3781000000014725</v>
      </c>
      <c r="X742" s="166">
        <v>274.379999999993</v>
      </c>
      <c r="Y742" s="169" t="e">
        <f t="shared" si="44"/>
        <v>#NAME?</v>
      </c>
      <c r="Z742" s="177">
        <v>274.379999999993</v>
      </c>
    </row>
    <row r="743" spans="15:26">
      <c r="O743" s="166">
        <v>471.88999999999299</v>
      </c>
      <c r="P743" s="169" t="e">
        <f t="shared" si="43"/>
        <v>#NAME?</v>
      </c>
      <c r="Q743" s="177">
        <v>471.88999999999299</v>
      </c>
      <c r="R743" s="166">
        <v>472.39999999999299</v>
      </c>
      <c r="S743" s="166">
        <v>9.3760000000014738</v>
      </c>
      <c r="X743" s="166">
        <v>274.38999999999299</v>
      </c>
      <c r="Y743" s="169" t="e">
        <f t="shared" si="44"/>
        <v>#NAME?</v>
      </c>
      <c r="Z743" s="177">
        <v>274.38999999999299</v>
      </c>
    </row>
    <row r="744" spans="15:26">
      <c r="O744" s="166">
        <v>471.89999999999299</v>
      </c>
      <c r="P744" s="169" t="e">
        <f t="shared" si="43"/>
        <v>#NAME?</v>
      </c>
      <c r="Q744" s="177">
        <v>471.89999999999299</v>
      </c>
      <c r="R744" s="166">
        <v>472.40999999999298</v>
      </c>
      <c r="S744" s="166">
        <v>9.3739000000014752</v>
      </c>
      <c r="X744" s="166">
        <v>274.39999999999299</v>
      </c>
      <c r="Y744" s="169" t="e">
        <f t="shared" si="44"/>
        <v>#NAME?</v>
      </c>
      <c r="Z744" s="177">
        <v>274.39999999999299</v>
      </c>
    </row>
    <row r="745" spans="15:26">
      <c r="O745" s="166">
        <v>471.90999999999298</v>
      </c>
      <c r="P745" s="169" t="e">
        <f t="shared" si="43"/>
        <v>#NAME?</v>
      </c>
      <c r="Q745" s="177">
        <v>471.90999999999298</v>
      </c>
      <c r="R745" s="166">
        <v>472.41999999999302</v>
      </c>
      <c r="S745" s="166">
        <v>9.3718000000014658</v>
      </c>
      <c r="X745" s="166">
        <v>274.40999999999298</v>
      </c>
      <c r="Y745" s="169" t="e">
        <f t="shared" si="44"/>
        <v>#NAME?</v>
      </c>
      <c r="Z745" s="177">
        <v>274.40999999999298</v>
      </c>
    </row>
    <row r="746" spans="15:26">
      <c r="O746" s="166">
        <v>471.91999999999302</v>
      </c>
      <c r="P746" s="169" t="e">
        <f t="shared" si="43"/>
        <v>#NAME?</v>
      </c>
      <c r="Q746" s="177">
        <v>471.91999999999302</v>
      </c>
      <c r="R746" s="166">
        <v>472.42999999999302</v>
      </c>
      <c r="S746" s="166">
        <v>9.3697000000014672</v>
      </c>
      <c r="X746" s="166">
        <v>274.41999999999302</v>
      </c>
      <c r="Y746" s="169" t="e">
        <f t="shared" si="44"/>
        <v>#NAME?</v>
      </c>
      <c r="Z746" s="177">
        <v>274.41999999999302</v>
      </c>
    </row>
    <row r="747" spans="15:26">
      <c r="O747" s="166">
        <v>471.92999999999302</v>
      </c>
      <c r="P747" s="169" t="e">
        <f t="shared" si="43"/>
        <v>#NAME?</v>
      </c>
      <c r="Q747" s="177">
        <v>471.92999999999302</v>
      </c>
      <c r="R747" s="166">
        <v>472.43999999999301</v>
      </c>
      <c r="S747" s="166">
        <v>9.3676000000014685</v>
      </c>
      <c r="X747" s="166">
        <v>274.42999999999302</v>
      </c>
      <c r="Y747" s="169" t="e">
        <f t="shared" si="44"/>
        <v>#NAME?</v>
      </c>
      <c r="Z747" s="177">
        <v>274.42999999999302</v>
      </c>
    </row>
    <row r="748" spans="15:26">
      <c r="O748" s="166">
        <v>471.93999999999301</v>
      </c>
      <c r="P748" s="169" t="e">
        <f t="shared" si="43"/>
        <v>#NAME?</v>
      </c>
      <c r="Q748" s="177">
        <v>471.93999999999301</v>
      </c>
      <c r="R748" s="166">
        <v>472.449999999993</v>
      </c>
      <c r="S748" s="166">
        <v>9.3655000000014716</v>
      </c>
      <c r="X748" s="166">
        <v>274.43999999999301</v>
      </c>
      <c r="Y748" s="169" t="e">
        <f t="shared" si="44"/>
        <v>#NAME?</v>
      </c>
      <c r="Z748" s="177">
        <v>274.43999999999301</v>
      </c>
    </row>
    <row r="749" spans="15:26">
      <c r="O749" s="166">
        <v>471.949999999993</v>
      </c>
      <c r="P749" s="169" t="e">
        <f t="shared" si="43"/>
        <v>#NAME?</v>
      </c>
      <c r="Q749" s="177">
        <v>471.949999999993</v>
      </c>
      <c r="R749" s="166">
        <v>472.45999999999299</v>
      </c>
      <c r="S749" s="166">
        <v>9.363400000001473</v>
      </c>
      <c r="X749" s="166">
        <v>274.449999999993</v>
      </c>
      <c r="Y749" s="169" t="e">
        <f t="shared" si="44"/>
        <v>#NAME?</v>
      </c>
      <c r="Z749" s="177">
        <v>274.449999999993</v>
      </c>
    </row>
    <row r="750" spans="15:26">
      <c r="O750" s="166">
        <v>471.95999999999299</v>
      </c>
      <c r="P750" s="169" t="e">
        <f t="shared" si="43"/>
        <v>#NAME?</v>
      </c>
      <c r="Q750" s="177">
        <v>471.95999999999299</v>
      </c>
      <c r="R750" s="166">
        <v>472.46999999999298</v>
      </c>
      <c r="S750" s="166">
        <v>9.3613000000014743</v>
      </c>
      <c r="X750" s="166">
        <v>274.45999999999299</v>
      </c>
      <c r="Y750" s="169" t="e">
        <f t="shared" si="44"/>
        <v>#NAME?</v>
      </c>
      <c r="Z750" s="177">
        <v>274.45999999999299</v>
      </c>
    </row>
    <row r="751" spans="15:26">
      <c r="O751" s="166">
        <v>471.96999999999298</v>
      </c>
      <c r="P751" s="169" t="e">
        <f t="shared" si="43"/>
        <v>#NAME?</v>
      </c>
      <c r="Q751" s="177">
        <v>471.96999999999298</v>
      </c>
      <c r="R751" s="166">
        <v>472.47999999999303</v>
      </c>
      <c r="S751" s="166">
        <v>9.359200000001465</v>
      </c>
      <c r="X751" s="166">
        <v>274.46999999999298</v>
      </c>
      <c r="Y751" s="169" t="e">
        <f t="shared" si="44"/>
        <v>#NAME?</v>
      </c>
      <c r="Z751" s="177">
        <v>274.46999999999298</v>
      </c>
    </row>
    <row r="752" spans="15:26">
      <c r="O752" s="166">
        <v>471.97999999999303</v>
      </c>
      <c r="P752" s="169" t="e">
        <f t="shared" si="43"/>
        <v>#NAME?</v>
      </c>
      <c r="Q752" s="177">
        <v>471.97999999999303</v>
      </c>
      <c r="R752" s="166">
        <v>472.48999999999302</v>
      </c>
      <c r="S752" s="166">
        <v>9.3571000000014664</v>
      </c>
      <c r="X752" s="166">
        <v>274.47999999999303</v>
      </c>
      <c r="Y752" s="169" t="e">
        <f t="shared" si="44"/>
        <v>#NAME?</v>
      </c>
      <c r="Z752" s="177">
        <v>274.47999999999303</v>
      </c>
    </row>
    <row r="753" spans="15:26">
      <c r="O753" s="166">
        <v>471.98999999999302</v>
      </c>
      <c r="P753" s="169" t="e">
        <f t="shared" si="43"/>
        <v>#NAME?</v>
      </c>
      <c r="Q753" s="177">
        <v>471.98999999999302</v>
      </c>
      <c r="R753" s="166">
        <v>472.49999999999301</v>
      </c>
      <c r="S753" s="166">
        <v>9.3550000000014695</v>
      </c>
      <c r="X753" s="166">
        <v>274.48999999999302</v>
      </c>
      <c r="Y753" s="169" t="e">
        <f t="shared" si="44"/>
        <v>#NAME?</v>
      </c>
      <c r="Z753" s="177">
        <v>274.48999999999302</v>
      </c>
    </row>
    <row r="754" spans="15:26">
      <c r="O754" s="166">
        <v>471.99999999999301</v>
      </c>
      <c r="P754" s="169" t="e">
        <f t="shared" si="43"/>
        <v>#NAME?</v>
      </c>
      <c r="Q754" s="177">
        <v>471.99999999999301</v>
      </c>
      <c r="R754" s="166">
        <v>472.509999999993</v>
      </c>
      <c r="S754" s="166">
        <v>9.3529000000014708</v>
      </c>
      <c r="X754" s="166">
        <v>274.49999999999301</v>
      </c>
      <c r="Y754" s="169" t="e">
        <f t="shared" si="44"/>
        <v>#NAME?</v>
      </c>
      <c r="Z754" s="177">
        <v>274.49999999999301</v>
      </c>
    </row>
    <row r="755" spans="15:26">
      <c r="O755" s="166">
        <v>472.009999999993</v>
      </c>
      <c r="P755" s="169" t="e">
        <f t="shared" si="43"/>
        <v>#NAME?</v>
      </c>
      <c r="Q755" s="177">
        <v>472.009999999993</v>
      </c>
      <c r="R755" s="166">
        <v>472.51999999999299</v>
      </c>
      <c r="S755" s="166">
        <v>9.3508000000014722</v>
      </c>
      <c r="X755" s="166">
        <v>274.509999999993</v>
      </c>
      <c r="Y755" s="169" t="e">
        <f t="shared" si="44"/>
        <v>#NAME?</v>
      </c>
      <c r="Z755" s="177">
        <v>274.509999999993</v>
      </c>
    </row>
    <row r="756" spans="15:26">
      <c r="O756" s="166">
        <v>472.01999999999299</v>
      </c>
      <c r="P756" s="169" t="e">
        <f t="shared" si="43"/>
        <v>#NAME?</v>
      </c>
      <c r="Q756" s="177">
        <v>472.01999999999299</v>
      </c>
      <c r="R756" s="166">
        <v>472.52999999999298</v>
      </c>
      <c r="S756" s="166">
        <v>9.3487000000014753</v>
      </c>
      <c r="X756" s="166">
        <v>274.51999999999299</v>
      </c>
      <c r="Y756" s="169" t="e">
        <f t="shared" si="44"/>
        <v>#NAME?</v>
      </c>
      <c r="Z756" s="177">
        <v>274.51999999999299</v>
      </c>
    </row>
    <row r="757" spans="15:26">
      <c r="O757" s="166">
        <v>472.02999999999298</v>
      </c>
      <c r="P757" s="169" t="e">
        <f t="shared" si="43"/>
        <v>#NAME?</v>
      </c>
      <c r="Q757" s="177">
        <v>472.02999999999298</v>
      </c>
      <c r="R757" s="166">
        <v>472.53999999999297</v>
      </c>
      <c r="S757" s="166">
        <v>9.3466000000014766</v>
      </c>
      <c r="X757" s="166">
        <v>274.52999999999298</v>
      </c>
      <c r="Y757" s="169" t="e">
        <f t="shared" si="44"/>
        <v>#NAME?</v>
      </c>
      <c r="Z757" s="177">
        <v>274.52999999999298</v>
      </c>
    </row>
    <row r="758" spans="15:26">
      <c r="O758" s="166">
        <v>472.03999999999297</v>
      </c>
      <c r="P758" s="169" t="e">
        <f t="shared" si="43"/>
        <v>#NAME?</v>
      </c>
      <c r="Q758" s="177">
        <v>472.03999999999297</v>
      </c>
      <c r="R758" s="166">
        <v>472.54999999999302</v>
      </c>
      <c r="S758" s="166">
        <v>9.3445000000014655</v>
      </c>
      <c r="X758" s="166">
        <v>274.53999999999297</v>
      </c>
      <c r="Y758" s="169" t="e">
        <f t="shared" si="44"/>
        <v>#NAME?</v>
      </c>
      <c r="Z758" s="177">
        <v>274.53999999999297</v>
      </c>
    </row>
    <row r="759" spans="15:26">
      <c r="O759" s="166">
        <v>472.04999999999302</v>
      </c>
      <c r="P759" s="169" t="e">
        <f t="shared" si="43"/>
        <v>#NAME?</v>
      </c>
      <c r="Q759" s="177">
        <v>472.04999999999302</v>
      </c>
      <c r="R759" s="166">
        <v>472.55999999999301</v>
      </c>
      <c r="S759" s="166">
        <v>9.3424000000014686</v>
      </c>
      <c r="X759" s="166">
        <v>274.54999999999302</v>
      </c>
      <c r="Y759" s="169" t="e">
        <f t="shared" si="44"/>
        <v>#NAME?</v>
      </c>
      <c r="Z759" s="177">
        <v>274.54999999999302</v>
      </c>
    </row>
    <row r="760" spans="15:26">
      <c r="O760" s="166">
        <v>472.05999999999301</v>
      </c>
      <c r="P760" s="169" t="e">
        <f t="shared" si="43"/>
        <v>#NAME?</v>
      </c>
      <c r="Q760" s="177">
        <v>472.05999999999301</v>
      </c>
      <c r="R760" s="166">
        <v>472.569999999993</v>
      </c>
      <c r="S760" s="166">
        <v>9.34030000000147</v>
      </c>
      <c r="X760" s="166">
        <v>274.55999999999301</v>
      </c>
      <c r="Y760" s="169" t="e">
        <f t="shared" si="44"/>
        <v>#NAME?</v>
      </c>
      <c r="Z760" s="177">
        <v>274.55999999999301</v>
      </c>
    </row>
    <row r="761" spans="15:26">
      <c r="O761" s="166">
        <v>472.069999999993</v>
      </c>
      <c r="P761" s="169" t="e">
        <f t="shared" si="43"/>
        <v>#NAME?</v>
      </c>
      <c r="Q761" s="177">
        <v>472.069999999993</v>
      </c>
      <c r="R761" s="166">
        <v>472.57999999999299</v>
      </c>
      <c r="S761" s="166">
        <v>9.3382000000014713</v>
      </c>
      <c r="X761" s="166">
        <v>274.569999999993</v>
      </c>
      <c r="Y761" s="169" t="e">
        <f t="shared" si="44"/>
        <v>#NAME?</v>
      </c>
      <c r="Z761" s="177">
        <v>274.569999999993</v>
      </c>
    </row>
    <row r="762" spans="15:26">
      <c r="O762" s="166">
        <v>472.07999999999299</v>
      </c>
      <c r="P762" s="169" t="e">
        <f t="shared" si="43"/>
        <v>#NAME?</v>
      </c>
      <c r="Q762" s="177">
        <v>472.07999999999299</v>
      </c>
      <c r="R762" s="166">
        <v>472.58999999999298</v>
      </c>
      <c r="S762" s="166">
        <v>9.3361000000014744</v>
      </c>
      <c r="X762" s="166">
        <v>274.57999999999299</v>
      </c>
      <c r="Y762" s="169" t="e">
        <f t="shared" si="44"/>
        <v>#NAME?</v>
      </c>
      <c r="Z762" s="177">
        <v>274.57999999999299</v>
      </c>
    </row>
    <row r="763" spans="15:26">
      <c r="O763" s="166">
        <v>472.08999999999298</v>
      </c>
      <c r="P763" s="169" t="e">
        <f t="shared" si="43"/>
        <v>#NAME?</v>
      </c>
      <c r="Q763" s="177">
        <v>472.08999999999298</v>
      </c>
      <c r="R763" s="166">
        <v>472.59999999999297</v>
      </c>
      <c r="S763" s="166">
        <v>9.3340000000014758</v>
      </c>
      <c r="X763" s="166">
        <v>274.58999999999298</v>
      </c>
      <c r="Y763" s="169" t="e">
        <f t="shared" si="44"/>
        <v>#NAME?</v>
      </c>
      <c r="Z763" s="177">
        <v>274.58999999999298</v>
      </c>
    </row>
    <row r="764" spans="15:26">
      <c r="O764" s="166">
        <v>472.09999999999297</v>
      </c>
      <c r="P764" s="169" t="e">
        <f t="shared" si="43"/>
        <v>#NAME?</v>
      </c>
      <c r="Q764" s="177">
        <v>472.09999999999297</v>
      </c>
      <c r="R764" s="166">
        <v>472.60999999999302</v>
      </c>
      <c r="S764" s="166">
        <v>9.3319000000014665</v>
      </c>
      <c r="X764" s="166">
        <v>274.59999999999297</v>
      </c>
      <c r="Y764" s="169" t="e">
        <f t="shared" si="44"/>
        <v>#NAME?</v>
      </c>
      <c r="Z764" s="177">
        <v>274.59999999999297</v>
      </c>
    </row>
    <row r="765" spans="15:26">
      <c r="O765" s="166">
        <v>472.10999999999302</v>
      </c>
      <c r="P765" s="169" t="e">
        <f t="shared" si="43"/>
        <v>#NAME?</v>
      </c>
      <c r="Q765" s="177">
        <v>472.10999999999302</v>
      </c>
      <c r="R765" s="166">
        <v>472.61999999999301</v>
      </c>
      <c r="S765" s="166">
        <v>9.3298000000014678</v>
      </c>
      <c r="X765" s="166">
        <v>274.60999999999302</v>
      </c>
      <c r="Y765" s="169" t="e">
        <f t="shared" si="44"/>
        <v>#NAME?</v>
      </c>
      <c r="Z765" s="177">
        <v>274.60999999999302</v>
      </c>
    </row>
    <row r="766" spans="15:26">
      <c r="O766" s="166">
        <v>472.11999999999301</v>
      </c>
      <c r="P766" s="169" t="e">
        <f t="shared" si="43"/>
        <v>#NAME?</v>
      </c>
      <c r="Q766" s="177">
        <v>472.11999999999301</v>
      </c>
      <c r="R766" s="166">
        <v>472.629999999993</v>
      </c>
      <c r="S766" s="166">
        <v>9.3277000000014691</v>
      </c>
      <c r="X766" s="166">
        <v>274.61999999999301</v>
      </c>
      <c r="Y766" s="169" t="e">
        <f t="shared" si="44"/>
        <v>#NAME?</v>
      </c>
      <c r="Z766" s="177">
        <v>274.61999999999301</v>
      </c>
    </row>
    <row r="767" spans="15:26">
      <c r="O767" s="166">
        <v>472.129999999993</v>
      </c>
      <c r="P767" s="169" t="e">
        <f t="shared" si="43"/>
        <v>#NAME?</v>
      </c>
      <c r="Q767" s="177">
        <v>472.129999999993</v>
      </c>
      <c r="R767" s="166">
        <v>472.63999999999299</v>
      </c>
      <c r="S767" s="166">
        <v>9.3256000000014723</v>
      </c>
      <c r="X767" s="166">
        <v>274.629999999993</v>
      </c>
      <c r="Y767" s="169" t="e">
        <f t="shared" si="44"/>
        <v>#NAME?</v>
      </c>
      <c r="Z767" s="177">
        <v>274.629999999993</v>
      </c>
    </row>
    <row r="768" spans="15:26">
      <c r="O768" s="166">
        <v>472.13999999999299</v>
      </c>
      <c r="P768" s="169" t="e">
        <f t="shared" si="43"/>
        <v>#NAME?</v>
      </c>
      <c r="Q768" s="177">
        <v>472.13999999999299</v>
      </c>
      <c r="R768" s="166">
        <v>472.64999999999299</v>
      </c>
      <c r="S768" s="166">
        <v>9.3235000000014736</v>
      </c>
      <c r="X768" s="166">
        <v>274.63999999999299</v>
      </c>
      <c r="Y768" s="169" t="e">
        <f t="shared" si="44"/>
        <v>#NAME?</v>
      </c>
      <c r="Z768" s="177">
        <v>274.63999999999299</v>
      </c>
    </row>
    <row r="769" spans="15:26">
      <c r="O769" s="166">
        <v>472.14999999999299</v>
      </c>
      <c r="P769" s="169" t="e">
        <f t="shared" si="43"/>
        <v>#NAME?</v>
      </c>
      <c r="Q769" s="177">
        <v>472.14999999999299</v>
      </c>
      <c r="R769" s="166">
        <v>472.65999999999298</v>
      </c>
      <c r="S769" s="166">
        <v>9.321400000001475</v>
      </c>
      <c r="X769" s="166">
        <v>274.64999999999299</v>
      </c>
      <c r="Y769" s="169" t="e">
        <f t="shared" si="44"/>
        <v>#NAME?</v>
      </c>
      <c r="Z769" s="177">
        <v>274.64999999999299</v>
      </c>
    </row>
    <row r="770" spans="15:26">
      <c r="O770" s="166">
        <v>472.15999999999298</v>
      </c>
      <c r="P770" s="169" t="e">
        <f t="shared" si="43"/>
        <v>#NAME?</v>
      </c>
      <c r="Q770" s="177">
        <v>472.15999999999298</v>
      </c>
      <c r="R770" s="166">
        <v>472.66999999999302</v>
      </c>
      <c r="S770" s="166">
        <v>9.3193000000014656</v>
      </c>
      <c r="X770" s="166">
        <v>274.65999999999298</v>
      </c>
      <c r="Y770" s="169" t="e">
        <f t="shared" si="44"/>
        <v>#NAME?</v>
      </c>
      <c r="Z770" s="177">
        <v>274.65999999999298</v>
      </c>
    </row>
    <row r="771" spans="15:26">
      <c r="O771" s="166">
        <v>472.16999999999302</v>
      </c>
      <c r="P771" s="169" t="e">
        <f t="shared" si="43"/>
        <v>#NAME?</v>
      </c>
      <c r="Q771" s="177">
        <v>472.16999999999302</v>
      </c>
      <c r="R771" s="166">
        <v>472.67999999999302</v>
      </c>
      <c r="S771" s="166">
        <v>9.317200000001467</v>
      </c>
      <c r="X771" s="166">
        <v>274.66999999999302</v>
      </c>
      <c r="Y771" s="169" t="e">
        <f t="shared" si="44"/>
        <v>#NAME?</v>
      </c>
      <c r="Z771" s="177">
        <v>274.66999999999302</v>
      </c>
    </row>
    <row r="772" spans="15:26">
      <c r="O772" s="166">
        <v>472.17999999999302</v>
      </c>
      <c r="P772" s="169" t="e">
        <f t="shared" ref="P772:P835" si="45">VLOOKUP(O772,THONGSOHO_BTS,2,1)+(VLOOKUP(O772+5,THONGSOHO_BTS,2,1)-VLOOKUP(O772,THONGSOHO_BTS,2,1))/5*(O772-VLOOKUP(O772,THONGSOHO_BTS,1,1))-264.29</f>
        <v>#NAME?</v>
      </c>
      <c r="Q772" s="177">
        <v>472.17999999999302</v>
      </c>
      <c r="R772" s="166">
        <v>472.68999999999301</v>
      </c>
      <c r="S772" s="166">
        <v>9.3151000000014683</v>
      </c>
      <c r="X772" s="166">
        <v>274.67999999999302</v>
      </c>
      <c r="Y772" s="169" t="e">
        <f t="shared" ref="Y772:Y835" si="46">VLOOKUP(X772,THONGSOHO_SP3,2,1)+(VLOOKUP(X772+2,THONGSOHO_SP3,2,1)-VLOOKUP(X772,THONGSOHO_SP3,2,1))/2*(X772-VLOOKUP(X772,THONGSOHO_SP3,1,1))-156.13</f>
        <v>#NAME?</v>
      </c>
      <c r="Z772" s="177">
        <v>274.67999999999302</v>
      </c>
    </row>
    <row r="773" spans="15:26">
      <c r="O773" s="166">
        <v>472.18999999999301</v>
      </c>
      <c r="P773" s="169" t="e">
        <f t="shared" si="45"/>
        <v>#NAME?</v>
      </c>
      <c r="Q773" s="177">
        <v>472.18999999999301</v>
      </c>
      <c r="R773" s="166">
        <v>472.699999999993</v>
      </c>
      <c r="S773" s="166">
        <v>9.3130000000014714</v>
      </c>
      <c r="X773" s="166">
        <v>274.68999999999301</v>
      </c>
      <c r="Y773" s="169" t="e">
        <f t="shared" si="46"/>
        <v>#NAME?</v>
      </c>
      <c r="Z773" s="177">
        <v>274.68999999999301</v>
      </c>
    </row>
    <row r="774" spans="15:26">
      <c r="O774" s="166">
        <v>472.199999999993</v>
      </c>
      <c r="P774" s="169" t="e">
        <f t="shared" si="45"/>
        <v>#NAME?</v>
      </c>
      <c r="Q774" s="177">
        <v>472.199999999993</v>
      </c>
      <c r="R774" s="166">
        <v>472.70999999999299</v>
      </c>
      <c r="S774" s="166">
        <v>9.3109000000014728</v>
      </c>
      <c r="X774" s="166">
        <v>274.699999999993</v>
      </c>
      <c r="Y774" s="169" t="e">
        <f t="shared" si="46"/>
        <v>#NAME?</v>
      </c>
      <c r="Z774" s="177">
        <v>274.699999999993</v>
      </c>
    </row>
    <row r="775" spans="15:26">
      <c r="O775" s="166">
        <v>472.20999999999299</v>
      </c>
      <c r="P775" s="169" t="e">
        <f t="shared" si="45"/>
        <v>#NAME?</v>
      </c>
      <c r="Q775" s="177">
        <v>472.20999999999299</v>
      </c>
      <c r="R775" s="166">
        <v>472.71999999999298</v>
      </c>
      <c r="S775" s="166">
        <v>9.3088000000014741</v>
      </c>
      <c r="X775" s="166">
        <v>274.70999999999299</v>
      </c>
      <c r="Y775" s="169" t="e">
        <f t="shared" si="46"/>
        <v>#NAME?</v>
      </c>
      <c r="Z775" s="177">
        <v>274.70999999999299</v>
      </c>
    </row>
    <row r="776" spans="15:26">
      <c r="O776" s="166">
        <v>472.21999999999298</v>
      </c>
      <c r="P776" s="169" t="e">
        <f t="shared" si="45"/>
        <v>#NAME?</v>
      </c>
      <c r="Q776" s="177">
        <v>472.21999999999298</v>
      </c>
      <c r="R776" s="166">
        <v>472.72999999999303</v>
      </c>
      <c r="S776" s="166">
        <v>9.3067000000014648</v>
      </c>
      <c r="X776" s="166">
        <v>274.71999999999298</v>
      </c>
      <c r="Y776" s="169" t="e">
        <f t="shared" si="46"/>
        <v>#NAME?</v>
      </c>
      <c r="Z776" s="177">
        <v>274.71999999999298</v>
      </c>
    </row>
    <row r="777" spans="15:26">
      <c r="O777" s="166">
        <v>472.22999999999303</v>
      </c>
      <c r="P777" s="169" t="e">
        <f t="shared" si="45"/>
        <v>#NAME?</v>
      </c>
      <c r="Q777" s="177">
        <v>472.22999999999303</v>
      </c>
      <c r="R777" s="166">
        <v>472.73999999999302</v>
      </c>
      <c r="S777" s="166">
        <v>9.3046000000014661</v>
      </c>
      <c r="X777" s="166">
        <v>274.72999999999303</v>
      </c>
      <c r="Y777" s="169" t="e">
        <f t="shared" si="46"/>
        <v>#NAME?</v>
      </c>
      <c r="Z777" s="177">
        <v>274.72999999999303</v>
      </c>
    </row>
    <row r="778" spans="15:26">
      <c r="O778" s="166">
        <v>472.23999999999302</v>
      </c>
      <c r="P778" s="169" t="e">
        <f t="shared" si="45"/>
        <v>#NAME?</v>
      </c>
      <c r="Q778" s="177">
        <v>472.23999999999302</v>
      </c>
      <c r="R778" s="166">
        <v>472.74999999999301</v>
      </c>
      <c r="S778" s="166">
        <v>9.3025000000014693</v>
      </c>
      <c r="X778" s="166">
        <v>274.73999999999302</v>
      </c>
      <c r="Y778" s="169" t="e">
        <f t="shared" si="46"/>
        <v>#NAME?</v>
      </c>
      <c r="Z778" s="177">
        <v>274.73999999999302</v>
      </c>
    </row>
    <row r="779" spans="15:26">
      <c r="O779" s="166">
        <v>472.24999999999301</v>
      </c>
      <c r="P779" s="169" t="e">
        <f t="shared" si="45"/>
        <v>#NAME?</v>
      </c>
      <c r="Q779" s="177">
        <v>472.24999999999301</v>
      </c>
      <c r="R779" s="166">
        <v>472.759999999993</v>
      </c>
      <c r="S779" s="166">
        <v>9.3004000000014706</v>
      </c>
      <c r="X779" s="166">
        <v>274.74999999999301</v>
      </c>
      <c r="Y779" s="169" t="e">
        <f t="shared" si="46"/>
        <v>#NAME?</v>
      </c>
      <c r="Z779" s="177">
        <v>274.74999999999301</v>
      </c>
    </row>
    <row r="780" spans="15:26">
      <c r="O780" s="166">
        <v>472.259999999993</v>
      </c>
      <c r="P780" s="169" t="e">
        <f t="shared" si="45"/>
        <v>#NAME?</v>
      </c>
      <c r="Q780" s="177">
        <v>472.259999999993</v>
      </c>
      <c r="R780" s="166">
        <v>472.76999999999299</v>
      </c>
      <c r="S780" s="166">
        <v>9.2983000000014719</v>
      </c>
      <c r="X780" s="166">
        <v>274.759999999993</v>
      </c>
      <c r="Y780" s="169" t="e">
        <f t="shared" si="46"/>
        <v>#NAME?</v>
      </c>
      <c r="Z780" s="177">
        <v>274.759999999993</v>
      </c>
    </row>
    <row r="781" spans="15:26">
      <c r="O781" s="166">
        <v>472.26999999999299</v>
      </c>
      <c r="P781" s="169" t="e">
        <f t="shared" si="45"/>
        <v>#NAME?</v>
      </c>
      <c r="Q781" s="177">
        <v>472.26999999999299</v>
      </c>
      <c r="R781" s="166">
        <v>472.77999999999298</v>
      </c>
      <c r="S781" s="166">
        <v>9.2962000000014733</v>
      </c>
      <c r="X781" s="166">
        <v>274.76999999999299</v>
      </c>
      <c r="Y781" s="169" t="e">
        <f t="shared" si="46"/>
        <v>#NAME?</v>
      </c>
      <c r="Z781" s="177">
        <v>274.76999999999299</v>
      </c>
    </row>
    <row r="782" spans="15:26">
      <c r="O782" s="166">
        <v>472.27999999999298</v>
      </c>
      <c r="P782" s="169" t="e">
        <f t="shared" si="45"/>
        <v>#NAME?</v>
      </c>
      <c r="Q782" s="177">
        <v>472.27999999999298</v>
      </c>
      <c r="R782" s="166">
        <v>472.78999999999297</v>
      </c>
      <c r="S782" s="166">
        <v>9.2941000000014764</v>
      </c>
      <c r="X782" s="166">
        <v>274.77999999999298</v>
      </c>
      <c r="Y782" s="169" t="e">
        <f t="shared" si="46"/>
        <v>#NAME?</v>
      </c>
      <c r="Z782" s="177">
        <v>274.77999999999298</v>
      </c>
    </row>
    <row r="783" spans="15:26">
      <c r="O783" s="166">
        <v>472.28999999999297</v>
      </c>
      <c r="P783" s="169" t="e">
        <f t="shared" si="45"/>
        <v>#NAME?</v>
      </c>
      <c r="Q783" s="177">
        <v>472.28999999999297</v>
      </c>
      <c r="R783" s="166">
        <v>472.79999999999302</v>
      </c>
      <c r="S783" s="166">
        <v>9.2920000000014653</v>
      </c>
      <c r="X783" s="166">
        <v>274.78999999999297</v>
      </c>
      <c r="Y783" s="169" t="e">
        <f t="shared" si="46"/>
        <v>#NAME?</v>
      </c>
      <c r="Z783" s="177">
        <v>274.78999999999297</v>
      </c>
    </row>
    <row r="784" spans="15:26">
      <c r="O784" s="166">
        <v>472.29999999999302</v>
      </c>
      <c r="P784" s="169" t="e">
        <f t="shared" si="45"/>
        <v>#NAME?</v>
      </c>
      <c r="Q784" s="177">
        <v>472.29999999999302</v>
      </c>
      <c r="R784" s="166">
        <v>472.80999999999301</v>
      </c>
      <c r="S784" s="166">
        <v>9.2899000000014684</v>
      </c>
      <c r="X784" s="166">
        <v>274.79999999999302</v>
      </c>
      <c r="Y784" s="169" t="e">
        <f t="shared" si="46"/>
        <v>#NAME?</v>
      </c>
      <c r="Z784" s="177">
        <v>274.79999999999302</v>
      </c>
    </row>
    <row r="785" spans="15:26">
      <c r="O785" s="166">
        <v>472.30999999999301</v>
      </c>
      <c r="P785" s="169" t="e">
        <f t="shared" si="45"/>
        <v>#NAME?</v>
      </c>
      <c r="Q785" s="177">
        <v>472.30999999999301</v>
      </c>
      <c r="R785" s="166">
        <v>472.819999999993</v>
      </c>
      <c r="S785" s="166">
        <v>9.2878000000014698</v>
      </c>
      <c r="X785" s="166">
        <v>274.80999999999301</v>
      </c>
      <c r="Y785" s="169" t="e">
        <f t="shared" si="46"/>
        <v>#NAME?</v>
      </c>
      <c r="Z785" s="177">
        <v>274.80999999999301</v>
      </c>
    </row>
    <row r="786" spans="15:26">
      <c r="O786" s="166">
        <v>472.319999999993</v>
      </c>
      <c r="P786" s="169" t="e">
        <f t="shared" si="45"/>
        <v>#NAME?</v>
      </c>
      <c r="Q786" s="177">
        <v>472.319999999993</v>
      </c>
      <c r="R786" s="166">
        <v>472.82999999999299</v>
      </c>
      <c r="S786" s="166">
        <v>9.2857000000014711</v>
      </c>
      <c r="X786" s="166">
        <v>274.819999999993</v>
      </c>
      <c r="Y786" s="169" t="e">
        <f t="shared" si="46"/>
        <v>#NAME?</v>
      </c>
      <c r="Z786" s="177">
        <v>274.819999999993</v>
      </c>
    </row>
    <row r="787" spans="15:26">
      <c r="O787" s="166">
        <v>472.32999999999299</v>
      </c>
      <c r="P787" s="169" t="e">
        <f t="shared" si="45"/>
        <v>#NAME?</v>
      </c>
      <c r="Q787" s="177">
        <v>472.32999999999299</v>
      </c>
      <c r="R787" s="166">
        <v>472.83999999999298</v>
      </c>
      <c r="S787" s="166">
        <v>9.2836000000014742</v>
      </c>
      <c r="X787" s="166">
        <v>274.82999999999299</v>
      </c>
      <c r="Y787" s="169" t="e">
        <f t="shared" si="46"/>
        <v>#NAME?</v>
      </c>
      <c r="Z787" s="177">
        <v>274.82999999999299</v>
      </c>
    </row>
    <row r="788" spans="15:26">
      <c r="O788" s="166">
        <v>472.33999999999298</v>
      </c>
      <c r="P788" s="169" t="e">
        <f t="shared" si="45"/>
        <v>#NAME?</v>
      </c>
      <c r="Q788" s="177">
        <v>472.33999999999298</v>
      </c>
      <c r="R788" s="166">
        <v>472.84999999999297</v>
      </c>
      <c r="S788" s="166">
        <v>9.2815000000014756</v>
      </c>
      <c r="X788" s="166">
        <v>274.83999999999298</v>
      </c>
      <c r="Y788" s="169" t="e">
        <f t="shared" si="46"/>
        <v>#NAME?</v>
      </c>
      <c r="Z788" s="177">
        <v>274.83999999999298</v>
      </c>
    </row>
    <row r="789" spans="15:26">
      <c r="O789" s="166">
        <v>472.34999999999297</v>
      </c>
      <c r="P789" s="169" t="e">
        <f t="shared" si="45"/>
        <v>#NAME?</v>
      </c>
      <c r="Q789" s="177">
        <v>472.34999999999297</v>
      </c>
      <c r="R789" s="166">
        <v>472.85999999999302</v>
      </c>
      <c r="S789" s="166">
        <v>9.2794000000014663</v>
      </c>
      <c r="X789" s="166">
        <v>274.84999999999297</v>
      </c>
      <c r="Y789" s="169" t="e">
        <f t="shared" si="46"/>
        <v>#NAME?</v>
      </c>
      <c r="Z789" s="177">
        <v>274.84999999999297</v>
      </c>
    </row>
    <row r="790" spans="15:26">
      <c r="O790" s="166">
        <v>472.35999999999302</v>
      </c>
      <c r="P790" s="169" t="e">
        <f t="shared" si="45"/>
        <v>#NAME?</v>
      </c>
      <c r="Q790" s="177">
        <v>472.35999999999302</v>
      </c>
      <c r="R790" s="166">
        <v>472.86999999999301</v>
      </c>
      <c r="S790" s="166">
        <v>9.2773000000014676</v>
      </c>
      <c r="X790" s="166">
        <v>274.85999999999302</v>
      </c>
      <c r="Y790" s="169" t="e">
        <f t="shared" si="46"/>
        <v>#NAME?</v>
      </c>
      <c r="Z790" s="177">
        <v>274.85999999999302</v>
      </c>
    </row>
    <row r="791" spans="15:26">
      <c r="O791" s="166">
        <v>472.36999999999301</v>
      </c>
      <c r="P791" s="169" t="e">
        <f t="shared" si="45"/>
        <v>#NAME?</v>
      </c>
      <c r="Q791" s="177">
        <v>472.36999999999301</v>
      </c>
      <c r="R791" s="166">
        <v>472.879999999993</v>
      </c>
      <c r="S791" s="166">
        <v>9.2752000000014689</v>
      </c>
      <c r="X791" s="166">
        <v>274.86999999999301</v>
      </c>
      <c r="Y791" s="169" t="e">
        <f t="shared" si="46"/>
        <v>#NAME?</v>
      </c>
      <c r="Z791" s="177">
        <v>274.86999999999301</v>
      </c>
    </row>
    <row r="792" spans="15:26">
      <c r="O792" s="166">
        <v>472.379999999993</v>
      </c>
      <c r="P792" s="169" t="e">
        <f t="shared" si="45"/>
        <v>#NAME?</v>
      </c>
      <c r="Q792" s="177">
        <v>472.379999999993</v>
      </c>
      <c r="R792" s="166">
        <v>472.88999999999299</v>
      </c>
      <c r="S792" s="166">
        <v>9.2731000000014721</v>
      </c>
      <c r="X792" s="166">
        <v>274.879999999993</v>
      </c>
      <c r="Y792" s="169" t="e">
        <f t="shared" si="46"/>
        <v>#NAME?</v>
      </c>
      <c r="Z792" s="177">
        <v>274.879999999993</v>
      </c>
    </row>
    <row r="793" spans="15:26">
      <c r="O793" s="166">
        <v>472.38999999999299</v>
      </c>
      <c r="P793" s="169" t="e">
        <f t="shared" si="45"/>
        <v>#NAME?</v>
      </c>
      <c r="Q793" s="177">
        <v>472.38999999999299</v>
      </c>
      <c r="R793" s="166">
        <v>472.89999999999299</v>
      </c>
      <c r="S793" s="166">
        <v>9.2710000000014734</v>
      </c>
      <c r="X793" s="166">
        <v>274.88999999999299</v>
      </c>
      <c r="Y793" s="169" t="e">
        <f t="shared" si="46"/>
        <v>#NAME?</v>
      </c>
      <c r="Z793" s="177">
        <v>274.88999999999299</v>
      </c>
    </row>
    <row r="794" spans="15:26">
      <c r="O794" s="166">
        <v>472.39999999999299</v>
      </c>
      <c r="P794" s="169" t="e">
        <f t="shared" si="45"/>
        <v>#NAME?</v>
      </c>
      <c r="Q794" s="177">
        <v>472.39999999999299</v>
      </c>
      <c r="R794" s="166">
        <v>472.90999999999298</v>
      </c>
      <c r="S794" s="166">
        <v>9.2689000000014747</v>
      </c>
      <c r="X794" s="166">
        <v>274.89999999999299</v>
      </c>
      <c r="Y794" s="169" t="e">
        <f t="shared" si="46"/>
        <v>#NAME?</v>
      </c>
      <c r="Z794" s="177">
        <v>274.89999999999299</v>
      </c>
    </row>
    <row r="795" spans="15:26">
      <c r="O795" s="166">
        <v>472.40999999999298</v>
      </c>
      <c r="P795" s="169" t="e">
        <f t="shared" si="45"/>
        <v>#NAME?</v>
      </c>
      <c r="Q795" s="177">
        <v>472.40999999999298</v>
      </c>
      <c r="R795" s="166">
        <v>472.91999999999302</v>
      </c>
      <c r="S795" s="166">
        <v>9.2668000000014654</v>
      </c>
      <c r="X795" s="166">
        <v>274.90999999999298</v>
      </c>
      <c r="Y795" s="169" t="e">
        <f t="shared" si="46"/>
        <v>#NAME?</v>
      </c>
      <c r="Z795" s="177">
        <v>274.90999999999298</v>
      </c>
    </row>
    <row r="796" spans="15:26">
      <c r="O796" s="166">
        <v>472.41999999999302</v>
      </c>
      <c r="P796" s="169" t="e">
        <f t="shared" si="45"/>
        <v>#NAME?</v>
      </c>
      <c r="Q796" s="177">
        <v>472.41999999999302</v>
      </c>
      <c r="R796" s="166">
        <v>472.92999999999302</v>
      </c>
      <c r="S796" s="166">
        <v>9.2647000000014668</v>
      </c>
      <c r="X796" s="166">
        <v>274.91999999999302</v>
      </c>
      <c r="Y796" s="169" t="e">
        <f t="shared" si="46"/>
        <v>#NAME?</v>
      </c>
      <c r="Z796" s="177">
        <v>274.91999999999302</v>
      </c>
    </row>
    <row r="797" spans="15:26">
      <c r="O797" s="166">
        <v>472.42999999999302</v>
      </c>
      <c r="P797" s="169" t="e">
        <f t="shared" si="45"/>
        <v>#NAME?</v>
      </c>
      <c r="Q797" s="177">
        <v>472.42999999999302</v>
      </c>
      <c r="R797" s="166">
        <v>472.93999999999301</v>
      </c>
      <c r="S797" s="166">
        <v>9.2626000000014681</v>
      </c>
      <c r="X797" s="166">
        <v>274.92999999999302</v>
      </c>
      <c r="Y797" s="169" t="e">
        <f t="shared" si="46"/>
        <v>#NAME?</v>
      </c>
      <c r="Z797" s="177">
        <v>274.92999999999302</v>
      </c>
    </row>
    <row r="798" spans="15:26">
      <c r="O798" s="166">
        <v>472.43999999999301</v>
      </c>
      <c r="P798" s="169" t="e">
        <f t="shared" si="45"/>
        <v>#NAME?</v>
      </c>
      <c r="Q798" s="177">
        <v>472.43999999999301</v>
      </c>
      <c r="R798" s="166">
        <v>472.949999999993</v>
      </c>
      <c r="S798" s="166">
        <v>9.2605000000014712</v>
      </c>
      <c r="X798" s="166">
        <v>274.93999999999301</v>
      </c>
      <c r="Y798" s="169" t="e">
        <f t="shared" si="46"/>
        <v>#NAME?</v>
      </c>
      <c r="Z798" s="177">
        <v>274.93999999999301</v>
      </c>
    </row>
    <row r="799" spans="15:26">
      <c r="O799" s="166">
        <v>472.449999999993</v>
      </c>
      <c r="P799" s="169" t="e">
        <f t="shared" si="45"/>
        <v>#NAME?</v>
      </c>
      <c r="Q799" s="177">
        <v>472.449999999993</v>
      </c>
      <c r="R799" s="166">
        <v>472.95999999999299</v>
      </c>
      <c r="S799" s="166">
        <v>9.2584000000014726</v>
      </c>
      <c r="X799" s="166">
        <v>274.949999999993</v>
      </c>
      <c r="Y799" s="169" t="e">
        <f t="shared" si="46"/>
        <v>#NAME?</v>
      </c>
      <c r="Z799" s="177">
        <v>274.949999999993</v>
      </c>
    </row>
    <row r="800" spans="15:26">
      <c r="O800" s="166">
        <v>472.45999999999299</v>
      </c>
      <c r="P800" s="169" t="e">
        <f t="shared" si="45"/>
        <v>#NAME?</v>
      </c>
      <c r="Q800" s="177">
        <v>472.45999999999299</v>
      </c>
      <c r="R800" s="166">
        <v>472.96999999999298</v>
      </c>
      <c r="S800" s="166">
        <v>9.2563000000014739</v>
      </c>
      <c r="X800" s="166">
        <v>274.95999999999299</v>
      </c>
      <c r="Y800" s="169" t="e">
        <f t="shared" si="46"/>
        <v>#NAME?</v>
      </c>
      <c r="Z800" s="177">
        <v>274.95999999999299</v>
      </c>
    </row>
    <row r="801" spans="15:26">
      <c r="O801" s="166">
        <v>472.46999999999298</v>
      </c>
      <c r="P801" s="169" t="e">
        <f t="shared" si="45"/>
        <v>#NAME?</v>
      </c>
      <c r="Q801" s="177">
        <v>472.46999999999298</v>
      </c>
      <c r="R801" s="166">
        <v>472.97999999999303</v>
      </c>
      <c r="S801" s="166">
        <v>9.2542000000014646</v>
      </c>
      <c r="X801" s="166">
        <v>274.96999999999298</v>
      </c>
      <c r="Y801" s="169" t="e">
        <f t="shared" si="46"/>
        <v>#NAME?</v>
      </c>
      <c r="Z801" s="177">
        <v>274.96999999999298</v>
      </c>
    </row>
    <row r="802" spans="15:26">
      <c r="O802" s="166">
        <v>472.47999999999303</v>
      </c>
      <c r="P802" s="169" t="e">
        <f t="shared" si="45"/>
        <v>#NAME?</v>
      </c>
      <c r="Q802" s="177">
        <v>472.47999999999303</v>
      </c>
      <c r="R802" s="166">
        <v>472.98999999999302</v>
      </c>
      <c r="S802" s="166">
        <v>9.2521000000014659</v>
      </c>
      <c r="X802" s="166">
        <v>274.97999999999303</v>
      </c>
      <c r="Y802" s="169" t="e">
        <f t="shared" si="46"/>
        <v>#NAME?</v>
      </c>
      <c r="Z802" s="177">
        <v>274.97999999999303</v>
      </c>
    </row>
    <row r="803" spans="15:26">
      <c r="O803" s="166">
        <v>472.48999999999302</v>
      </c>
      <c r="P803" s="169" t="e">
        <f t="shared" si="45"/>
        <v>#NAME?</v>
      </c>
      <c r="Q803" s="177">
        <v>472.48999999999302</v>
      </c>
      <c r="R803" s="166">
        <v>472.99999999999301</v>
      </c>
      <c r="S803" s="166">
        <v>9.250000000001469</v>
      </c>
      <c r="X803" s="166">
        <v>274.98999999999302</v>
      </c>
      <c r="Y803" s="169" t="e">
        <f t="shared" si="46"/>
        <v>#NAME?</v>
      </c>
      <c r="Z803" s="177">
        <v>274.98999999999302</v>
      </c>
    </row>
    <row r="804" spans="15:26">
      <c r="O804" s="166">
        <v>472.49999999999301</v>
      </c>
      <c r="P804" s="169" t="e">
        <f t="shared" si="45"/>
        <v>#NAME?</v>
      </c>
      <c r="Q804" s="177">
        <v>472.49999999999301</v>
      </c>
      <c r="R804" s="166">
        <v>473.009999999993</v>
      </c>
      <c r="S804" s="166">
        <v>9.2484000000011193</v>
      </c>
      <c r="X804" s="166">
        <v>274.99999999999301</v>
      </c>
      <c r="Y804" s="169" t="e">
        <f t="shared" si="46"/>
        <v>#NAME?</v>
      </c>
      <c r="Z804" s="177">
        <v>274.99999999999301</v>
      </c>
    </row>
    <row r="805" spans="15:26">
      <c r="O805" s="166">
        <v>472.509999999993</v>
      </c>
      <c r="P805" s="169" t="e">
        <f t="shared" si="45"/>
        <v>#NAME?</v>
      </c>
      <c r="Q805" s="177">
        <v>472.509999999993</v>
      </c>
      <c r="R805" s="166">
        <v>473.01999999999299</v>
      </c>
      <c r="S805" s="166">
        <v>9.2468000000011212</v>
      </c>
      <c r="X805" s="166">
        <v>275.009999999993</v>
      </c>
      <c r="Y805" s="169" t="e">
        <f t="shared" si="46"/>
        <v>#NAME?</v>
      </c>
      <c r="Z805" s="177">
        <v>275.009999999993</v>
      </c>
    </row>
    <row r="806" spans="15:26">
      <c r="O806" s="166">
        <v>472.51999999999299</v>
      </c>
      <c r="P806" s="169" t="e">
        <f t="shared" si="45"/>
        <v>#NAME?</v>
      </c>
      <c r="Q806" s="177">
        <v>472.51999999999299</v>
      </c>
      <c r="R806" s="166">
        <v>473.02999999999298</v>
      </c>
      <c r="S806" s="166">
        <v>9.2452000000011232</v>
      </c>
      <c r="X806" s="166">
        <v>275.01999999999299</v>
      </c>
      <c r="Y806" s="169" t="e">
        <f t="shared" si="46"/>
        <v>#NAME?</v>
      </c>
      <c r="Z806" s="177">
        <v>275.01999999999299</v>
      </c>
    </row>
    <row r="807" spans="15:26">
      <c r="O807" s="166">
        <v>472.52999999999298</v>
      </c>
      <c r="P807" s="169" t="e">
        <f t="shared" si="45"/>
        <v>#NAME?</v>
      </c>
      <c r="Q807" s="177">
        <v>472.52999999999298</v>
      </c>
      <c r="R807" s="166">
        <v>473.03999999999297</v>
      </c>
      <c r="S807" s="166">
        <v>9.2436000000011251</v>
      </c>
      <c r="X807" s="166">
        <v>275.02999999999298</v>
      </c>
      <c r="Y807" s="169" t="e">
        <f t="shared" si="46"/>
        <v>#NAME?</v>
      </c>
      <c r="Z807" s="177">
        <v>275.02999999999298</v>
      </c>
    </row>
    <row r="808" spans="15:26">
      <c r="O808" s="166">
        <v>472.53999999999297</v>
      </c>
      <c r="P808" s="169" t="e">
        <f t="shared" si="45"/>
        <v>#NAME?</v>
      </c>
      <c r="Q808" s="177">
        <v>472.53999999999297</v>
      </c>
      <c r="R808" s="166">
        <v>473.04999999999302</v>
      </c>
      <c r="S808" s="166">
        <v>9.2420000000011164</v>
      </c>
      <c r="X808" s="166">
        <v>275.03999999999297</v>
      </c>
      <c r="Y808" s="169" t="e">
        <f t="shared" si="46"/>
        <v>#NAME?</v>
      </c>
      <c r="Z808" s="177">
        <v>275.03999999999297</v>
      </c>
    </row>
    <row r="809" spans="15:26">
      <c r="O809" s="166">
        <v>472.54999999999302</v>
      </c>
      <c r="P809" s="169" t="e">
        <f t="shared" si="45"/>
        <v>#NAME?</v>
      </c>
      <c r="Q809" s="177">
        <v>472.54999999999302</v>
      </c>
      <c r="R809" s="166">
        <v>473.05999999999301</v>
      </c>
      <c r="S809" s="166">
        <v>9.2404000000011184</v>
      </c>
      <c r="X809" s="166">
        <v>275.04999999999302</v>
      </c>
      <c r="Y809" s="169" t="e">
        <f t="shared" si="46"/>
        <v>#NAME?</v>
      </c>
      <c r="Z809" s="177">
        <v>275.04999999999302</v>
      </c>
    </row>
    <row r="810" spans="15:26">
      <c r="O810" s="166">
        <v>472.55999999999301</v>
      </c>
      <c r="P810" s="169" t="e">
        <f t="shared" si="45"/>
        <v>#NAME?</v>
      </c>
      <c r="Q810" s="177">
        <v>472.55999999999301</v>
      </c>
      <c r="R810" s="166">
        <v>473.069999999993</v>
      </c>
      <c r="S810" s="166">
        <v>9.2388000000011203</v>
      </c>
      <c r="X810" s="166">
        <v>275.05999999999301</v>
      </c>
      <c r="Y810" s="169" t="e">
        <f t="shared" si="46"/>
        <v>#NAME?</v>
      </c>
      <c r="Z810" s="177">
        <v>275.05999999999301</v>
      </c>
    </row>
    <row r="811" spans="15:26">
      <c r="O811" s="166">
        <v>472.569999999993</v>
      </c>
      <c r="P811" s="169" t="e">
        <f t="shared" si="45"/>
        <v>#NAME?</v>
      </c>
      <c r="Q811" s="177">
        <v>472.569999999993</v>
      </c>
      <c r="R811" s="166">
        <v>473.07999999999299</v>
      </c>
      <c r="S811" s="166">
        <v>9.2372000000011205</v>
      </c>
      <c r="X811" s="166">
        <v>275.069999999993</v>
      </c>
      <c r="Y811" s="169" t="e">
        <f t="shared" si="46"/>
        <v>#NAME?</v>
      </c>
      <c r="Z811" s="177">
        <v>275.069999999993</v>
      </c>
    </row>
    <row r="812" spans="15:26">
      <c r="O812" s="166">
        <v>472.57999999999299</v>
      </c>
      <c r="P812" s="169" t="e">
        <f t="shared" si="45"/>
        <v>#NAME?</v>
      </c>
      <c r="Q812" s="177">
        <v>472.57999999999299</v>
      </c>
      <c r="R812" s="166">
        <v>473.08999999999298</v>
      </c>
      <c r="S812" s="166">
        <v>9.2356000000011225</v>
      </c>
      <c r="X812" s="166">
        <v>275.07999999999299</v>
      </c>
      <c r="Y812" s="169" t="e">
        <f t="shared" si="46"/>
        <v>#NAME?</v>
      </c>
      <c r="Z812" s="177">
        <v>275.07999999999299</v>
      </c>
    </row>
    <row r="813" spans="15:26">
      <c r="O813" s="166">
        <v>472.58999999999298</v>
      </c>
      <c r="P813" s="169" t="e">
        <f t="shared" si="45"/>
        <v>#NAME?</v>
      </c>
      <c r="Q813" s="177">
        <v>472.58999999999298</v>
      </c>
      <c r="R813" s="166">
        <v>473.09999999999297</v>
      </c>
      <c r="S813" s="166">
        <v>9.2340000000011244</v>
      </c>
      <c r="X813" s="166">
        <v>275.08999999999298</v>
      </c>
      <c r="Y813" s="169" t="e">
        <f t="shared" si="46"/>
        <v>#NAME?</v>
      </c>
      <c r="Z813" s="177">
        <v>275.08999999999298</v>
      </c>
    </row>
    <row r="814" spans="15:26">
      <c r="O814" s="166">
        <v>472.59999999999297</v>
      </c>
      <c r="P814" s="169" t="e">
        <f t="shared" si="45"/>
        <v>#NAME?</v>
      </c>
      <c r="Q814" s="177">
        <v>472.59999999999297</v>
      </c>
      <c r="R814" s="166">
        <v>473.10999999999302</v>
      </c>
      <c r="S814" s="166">
        <v>9.2324000000011157</v>
      </c>
      <c r="X814" s="166">
        <v>275.09999999999297</v>
      </c>
      <c r="Y814" s="169" t="e">
        <f t="shared" si="46"/>
        <v>#NAME?</v>
      </c>
      <c r="Z814" s="177">
        <v>275.09999999999297</v>
      </c>
    </row>
    <row r="815" spans="15:26">
      <c r="O815" s="166">
        <v>472.60999999999302</v>
      </c>
      <c r="P815" s="169" t="e">
        <f t="shared" si="45"/>
        <v>#NAME?</v>
      </c>
      <c r="Q815" s="177">
        <v>472.60999999999302</v>
      </c>
      <c r="R815" s="166">
        <v>473.11999999999301</v>
      </c>
      <c r="S815" s="166">
        <v>9.2308000000011177</v>
      </c>
      <c r="X815" s="166">
        <v>275.10999999999302</v>
      </c>
      <c r="Y815" s="169" t="e">
        <f t="shared" si="46"/>
        <v>#NAME?</v>
      </c>
      <c r="Z815" s="177">
        <v>275.10999999999302</v>
      </c>
    </row>
    <row r="816" spans="15:26">
      <c r="O816" s="166">
        <v>472.61999999999301</v>
      </c>
      <c r="P816" s="169" t="e">
        <f t="shared" si="45"/>
        <v>#NAME?</v>
      </c>
      <c r="Q816" s="177">
        <v>472.61999999999301</v>
      </c>
      <c r="R816" s="166">
        <v>473.129999999993</v>
      </c>
      <c r="S816" s="166">
        <v>9.2292000000011196</v>
      </c>
      <c r="X816" s="166">
        <v>275.11999999999301</v>
      </c>
      <c r="Y816" s="169" t="e">
        <f t="shared" si="46"/>
        <v>#NAME?</v>
      </c>
      <c r="Z816" s="177">
        <v>275.11999999999301</v>
      </c>
    </row>
    <row r="817" spans="15:26">
      <c r="O817" s="166">
        <v>472.629999999993</v>
      </c>
      <c r="P817" s="169" t="e">
        <f t="shared" si="45"/>
        <v>#NAME?</v>
      </c>
      <c r="Q817" s="177">
        <v>472.629999999993</v>
      </c>
      <c r="R817" s="166">
        <v>473.13999999999299</v>
      </c>
      <c r="S817" s="166">
        <v>9.2276000000011216</v>
      </c>
      <c r="X817" s="166">
        <v>275.129999999993</v>
      </c>
      <c r="Y817" s="169" t="e">
        <f t="shared" si="46"/>
        <v>#NAME?</v>
      </c>
      <c r="Z817" s="177">
        <v>275.129999999993</v>
      </c>
    </row>
    <row r="818" spans="15:26">
      <c r="O818" s="166">
        <v>472.63999999999299</v>
      </c>
      <c r="P818" s="169" t="e">
        <f t="shared" si="45"/>
        <v>#NAME?</v>
      </c>
      <c r="Q818" s="177">
        <v>472.63999999999299</v>
      </c>
      <c r="R818" s="166">
        <v>473.14999999999299</v>
      </c>
      <c r="S818" s="166">
        <v>9.2260000000011217</v>
      </c>
      <c r="X818" s="166">
        <v>275.13999999999299</v>
      </c>
      <c r="Y818" s="169" t="e">
        <f t="shared" si="46"/>
        <v>#NAME?</v>
      </c>
      <c r="Z818" s="177">
        <v>275.13999999999299</v>
      </c>
    </row>
    <row r="819" spans="15:26">
      <c r="O819" s="166">
        <v>472.64999999999299</v>
      </c>
      <c r="P819" s="169" t="e">
        <f t="shared" si="45"/>
        <v>#NAME?</v>
      </c>
      <c r="Q819" s="177">
        <v>472.64999999999299</v>
      </c>
      <c r="R819" s="166">
        <v>473.15999999999298</v>
      </c>
      <c r="S819" s="166">
        <v>9.2244000000011237</v>
      </c>
      <c r="X819" s="166">
        <v>275.14999999999299</v>
      </c>
      <c r="Y819" s="169" t="e">
        <f t="shared" si="46"/>
        <v>#NAME?</v>
      </c>
      <c r="Z819" s="177">
        <v>275.14999999999299</v>
      </c>
    </row>
    <row r="820" spans="15:26">
      <c r="O820" s="166">
        <v>472.65999999999298</v>
      </c>
      <c r="P820" s="169" t="e">
        <f t="shared" si="45"/>
        <v>#NAME?</v>
      </c>
      <c r="Q820" s="177">
        <v>472.65999999999298</v>
      </c>
      <c r="R820" s="166">
        <v>473.16999999999302</v>
      </c>
      <c r="S820" s="166">
        <v>9.2228000000011168</v>
      </c>
      <c r="X820" s="166">
        <v>275.15999999999298</v>
      </c>
      <c r="Y820" s="169" t="e">
        <f t="shared" si="46"/>
        <v>#NAME?</v>
      </c>
      <c r="Z820" s="177">
        <v>275.15999999999298</v>
      </c>
    </row>
    <row r="821" spans="15:26">
      <c r="O821" s="166">
        <v>472.66999999999302</v>
      </c>
      <c r="P821" s="169" t="e">
        <f t="shared" si="45"/>
        <v>#NAME?</v>
      </c>
      <c r="Q821" s="177">
        <v>472.66999999999302</v>
      </c>
      <c r="R821" s="166">
        <v>473.17999999999302</v>
      </c>
      <c r="S821" s="166">
        <v>9.2212000000011169</v>
      </c>
      <c r="X821" s="166">
        <v>275.16999999999302</v>
      </c>
      <c r="Y821" s="169" t="e">
        <f t="shared" si="46"/>
        <v>#NAME?</v>
      </c>
      <c r="Z821" s="177">
        <v>275.16999999999302</v>
      </c>
    </row>
    <row r="822" spans="15:26">
      <c r="O822" s="166">
        <v>472.67999999999302</v>
      </c>
      <c r="P822" s="169" t="e">
        <f t="shared" si="45"/>
        <v>#NAME?</v>
      </c>
      <c r="Q822" s="177">
        <v>472.67999999999302</v>
      </c>
      <c r="R822" s="166">
        <v>473.18999999999301</v>
      </c>
      <c r="S822" s="166">
        <v>9.2196000000011189</v>
      </c>
      <c r="X822" s="166">
        <v>275.17999999999302</v>
      </c>
      <c r="Y822" s="169" t="e">
        <f t="shared" si="46"/>
        <v>#NAME?</v>
      </c>
      <c r="Z822" s="177">
        <v>275.17999999999302</v>
      </c>
    </row>
    <row r="823" spans="15:26">
      <c r="O823" s="166">
        <v>472.68999999999301</v>
      </c>
      <c r="P823" s="169" t="e">
        <f t="shared" si="45"/>
        <v>#NAME?</v>
      </c>
      <c r="Q823" s="177">
        <v>472.68999999999301</v>
      </c>
      <c r="R823" s="166">
        <v>473.199999999993</v>
      </c>
      <c r="S823" s="166">
        <v>9.2180000000011209</v>
      </c>
      <c r="X823" s="166">
        <v>275.18999999999301</v>
      </c>
      <c r="Y823" s="169" t="e">
        <f t="shared" si="46"/>
        <v>#NAME?</v>
      </c>
      <c r="Z823" s="177">
        <v>275.18999999999301</v>
      </c>
    </row>
    <row r="824" spans="15:26">
      <c r="O824" s="166">
        <v>472.699999999993</v>
      </c>
      <c r="P824" s="169" t="e">
        <f t="shared" si="45"/>
        <v>#NAME?</v>
      </c>
      <c r="Q824" s="177">
        <v>472.699999999993</v>
      </c>
      <c r="R824" s="166">
        <v>473.20999999999299</v>
      </c>
      <c r="S824" s="166">
        <v>9.2164000000011228</v>
      </c>
      <c r="X824" s="166">
        <v>275.199999999993</v>
      </c>
      <c r="Y824" s="169" t="e">
        <f t="shared" si="46"/>
        <v>#NAME?</v>
      </c>
      <c r="Z824" s="177">
        <v>275.199999999993</v>
      </c>
    </row>
    <row r="825" spans="15:26">
      <c r="O825" s="166">
        <v>472.70999999999299</v>
      </c>
      <c r="P825" s="169" t="e">
        <f t="shared" si="45"/>
        <v>#NAME?</v>
      </c>
      <c r="Q825" s="177">
        <v>472.70999999999299</v>
      </c>
      <c r="R825" s="166">
        <v>473.21999999999298</v>
      </c>
      <c r="S825" s="166">
        <v>9.214800000001123</v>
      </c>
      <c r="X825" s="166">
        <v>275.20999999999299</v>
      </c>
      <c r="Y825" s="169" t="e">
        <f t="shared" si="46"/>
        <v>#NAME?</v>
      </c>
      <c r="Z825" s="177">
        <v>275.20999999999299</v>
      </c>
    </row>
    <row r="826" spans="15:26">
      <c r="O826" s="166">
        <v>472.71999999999298</v>
      </c>
      <c r="P826" s="169" t="e">
        <f t="shared" si="45"/>
        <v>#NAME?</v>
      </c>
      <c r="Q826" s="177">
        <v>472.71999999999298</v>
      </c>
      <c r="R826" s="166">
        <v>473.22999999999303</v>
      </c>
      <c r="S826" s="166">
        <v>9.2132000000011161</v>
      </c>
      <c r="X826" s="166">
        <v>275.21999999999298</v>
      </c>
      <c r="Y826" s="169" t="e">
        <f t="shared" si="46"/>
        <v>#NAME?</v>
      </c>
      <c r="Z826" s="177">
        <v>275.21999999999298</v>
      </c>
    </row>
    <row r="827" spans="15:26">
      <c r="O827" s="166">
        <v>472.72999999999303</v>
      </c>
      <c r="P827" s="169" t="e">
        <f t="shared" si="45"/>
        <v>#NAME?</v>
      </c>
      <c r="Q827" s="177">
        <v>472.72999999999303</v>
      </c>
      <c r="R827" s="166">
        <v>473.23999999999302</v>
      </c>
      <c r="S827" s="166">
        <v>9.211600000001118</v>
      </c>
      <c r="X827" s="166">
        <v>275.22999999999303</v>
      </c>
      <c r="Y827" s="169" t="e">
        <f t="shared" si="46"/>
        <v>#NAME?</v>
      </c>
      <c r="Z827" s="177">
        <v>275.22999999999303</v>
      </c>
    </row>
    <row r="828" spans="15:26">
      <c r="O828" s="166">
        <v>472.73999999999302</v>
      </c>
      <c r="P828" s="169" t="e">
        <f t="shared" si="45"/>
        <v>#NAME?</v>
      </c>
      <c r="Q828" s="177">
        <v>472.73999999999302</v>
      </c>
      <c r="R828" s="166">
        <v>473.24999999999199</v>
      </c>
      <c r="S828" s="166">
        <v>9.2100000000012816</v>
      </c>
      <c r="X828" s="166">
        <v>275.23999999999302</v>
      </c>
      <c r="Y828" s="169" t="e">
        <f t="shared" si="46"/>
        <v>#NAME?</v>
      </c>
      <c r="Z828" s="177">
        <v>275.23999999999302</v>
      </c>
    </row>
    <row r="829" spans="15:26">
      <c r="O829" s="166">
        <v>472.74999999999199</v>
      </c>
      <c r="P829" s="169" t="e">
        <f t="shared" si="45"/>
        <v>#NAME?</v>
      </c>
      <c r="Q829" s="177">
        <v>472.74999999999199</v>
      </c>
      <c r="R829" s="166">
        <v>473.25999999999198</v>
      </c>
      <c r="S829" s="166">
        <v>9.2084000000012836</v>
      </c>
      <c r="X829" s="166">
        <v>275.24999999999199</v>
      </c>
      <c r="Y829" s="169" t="e">
        <f t="shared" si="46"/>
        <v>#NAME?</v>
      </c>
      <c r="Z829" s="177">
        <v>275.24999999999199</v>
      </c>
    </row>
    <row r="830" spans="15:26">
      <c r="O830" s="166">
        <v>472.75999999999198</v>
      </c>
      <c r="P830" s="169" t="e">
        <f t="shared" si="45"/>
        <v>#NAME?</v>
      </c>
      <c r="Q830" s="177">
        <v>472.75999999999198</v>
      </c>
      <c r="R830" s="166">
        <v>473.26999999999202</v>
      </c>
      <c r="S830" s="166">
        <v>9.2068000000012766</v>
      </c>
      <c r="X830" s="166">
        <v>275.25999999999198</v>
      </c>
      <c r="Y830" s="169" t="e">
        <f t="shared" si="46"/>
        <v>#NAME?</v>
      </c>
      <c r="Z830" s="177">
        <v>275.25999999999198</v>
      </c>
    </row>
    <row r="831" spans="15:26">
      <c r="O831" s="166">
        <v>472.76999999999202</v>
      </c>
      <c r="P831" s="169" t="e">
        <f t="shared" si="45"/>
        <v>#NAME?</v>
      </c>
      <c r="Q831" s="177">
        <v>472.76999999999202</v>
      </c>
      <c r="R831" s="166">
        <v>473.27999999999201</v>
      </c>
      <c r="S831" s="166">
        <v>9.2052000000012768</v>
      </c>
      <c r="X831" s="166">
        <v>275.26999999999202</v>
      </c>
      <c r="Y831" s="169" t="e">
        <f t="shared" si="46"/>
        <v>#NAME?</v>
      </c>
      <c r="Z831" s="177">
        <v>275.26999999999202</v>
      </c>
    </row>
    <row r="832" spans="15:26">
      <c r="O832" s="166">
        <v>472.77999999999201</v>
      </c>
      <c r="P832" s="169" t="e">
        <f t="shared" si="45"/>
        <v>#NAME?</v>
      </c>
      <c r="Q832" s="177">
        <v>472.77999999999201</v>
      </c>
      <c r="R832" s="166">
        <v>473.28999999999201</v>
      </c>
      <c r="S832" s="166">
        <v>9.2036000000012788</v>
      </c>
      <c r="X832" s="166">
        <v>275.27999999999201</v>
      </c>
      <c r="Y832" s="169" t="e">
        <f t="shared" si="46"/>
        <v>#NAME?</v>
      </c>
      <c r="Z832" s="177">
        <v>275.27999999999201</v>
      </c>
    </row>
    <row r="833" spans="15:26">
      <c r="O833" s="166">
        <v>472.78999999999201</v>
      </c>
      <c r="P833" s="169" t="e">
        <f t="shared" si="45"/>
        <v>#NAME?</v>
      </c>
      <c r="Q833" s="177">
        <v>472.78999999999201</v>
      </c>
      <c r="R833" s="166">
        <v>473.299999999992</v>
      </c>
      <c r="S833" s="166">
        <v>9.2020000000012807</v>
      </c>
      <c r="X833" s="166">
        <v>275.28999999999201</v>
      </c>
      <c r="Y833" s="169" t="e">
        <f t="shared" si="46"/>
        <v>#NAME?</v>
      </c>
      <c r="Z833" s="177">
        <v>275.28999999999201</v>
      </c>
    </row>
    <row r="834" spans="15:26">
      <c r="O834" s="166">
        <v>472.799999999992</v>
      </c>
      <c r="P834" s="169" t="e">
        <f t="shared" si="45"/>
        <v>#NAME?</v>
      </c>
      <c r="Q834" s="177">
        <v>472.799999999992</v>
      </c>
      <c r="R834" s="166">
        <v>473.30999999999199</v>
      </c>
      <c r="S834" s="166">
        <v>9.2004000000012827</v>
      </c>
      <c r="X834" s="166">
        <v>275.299999999992</v>
      </c>
      <c r="Y834" s="169" t="e">
        <f t="shared" si="46"/>
        <v>#NAME?</v>
      </c>
      <c r="Z834" s="177">
        <v>275.299999999992</v>
      </c>
    </row>
    <row r="835" spans="15:26">
      <c r="O835" s="166">
        <v>472.80999999999199</v>
      </c>
      <c r="P835" s="169" t="e">
        <f t="shared" si="45"/>
        <v>#NAME?</v>
      </c>
      <c r="Q835" s="177">
        <v>472.80999999999199</v>
      </c>
      <c r="R835" s="166">
        <v>473.31999999999198</v>
      </c>
      <c r="S835" s="166">
        <v>9.1988000000012828</v>
      </c>
      <c r="X835" s="166">
        <v>275.30999999999199</v>
      </c>
      <c r="Y835" s="169" t="e">
        <f t="shared" si="46"/>
        <v>#NAME?</v>
      </c>
      <c r="Z835" s="177">
        <v>275.30999999999199</v>
      </c>
    </row>
    <row r="836" spans="15:26">
      <c r="O836" s="166">
        <v>472.81999999999198</v>
      </c>
      <c r="P836" s="169" t="e">
        <f t="shared" ref="P836:P899" si="47">VLOOKUP(O836,THONGSOHO_BTS,2,1)+(VLOOKUP(O836+5,THONGSOHO_BTS,2,1)-VLOOKUP(O836,THONGSOHO_BTS,2,1))/5*(O836-VLOOKUP(O836,THONGSOHO_BTS,1,1))-264.29</f>
        <v>#NAME?</v>
      </c>
      <c r="Q836" s="177">
        <v>472.81999999999198</v>
      </c>
      <c r="R836" s="166">
        <v>473.32999999999203</v>
      </c>
      <c r="S836" s="166">
        <v>9.1972000000012759</v>
      </c>
      <c r="X836" s="166">
        <v>275.31999999999198</v>
      </c>
      <c r="Y836" s="169" t="e">
        <f t="shared" ref="Y836:Y899" si="48">VLOOKUP(X836,THONGSOHO_SP3,2,1)+(VLOOKUP(X836+2,THONGSOHO_SP3,2,1)-VLOOKUP(X836,THONGSOHO_SP3,2,1))/2*(X836-VLOOKUP(X836,THONGSOHO_SP3,1,1))-156.13</f>
        <v>#NAME?</v>
      </c>
      <c r="Z836" s="177">
        <v>275.31999999999198</v>
      </c>
    </row>
    <row r="837" spans="15:26">
      <c r="O837" s="166">
        <v>472.82999999999203</v>
      </c>
      <c r="P837" s="169" t="e">
        <f t="shared" si="47"/>
        <v>#NAME?</v>
      </c>
      <c r="Q837" s="177">
        <v>472.82999999999203</v>
      </c>
      <c r="R837" s="166">
        <v>473.33999999999202</v>
      </c>
      <c r="S837" s="166">
        <v>9.1956000000012779</v>
      </c>
      <c r="X837" s="166">
        <v>275.32999999999203</v>
      </c>
      <c r="Y837" s="169" t="e">
        <f t="shared" si="48"/>
        <v>#NAME?</v>
      </c>
      <c r="Z837" s="177">
        <v>275.32999999999203</v>
      </c>
    </row>
    <row r="838" spans="15:26">
      <c r="O838" s="166">
        <v>472.83999999999202</v>
      </c>
      <c r="P838" s="169" t="e">
        <f t="shared" si="47"/>
        <v>#NAME?</v>
      </c>
      <c r="Q838" s="177">
        <v>472.83999999999202</v>
      </c>
      <c r="R838" s="166">
        <v>473.34999999999201</v>
      </c>
      <c r="S838" s="166">
        <v>9.194000000001278</v>
      </c>
      <c r="X838" s="166">
        <v>275.33999999999202</v>
      </c>
      <c r="Y838" s="169" t="e">
        <f t="shared" si="48"/>
        <v>#NAME?</v>
      </c>
      <c r="Z838" s="177">
        <v>275.33999999999202</v>
      </c>
    </row>
    <row r="839" spans="15:26">
      <c r="O839" s="166">
        <v>472.84999999999201</v>
      </c>
      <c r="P839" s="169" t="e">
        <f t="shared" si="47"/>
        <v>#NAME?</v>
      </c>
      <c r="Q839" s="177">
        <v>472.84999999999201</v>
      </c>
      <c r="R839" s="166">
        <v>473.359999999992</v>
      </c>
      <c r="S839" s="166">
        <v>9.19240000000128</v>
      </c>
      <c r="X839" s="166">
        <v>275.34999999999201</v>
      </c>
      <c r="Y839" s="169" t="e">
        <f t="shared" si="48"/>
        <v>#NAME?</v>
      </c>
      <c r="Z839" s="177">
        <v>275.34999999999201</v>
      </c>
    </row>
    <row r="840" spans="15:26">
      <c r="O840" s="166">
        <v>472.859999999992</v>
      </c>
      <c r="P840" s="169" t="e">
        <f t="shared" si="47"/>
        <v>#NAME?</v>
      </c>
      <c r="Q840" s="177">
        <v>472.859999999992</v>
      </c>
      <c r="R840" s="166">
        <v>473.36999999999199</v>
      </c>
      <c r="S840" s="166">
        <v>9.1908000000012819</v>
      </c>
      <c r="X840" s="166">
        <v>275.359999999992</v>
      </c>
      <c r="Y840" s="169" t="e">
        <f t="shared" si="48"/>
        <v>#NAME?</v>
      </c>
      <c r="Z840" s="177">
        <v>275.359999999992</v>
      </c>
    </row>
    <row r="841" spans="15:26">
      <c r="O841" s="166">
        <v>472.86999999999199</v>
      </c>
      <c r="P841" s="169" t="e">
        <f t="shared" si="47"/>
        <v>#NAME?</v>
      </c>
      <c r="Q841" s="177">
        <v>472.86999999999199</v>
      </c>
      <c r="R841" s="166">
        <v>473.37999999999198</v>
      </c>
      <c r="S841" s="166">
        <v>9.1892000000012839</v>
      </c>
      <c r="X841" s="166">
        <v>275.36999999999199</v>
      </c>
      <c r="Y841" s="169" t="e">
        <f t="shared" si="48"/>
        <v>#NAME?</v>
      </c>
      <c r="Z841" s="177">
        <v>275.36999999999199</v>
      </c>
    </row>
    <row r="842" spans="15:26">
      <c r="O842" s="166">
        <v>472.87999999999198</v>
      </c>
      <c r="P842" s="169" t="e">
        <f t="shared" si="47"/>
        <v>#NAME?</v>
      </c>
      <c r="Q842" s="177">
        <v>472.87999999999198</v>
      </c>
      <c r="R842" s="166">
        <v>473.38999999999203</v>
      </c>
      <c r="S842" s="166">
        <v>9.1876000000012752</v>
      </c>
      <c r="X842" s="166">
        <v>275.37999999999198</v>
      </c>
      <c r="Y842" s="169" t="e">
        <f t="shared" si="48"/>
        <v>#NAME?</v>
      </c>
      <c r="Z842" s="177">
        <v>275.37999999999198</v>
      </c>
    </row>
    <row r="843" spans="15:26">
      <c r="O843" s="166">
        <v>472.88999999999203</v>
      </c>
      <c r="P843" s="169" t="e">
        <f t="shared" si="47"/>
        <v>#NAME?</v>
      </c>
      <c r="Q843" s="177">
        <v>472.88999999999203</v>
      </c>
      <c r="R843" s="166">
        <v>473.39999999999202</v>
      </c>
      <c r="S843" s="166">
        <v>9.1860000000012771</v>
      </c>
      <c r="X843" s="166">
        <v>275.38999999999203</v>
      </c>
      <c r="Y843" s="169" t="e">
        <f t="shared" si="48"/>
        <v>#NAME?</v>
      </c>
      <c r="Z843" s="177">
        <v>275.38999999999203</v>
      </c>
    </row>
    <row r="844" spans="15:26">
      <c r="O844" s="166">
        <v>472.89999999999202</v>
      </c>
      <c r="P844" s="169" t="e">
        <f t="shared" si="47"/>
        <v>#NAME?</v>
      </c>
      <c r="Q844" s="177">
        <v>472.89999999999202</v>
      </c>
      <c r="R844" s="166">
        <v>473.40999999999201</v>
      </c>
      <c r="S844" s="166">
        <v>9.1844000000012791</v>
      </c>
      <c r="X844" s="166">
        <v>275.39999999999202</v>
      </c>
      <c r="Y844" s="169" t="e">
        <f t="shared" si="48"/>
        <v>#NAME?</v>
      </c>
      <c r="Z844" s="177">
        <v>275.39999999999202</v>
      </c>
    </row>
    <row r="845" spans="15:26">
      <c r="O845" s="166">
        <v>472.90999999999201</v>
      </c>
      <c r="P845" s="169" t="e">
        <f t="shared" si="47"/>
        <v>#NAME?</v>
      </c>
      <c r="Q845" s="177">
        <v>472.90999999999201</v>
      </c>
      <c r="R845" s="166">
        <v>473.419999999992</v>
      </c>
      <c r="S845" s="166">
        <v>9.1828000000012793</v>
      </c>
      <c r="X845" s="166">
        <v>275.40999999999201</v>
      </c>
      <c r="Y845" s="169" t="e">
        <f t="shared" si="48"/>
        <v>#NAME?</v>
      </c>
      <c r="Z845" s="177">
        <v>275.40999999999201</v>
      </c>
    </row>
    <row r="846" spans="15:26">
      <c r="O846" s="166">
        <v>472.919999999992</v>
      </c>
      <c r="P846" s="169" t="e">
        <f t="shared" si="47"/>
        <v>#NAME?</v>
      </c>
      <c r="Q846" s="177">
        <v>472.919999999992</v>
      </c>
      <c r="R846" s="166">
        <v>473.42999999999199</v>
      </c>
      <c r="S846" s="166">
        <v>9.1812000000012812</v>
      </c>
      <c r="X846" s="166">
        <v>275.419999999992</v>
      </c>
      <c r="Y846" s="169" t="e">
        <f t="shared" si="48"/>
        <v>#NAME?</v>
      </c>
      <c r="Z846" s="177">
        <v>275.419999999992</v>
      </c>
    </row>
    <row r="847" spans="15:26">
      <c r="O847" s="166">
        <v>472.92999999999199</v>
      </c>
      <c r="P847" s="169" t="e">
        <f t="shared" si="47"/>
        <v>#NAME?</v>
      </c>
      <c r="Q847" s="177">
        <v>472.92999999999199</v>
      </c>
      <c r="R847" s="166">
        <v>473.43999999999198</v>
      </c>
      <c r="S847" s="166">
        <v>9.1796000000012832</v>
      </c>
      <c r="X847" s="166">
        <v>275.42999999999199</v>
      </c>
      <c r="Y847" s="169" t="e">
        <f t="shared" si="48"/>
        <v>#NAME?</v>
      </c>
      <c r="Z847" s="177">
        <v>275.42999999999199</v>
      </c>
    </row>
    <row r="848" spans="15:26">
      <c r="O848" s="166">
        <v>472.93999999999198</v>
      </c>
      <c r="P848" s="169" t="e">
        <f t="shared" si="47"/>
        <v>#NAME?</v>
      </c>
      <c r="Q848" s="177">
        <v>472.93999999999198</v>
      </c>
      <c r="R848" s="166">
        <v>473.44999999999197</v>
      </c>
      <c r="S848" s="166">
        <v>9.1780000000012834</v>
      </c>
      <c r="X848" s="166">
        <v>275.43999999999198</v>
      </c>
      <c r="Y848" s="169" t="e">
        <f t="shared" si="48"/>
        <v>#NAME?</v>
      </c>
      <c r="Z848" s="177">
        <v>275.43999999999198</v>
      </c>
    </row>
    <row r="849" spans="15:26">
      <c r="O849" s="166">
        <v>472.94999999999197</v>
      </c>
      <c r="P849" s="169" t="e">
        <f t="shared" si="47"/>
        <v>#NAME?</v>
      </c>
      <c r="Q849" s="177">
        <v>472.94999999999197</v>
      </c>
      <c r="R849" s="166">
        <v>473.45999999999202</v>
      </c>
      <c r="S849" s="166">
        <v>9.1764000000012764</v>
      </c>
      <c r="X849" s="166">
        <v>275.44999999999197</v>
      </c>
      <c r="Y849" s="169" t="e">
        <f t="shared" si="48"/>
        <v>#NAME?</v>
      </c>
      <c r="Z849" s="177">
        <v>275.44999999999197</v>
      </c>
    </row>
    <row r="850" spans="15:26">
      <c r="O850" s="166">
        <v>472.95999999999202</v>
      </c>
      <c r="P850" s="169" t="e">
        <f t="shared" si="47"/>
        <v>#NAME?</v>
      </c>
      <c r="Q850" s="177">
        <v>472.95999999999202</v>
      </c>
      <c r="R850" s="166">
        <v>473.46999999999201</v>
      </c>
      <c r="S850" s="166">
        <v>9.1748000000012784</v>
      </c>
      <c r="X850" s="166">
        <v>275.45999999999202</v>
      </c>
      <c r="Y850" s="169" t="e">
        <f t="shared" si="48"/>
        <v>#NAME?</v>
      </c>
      <c r="Z850" s="177">
        <v>275.45999999999202</v>
      </c>
    </row>
    <row r="851" spans="15:26">
      <c r="O851" s="166">
        <v>472.96999999999201</v>
      </c>
      <c r="P851" s="169" t="e">
        <f t="shared" si="47"/>
        <v>#NAME?</v>
      </c>
      <c r="Q851" s="177">
        <v>472.96999999999201</v>
      </c>
      <c r="R851" s="166">
        <v>473.479999999992</v>
      </c>
      <c r="S851" s="166">
        <v>9.1732000000012786</v>
      </c>
      <c r="X851" s="166">
        <v>275.46999999999201</v>
      </c>
      <c r="Y851" s="169" t="e">
        <f t="shared" si="48"/>
        <v>#NAME?</v>
      </c>
      <c r="Z851" s="177">
        <v>275.46999999999201</v>
      </c>
    </row>
    <row r="852" spans="15:26">
      <c r="O852" s="166">
        <v>472.979999999992</v>
      </c>
      <c r="P852" s="169" t="e">
        <f t="shared" si="47"/>
        <v>#NAME?</v>
      </c>
      <c r="Q852" s="177">
        <v>472.979999999992</v>
      </c>
      <c r="R852" s="166">
        <v>473.48999999999199</v>
      </c>
      <c r="S852" s="166">
        <v>9.1716000000012805</v>
      </c>
      <c r="X852" s="166">
        <v>275.479999999992</v>
      </c>
      <c r="Y852" s="169" t="e">
        <f t="shared" si="48"/>
        <v>#NAME?</v>
      </c>
      <c r="Z852" s="177">
        <v>275.479999999992</v>
      </c>
    </row>
    <row r="853" spans="15:26">
      <c r="O853" s="166">
        <v>472.98999999999199</v>
      </c>
      <c r="P853" s="169" t="e">
        <f t="shared" si="47"/>
        <v>#NAME?</v>
      </c>
      <c r="Q853" s="177">
        <v>472.98999999999199</v>
      </c>
      <c r="R853" s="166">
        <v>473.49999999999199</v>
      </c>
      <c r="S853" s="166">
        <v>9.1700000000012825</v>
      </c>
      <c r="X853" s="166">
        <v>275.48999999999199</v>
      </c>
      <c r="Y853" s="169" t="e">
        <f t="shared" si="48"/>
        <v>#NAME?</v>
      </c>
      <c r="Z853" s="177">
        <v>275.48999999999199</v>
      </c>
    </row>
    <row r="854" spans="15:26">
      <c r="O854" s="166">
        <v>472.99999999999199</v>
      </c>
      <c r="P854" s="169" t="e">
        <f t="shared" si="47"/>
        <v>#NAME?</v>
      </c>
      <c r="Q854" s="177">
        <v>472.99999999999199</v>
      </c>
      <c r="R854" s="166">
        <v>473.50999999999198</v>
      </c>
      <c r="S854" s="166">
        <v>9.1684000000012844</v>
      </c>
      <c r="X854" s="166">
        <v>275.49999999999199</v>
      </c>
      <c r="Y854" s="169" t="e">
        <f t="shared" si="48"/>
        <v>#NAME?</v>
      </c>
      <c r="Z854" s="177">
        <v>275.49999999999199</v>
      </c>
    </row>
    <row r="855" spans="15:26">
      <c r="O855" s="166">
        <v>473.00999999999198</v>
      </c>
      <c r="P855" s="169" t="e">
        <f t="shared" si="47"/>
        <v>#NAME?</v>
      </c>
      <c r="Q855" s="177">
        <v>473.00999999999198</v>
      </c>
      <c r="R855" s="166">
        <v>473.51999999999202</v>
      </c>
      <c r="S855" s="166">
        <v>9.1668000000012757</v>
      </c>
      <c r="X855" s="166">
        <v>275.50999999999198</v>
      </c>
      <c r="Y855" s="169" t="e">
        <f t="shared" si="48"/>
        <v>#NAME?</v>
      </c>
      <c r="Z855" s="177">
        <v>275.50999999999198</v>
      </c>
    </row>
    <row r="856" spans="15:26">
      <c r="O856" s="166">
        <v>473.01999999999202</v>
      </c>
      <c r="P856" s="169" t="e">
        <f t="shared" si="47"/>
        <v>#NAME?</v>
      </c>
      <c r="Q856" s="177">
        <v>473.01999999999202</v>
      </c>
      <c r="R856" s="166">
        <v>473.52999999999201</v>
      </c>
      <c r="S856" s="166">
        <v>9.1652000000012777</v>
      </c>
      <c r="X856" s="166">
        <v>275.51999999999202</v>
      </c>
      <c r="Y856" s="169" t="e">
        <f t="shared" si="48"/>
        <v>#NAME?</v>
      </c>
      <c r="Z856" s="177">
        <v>275.51999999999202</v>
      </c>
    </row>
    <row r="857" spans="15:26">
      <c r="O857" s="166">
        <v>473.02999999999201</v>
      </c>
      <c r="P857" s="169" t="e">
        <f t="shared" si="47"/>
        <v>#NAME?</v>
      </c>
      <c r="Q857" s="177">
        <v>473.02999999999201</v>
      </c>
      <c r="R857" s="166">
        <v>473.53999999999201</v>
      </c>
      <c r="S857" s="166">
        <v>9.1636000000012796</v>
      </c>
      <c r="X857" s="166">
        <v>275.52999999999201</v>
      </c>
      <c r="Y857" s="169" t="e">
        <f t="shared" si="48"/>
        <v>#NAME?</v>
      </c>
      <c r="Z857" s="177">
        <v>275.52999999999201</v>
      </c>
    </row>
    <row r="858" spans="15:26">
      <c r="O858" s="166">
        <v>473.03999999999201</v>
      </c>
      <c r="P858" s="169" t="e">
        <f t="shared" si="47"/>
        <v>#NAME?</v>
      </c>
      <c r="Q858" s="177">
        <v>473.03999999999201</v>
      </c>
      <c r="R858" s="166">
        <v>473.549999999992</v>
      </c>
      <c r="S858" s="166">
        <v>9.1620000000012798</v>
      </c>
      <c r="X858" s="166">
        <v>275.53999999999201</v>
      </c>
      <c r="Y858" s="169" t="e">
        <f t="shared" si="48"/>
        <v>#NAME?</v>
      </c>
      <c r="Z858" s="177">
        <v>275.53999999999201</v>
      </c>
    </row>
    <row r="859" spans="15:26">
      <c r="O859" s="166">
        <v>473.049999999992</v>
      </c>
      <c r="P859" s="169" t="e">
        <f t="shared" si="47"/>
        <v>#NAME?</v>
      </c>
      <c r="Q859" s="177">
        <v>473.049999999992</v>
      </c>
      <c r="R859" s="166">
        <v>473.55999999999199</v>
      </c>
      <c r="S859" s="166">
        <v>9.1604000000012817</v>
      </c>
      <c r="X859" s="166">
        <v>275.549999999992</v>
      </c>
      <c r="Y859" s="169" t="e">
        <f t="shared" si="48"/>
        <v>#NAME?</v>
      </c>
      <c r="Z859" s="177">
        <v>275.549999999992</v>
      </c>
    </row>
    <row r="860" spans="15:26">
      <c r="O860" s="166">
        <v>473.05999999999199</v>
      </c>
      <c r="P860" s="169" t="e">
        <f t="shared" si="47"/>
        <v>#NAME?</v>
      </c>
      <c r="Q860" s="177">
        <v>473.05999999999199</v>
      </c>
      <c r="R860" s="166">
        <v>473.56999999999198</v>
      </c>
      <c r="S860" s="166">
        <v>9.1588000000012837</v>
      </c>
      <c r="X860" s="166">
        <v>275.55999999999199</v>
      </c>
      <c r="Y860" s="169" t="e">
        <f t="shared" si="48"/>
        <v>#NAME?</v>
      </c>
      <c r="Z860" s="177">
        <v>275.55999999999199</v>
      </c>
    </row>
    <row r="861" spans="15:26">
      <c r="O861" s="166">
        <v>473.06999999999198</v>
      </c>
      <c r="P861" s="169" t="e">
        <f t="shared" si="47"/>
        <v>#NAME?</v>
      </c>
      <c r="Q861" s="177">
        <v>473.06999999999198</v>
      </c>
      <c r="R861" s="166">
        <v>473.57999999999203</v>
      </c>
      <c r="S861" s="166">
        <v>9.157200000001275</v>
      </c>
      <c r="X861" s="166">
        <v>275.56999999999198</v>
      </c>
      <c r="Y861" s="169" t="e">
        <f t="shared" si="48"/>
        <v>#NAME?</v>
      </c>
      <c r="Z861" s="177">
        <v>275.56999999999198</v>
      </c>
    </row>
    <row r="862" spans="15:26">
      <c r="O862" s="166">
        <v>473.07999999999203</v>
      </c>
      <c r="P862" s="169" t="e">
        <f t="shared" si="47"/>
        <v>#NAME?</v>
      </c>
      <c r="Q862" s="177">
        <v>473.07999999999203</v>
      </c>
      <c r="R862" s="166">
        <v>473.58999999999202</v>
      </c>
      <c r="S862" s="166">
        <v>9.1556000000012769</v>
      </c>
      <c r="X862" s="166">
        <v>275.57999999999203</v>
      </c>
      <c r="Y862" s="169" t="e">
        <f t="shared" si="48"/>
        <v>#NAME?</v>
      </c>
      <c r="Z862" s="177">
        <v>275.57999999999203</v>
      </c>
    </row>
    <row r="863" spans="15:26">
      <c r="O863" s="166">
        <v>473.08999999999202</v>
      </c>
      <c r="P863" s="169" t="e">
        <f t="shared" si="47"/>
        <v>#NAME?</v>
      </c>
      <c r="Q863" s="177">
        <v>473.08999999999202</v>
      </c>
      <c r="R863" s="166">
        <v>473.59999999999201</v>
      </c>
      <c r="S863" s="166">
        <v>9.1540000000012789</v>
      </c>
      <c r="X863" s="166">
        <v>275.58999999999202</v>
      </c>
      <c r="Y863" s="169" t="e">
        <f t="shared" si="48"/>
        <v>#NAME?</v>
      </c>
      <c r="Z863" s="177">
        <v>275.58999999999202</v>
      </c>
    </row>
    <row r="864" spans="15:26">
      <c r="O864" s="166">
        <v>473.09999999999201</v>
      </c>
      <c r="P864" s="169" t="e">
        <f t="shared" si="47"/>
        <v>#NAME?</v>
      </c>
      <c r="Q864" s="177">
        <v>473.09999999999201</v>
      </c>
      <c r="R864" s="166">
        <v>473.609999999992</v>
      </c>
      <c r="S864" s="166">
        <v>9.1524000000012808</v>
      </c>
      <c r="X864" s="166">
        <v>275.59999999999201</v>
      </c>
      <c r="Y864" s="169" t="e">
        <f t="shared" si="48"/>
        <v>#NAME?</v>
      </c>
      <c r="Z864" s="177">
        <v>275.59999999999201</v>
      </c>
    </row>
    <row r="865" spans="15:26">
      <c r="O865" s="166">
        <v>473.109999999992</v>
      </c>
      <c r="P865" s="169" t="e">
        <f t="shared" si="47"/>
        <v>#NAME?</v>
      </c>
      <c r="Q865" s="177">
        <v>473.109999999992</v>
      </c>
      <c r="R865" s="166">
        <v>473.61999999999199</v>
      </c>
      <c r="S865" s="166">
        <v>9.150800000001281</v>
      </c>
      <c r="X865" s="166">
        <v>275.609999999992</v>
      </c>
      <c r="Y865" s="169" t="e">
        <f t="shared" si="48"/>
        <v>#NAME?</v>
      </c>
      <c r="Z865" s="177">
        <v>275.609999999992</v>
      </c>
    </row>
    <row r="866" spans="15:26">
      <c r="O866" s="166">
        <v>473.11999999999199</v>
      </c>
      <c r="P866" s="169" t="e">
        <f t="shared" si="47"/>
        <v>#NAME?</v>
      </c>
      <c r="Q866" s="177">
        <v>473.11999999999199</v>
      </c>
      <c r="R866" s="166">
        <v>473.62999999999198</v>
      </c>
      <c r="S866" s="166">
        <v>9.149200000001283</v>
      </c>
      <c r="X866" s="166">
        <v>275.61999999999199</v>
      </c>
      <c r="Y866" s="169" t="e">
        <f t="shared" si="48"/>
        <v>#NAME?</v>
      </c>
      <c r="Z866" s="177">
        <v>275.61999999999199</v>
      </c>
    </row>
    <row r="867" spans="15:26">
      <c r="O867" s="166">
        <v>473.12999999999198</v>
      </c>
      <c r="P867" s="169" t="e">
        <f t="shared" si="47"/>
        <v>#NAME?</v>
      </c>
      <c r="Q867" s="177">
        <v>473.12999999999198</v>
      </c>
      <c r="R867" s="166">
        <v>473.63999999999203</v>
      </c>
      <c r="S867" s="166">
        <v>9.147600000001276</v>
      </c>
      <c r="X867" s="166">
        <v>275.62999999999198</v>
      </c>
      <c r="Y867" s="169" t="e">
        <f t="shared" si="48"/>
        <v>#NAME?</v>
      </c>
      <c r="Z867" s="177">
        <v>275.62999999999198</v>
      </c>
    </row>
    <row r="868" spans="15:26">
      <c r="O868" s="166">
        <v>473.13999999999203</v>
      </c>
      <c r="P868" s="169" t="e">
        <f t="shared" si="47"/>
        <v>#NAME?</v>
      </c>
      <c r="Q868" s="177">
        <v>473.13999999999203</v>
      </c>
      <c r="R868" s="166">
        <v>473.64999999999202</v>
      </c>
      <c r="S868" s="166">
        <v>9.1460000000012762</v>
      </c>
      <c r="X868" s="166">
        <v>275.63999999999203</v>
      </c>
      <c r="Y868" s="169" t="e">
        <f t="shared" si="48"/>
        <v>#NAME?</v>
      </c>
      <c r="Z868" s="177">
        <v>275.63999999999203</v>
      </c>
    </row>
    <row r="869" spans="15:26">
      <c r="O869" s="166">
        <v>473.14999999999202</v>
      </c>
      <c r="P869" s="169" t="e">
        <f t="shared" si="47"/>
        <v>#NAME?</v>
      </c>
      <c r="Q869" s="177">
        <v>473.14999999999202</v>
      </c>
      <c r="R869" s="166">
        <v>473.65999999999201</v>
      </c>
      <c r="S869" s="166">
        <v>9.1444000000012782</v>
      </c>
      <c r="X869" s="166">
        <v>275.64999999999202</v>
      </c>
      <c r="Y869" s="169" t="e">
        <f t="shared" si="48"/>
        <v>#NAME?</v>
      </c>
      <c r="Z869" s="177">
        <v>275.64999999999202</v>
      </c>
    </row>
    <row r="870" spans="15:26">
      <c r="O870" s="166">
        <v>473.15999999999201</v>
      </c>
      <c r="P870" s="169" t="e">
        <f t="shared" si="47"/>
        <v>#NAME?</v>
      </c>
      <c r="Q870" s="177">
        <v>473.15999999999201</v>
      </c>
      <c r="R870" s="166">
        <v>473.669999999992</v>
      </c>
      <c r="S870" s="166">
        <v>9.1428000000012801</v>
      </c>
      <c r="X870" s="166">
        <v>275.65999999999201</v>
      </c>
      <c r="Y870" s="169" t="e">
        <f t="shared" si="48"/>
        <v>#NAME?</v>
      </c>
      <c r="Z870" s="177">
        <v>275.65999999999201</v>
      </c>
    </row>
    <row r="871" spans="15:26">
      <c r="O871" s="166">
        <v>473.169999999992</v>
      </c>
      <c r="P871" s="169" t="e">
        <f t="shared" si="47"/>
        <v>#NAME?</v>
      </c>
      <c r="Q871" s="177">
        <v>473.169999999992</v>
      </c>
      <c r="R871" s="166">
        <v>473.67999999999199</v>
      </c>
      <c r="S871" s="166">
        <v>9.1412000000012821</v>
      </c>
      <c r="X871" s="166">
        <v>275.669999999992</v>
      </c>
      <c r="Y871" s="169" t="e">
        <f t="shared" si="48"/>
        <v>#NAME?</v>
      </c>
      <c r="Z871" s="177">
        <v>275.669999999992</v>
      </c>
    </row>
    <row r="872" spans="15:26">
      <c r="O872" s="166">
        <v>473.17999999999199</v>
      </c>
      <c r="P872" s="169" t="e">
        <f t="shared" si="47"/>
        <v>#NAME?</v>
      </c>
      <c r="Q872" s="177">
        <v>473.17999999999199</v>
      </c>
      <c r="R872" s="166">
        <v>473.68999999999198</v>
      </c>
      <c r="S872" s="166">
        <v>9.1396000000012823</v>
      </c>
      <c r="X872" s="166">
        <v>275.67999999999199</v>
      </c>
      <c r="Y872" s="169" t="e">
        <f t="shared" si="48"/>
        <v>#NAME?</v>
      </c>
      <c r="Z872" s="177">
        <v>275.67999999999199</v>
      </c>
    </row>
    <row r="873" spans="15:26">
      <c r="O873" s="166">
        <v>473.18999999999198</v>
      </c>
      <c r="P873" s="169" t="e">
        <f t="shared" si="47"/>
        <v>#NAME?</v>
      </c>
      <c r="Q873" s="177">
        <v>473.18999999999198</v>
      </c>
      <c r="R873" s="166">
        <v>473.69999999999197</v>
      </c>
      <c r="S873" s="166">
        <v>9.1380000000012842</v>
      </c>
      <c r="X873" s="166">
        <v>275.68999999999198</v>
      </c>
      <c r="Y873" s="169" t="e">
        <f t="shared" si="48"/>
        <v>#NAME?</v>
      </c>
      <c r="Z873" s="177">
        <v>275.68999999999198</v>
      </c>
    </row>
    <row r="874" spans="15:26">
      <c r="O874" s="166">
        <v>473.19999999999197</v>
      </c>
      <c r="P874" s="169" t="e">
        <f t="shared" si="47"/>
        <v>#NAME?</v>
      </c>
      <c r="Q874" s="177">
        <v>473.19999999999197</v>
      </c>
      <c r="R874" s="166">
        <v>473.70999999999202</v>
      </c>
      <c r="S874" s="166">
        <v>9.1364000000012773</v>
      </c>
      <c r="X874" s="166">
        <v>275.69999999999197</v>
      </c>
      <c r="Y874" s="169" t="e">
        <f t="shared" si="48"/>
        <v>#NAME?</v>
      </c>
      <c r="Z874" s="177">
        <v>275.69999999999197</v>
      </c>
    </row>
    <row r="875" spans="15:26">
      <c r="O875" s="166">
        <v>473.20999999999202</v>
      </c>
      <c r="P875" s="169" t="e">
        <f t="shared" si="47"/>
        <v>#NAME?</v>
      </c>
      <c r="Q875" s="177">
        <v>473.20999999999202</v>
      </c>
      <c r="R875" s="166">
        <v>473.71999999999201</v>
      </c>
      <c r="S875" s="166">
        <v>9.1348000000012775</v>
      </c>
      <c r="X875" s="166">
        <v>275.70999999999202</v>
      </c>
      <c r="Y875" s="169" t="e">
        <f t="shared" si="48"/>
        <v>#NAME?</v>
      </c>
      <c r="Z875" s="177">
        <v>275.70999999999202</v>
      </c>
    </row>
    <row r="876" spans="15:26">
      <c r="O876" s="166">
        <v>473.21999999999201</v>
      </c>
      <c r="P876" s="169" t="e">
        <f t="shared" si="47"/>
        <v>#NAME?</v>
      </c>
      <c r="Q876" s="177">
        <v>473.21999999999201</v>
      </c>
      <c r="R876" s="166">
        <v>473.729999999992</v>
      </c>
      <c r="S876" s="166">
        <v>9.1332000000012794</v>
      </c>
      <c r="X876" s="166">
        <v>275.71999999999201</v>
      </c>
      <c r="Y876" s="169" t="e">
        <f t="shared" si="48"/>
        <v>#NAME?</v>
      </c>
      <c r="Z876" s="177">
        <v>275.71999999999201</v>
      </c>
    </row>
    <row r="877" spans="15:26">
      <c r="O877" s="166">
        <v>473.229999999992</v>
      </c>
      <c r="P877" s="169" t="e">
        <f t="shared" si="47"/>
        <v>#NAME?</v>
      </c>
      <c r="Q877" s="177">
        <v>473.229999999992</v>
      </c>
      <c r="R877" s="166">
        <v>473.73999999999199</v>
      </c>
      <c r="S877" s="166">
        <v>9.1316000000012814</v>
      </c>
      <c r="X877" s="166">
        <v>275.729999999992</v>
      </c>
      <c r="Y877" s="169" t="e">
        <f t="shared" si="48"/>
        <v>#NAME?</v>
      </c>
      <c r="Z877" s="177">
        <v>275.729999999992</v>
      </c>
    </row>
    <row r="878" spans="15:26">
      <c r="O878" s="166">
        <v>473.23999999999199</v>
      </c>
      <c r="P878" s="169" t="e">
        <f t="shared" si="47"/>
        <v>#NAME?</v>
      </c>
      <c r="Q878" s="177">
        <v>473.23999999999199</v>
      </c>
      <c r="R878" s="166">
        <v>473.74999999999199</v>
      </c>
      <c r="S878" s="166">
        <v>9.1300000000012815</v>
      </c>
      <c r="X878" s="166">
        <v>275.73999999999199</v>
      </c>
      <c r="Y878" s="169" t="e">
        <f t="shared" si="48"/>
        <v>#NAME?</v>
      </c>
      <c r="Z878" s="177">
        <v>275.73999999999199</v>
      </c>
    </row>
    <row r="879" spans="15:26">
      <c r="O879" s="166">
        <v>473.24999999999199</v>
      </c>
      <c r="P879" s="169" t="e">
        <f t="shared" si="47"/>
        <v>#NAME?</v>
      </c>
      <c r="Q879" s="177">
        <v>473.24999999999199</v>
      </c>
      <c r="R879" s="166">
        <v>473.75999999999198</v>
      </c>
      <c r="S879" s="166">
        <v>9.1284000000012835</v>
      </c>
      <c r="X879" s="166">
        <v>275.74999999999199</v>
      </c>
      <c r="Y879" s="169" t="e">
        <f t="shared" si="48"/>
        <v>#NAME?</v>
      </c>
      <c r="Z879" s="177">
        <v>275.74999999999199</v>
      </c>
    </row>
    <row r="880" spans="15:26">
      <c r="O880" s="166">
        <v>473.25999999999198</v>
      </c>
      <c r="P880" s="169" t="e">
        <f t="shared" si="47"/>
        <v>#NAME?</v>
      </c>
      <c r="Q880" s="177">
        <v>473.25999999999198</v>
      </c>
      <c r="R880" s="166">
        <v>473.76999999999202</v>
      </c>
      <c r="S880" s="166">
        <v>9.1268000000012766</v>
      </c>
      <c r="X880" s="166">
        <v>275.75999999999198</v>
      </c>
      <c r="Y880" s="169" t="e">
        <f t="shared" si="48"/>
        <v>#NAME?</v>
      </c>
      <c r="Z880" s="177">
        <v>275.75999999999198</v>
      </c>
    </row>
    <row r="881" spans="15:26">
      <c r="O881" s="166">
        <v>473.26999999999202</v>
      </c>
      <c r="P881" s="169" t="e">
        <f t="shared" si="47"/>
        <v>#NAME?</v>
      </c>
      <c r="Q881" s="177">
        <v>473.26999999999202</v>
      </c>
      <c r="R881" s="166">
        <v>473.77999999999201</v>
      </c>
      <c r="S881" s="166">
        <v>9.1252000000012767</v>
      </c>
      <c r="X881" s="166">
        <v>275.76999999999202</v>
      </c>
      <c r="Y881" s="169" t="e">
        <f t="shared" si="48"/>
        <v>#NAME?</v>
      </c>
      <c r="Z881" s="177">
        <v>275.76999999999202</v>
      </c>
    </row>
    <row r="882" spans="15:26">
      <c r="O882" s="166">
        <v>473.27999999999201</v>
      </c>
      <c r="P882" s="169" t="e">
        <f t="shared" si="47"/>
        <v>#NAME?</v>
      </c>
      <c r="Q882" s="177">
        <v>473.27999999999201</v>
      </c>
      <c r="R882" s="166">
        <v>473.78999999999201</v>
      </c>
      <c r="S882" s="166">
        <v>9.1236000000012787</v>
      </c>
      <c r="X882" s="166">
        <v>275.77999999999201</v>
      </c>
      <c r="Y882" s="169" t="e">
        <f t="shared" si="48"/>
        <v>#NAME?</v>
      </c>
      <c r="Z882" s="177">
        <v>275.77999999999201</v>
      </c>
    </row>
    <row r="883" spans="15:26">
      <c r="O883" s="166">
        <v>473.28999999999201</v>
      </c>
      <c r="P883" s="169" t="e">
        <f t="shared" si="47"/>
        <v>#NAME?</v>
      </c>
      <c r="Q883" s="177">
        <v>473.28999999999201</v>
      </c>
      <c r="R883" s="166">
        <v>473.799999999992</v>
      </c>
      <c r="S883" s="166">
        <v>9.1220000000012806</v>
      </c>
      <c r="X883" s="166">
        <v>275.78999999999201</v>
      </c>
      <c r="Y883" s="169" t="e">
        <f t="shared" si="48"/>
        <v>#NAME?</v>
      </c>
      <c r="Z883" s="177">
        <v>275.78999999999201</v>
      </c>
    </row>
    <row r="884" spans="15:26">
      <c r="O884" s="166">
        <v>473.299999999992</v>
      </c>
      <c r="P884" s="169" t="e">
        <f t="shared" si="47"/>
        <v>#NAME?</v>
      </c>
      <c r="Q884" s="177">
        <v>473.299999999992</v>
      </c>
      <c r="R884" s="166">
        <v>473.80999999999199</v>
      </c>
      <c r="S884" s="166">
        <v>9.1204000000012826</v>
      </c>
      <c r="X884" s="166">
        <v>275.799999999992</v>
      </c>
      <c r="Y884" s="169" t="e">
        <f t="shared" si="48"/>
        <v>#NAME?</v>
      </c>
      <c r="Z884" s="177">
        <v>275.799999999992</v>
      </c>
    </row>
    <row r="885" spans="15:26">
      <c r="O885" s="166">
        <v>473.30999999999199</v>
      </c>
      <c r="P885" s="169" t="e">
        <f t="shared" si="47"/>
        <v>#NAME?</v>
      </c>
      <c r="Q885" s="177">
        <v>473.30999999999199</v>
      </c>
      <c r="R885" s="166">
        <v>473.81999999999198</v>
      </c>
      <c r="S885" s="166">
        <v>9.1188000000012828</v>
      </c>
      <c r="X885" s="166">
        <v>275.80999999999199</v>
      </c>
      <c r="Y885" s="169" t="e">
        <f t="shared" si="48"/>
        <v>#NAME?</v>
      </c>
      <c r="Z885" s="177">
        <v>275.80999999999199</v>
      </c>
    </row>
    <row r="886" spans="15:26">
      <c r="O886" s="166">
        <v>473.31999999999198</v>
      </c>
      <c r="P886" s="169" t="e">
        <f t="shared" si="47"/>
        <v>#NAME?</v>
      </c>
      <c r="Q886" s="177">
        <v>473.31999999999198</v>
      </c>
      <c r="R886" s="166">
        <v>473.82999999999203</v>
      </c>
      <c r="S886" s="166">
        <v>9.1172000000012758</v>
      </c>
      <c r="X886" s="166">
        <v>275.81999999999198</v>
      </c>
      <c r="Y886" s="169" t="e">
        <f t="shared" si="48"/>
        <v>#NAME?</v>
      </c>
      <c r="Z886" s="177">
        <v>275.81999999999198</v>
      </c>
    </row>
    <row r="887" spans="15:26">
      <c r="O887" s="166">
        <v>473.32999999999203</v>
      </c>
      <c r="P887" s="169" t="e">
        <f t="shared" si="47"/>
        <v>#NAME?</v>
      </c>
      <c r="Q887" s="177">
        <v>473.32999999999203</v>
      </c>
      <c r="R887" s="166">
        <v>473.83999999999202</v>
      </c>
      <c r="S887" s="166">
        <v>9.1156000000012778</v>
      </c>
      <c r="X887" s="166">
        <v>275.82999999999203</v>
      </c>
      <c r="Y887" s="169" t="e">
        <f t="shared" si="48"/>
        <v>#NAME?</v>
      </c>
      <c r="Z887" s="177">
        <v>275.82999999999203</v>
      </c>
    </row>
    <row r="888" spans="15:26">
      <c r="O888" s="166">
        <v>473.33999999999202</v>
      </c>
      <c r="P888" s="169" t="e">
        <f t="shared" si="47"/>
        <v>#NAME?</v>
      </c>
      <c r="Q888" s="177">
        <v>473.33999999999202</v>
      </c>
      <c r="R888" s="166">
        <v>473.84999999999201</v>
      </c>
      <c r="S888" s="166">
        <v>9.114000000001278</v>
      </c>
      <c r="X888" s="166">
        <v>275.83999999999202</v>
      </c>
      <c r="Y888" s="169" t="e">
        <f t="shared" si="48"/>
        <v>#NAME?</v>
      </c>
      <c r="Z888" s="177">
        <v>275.83999999999202</v>
      </c>
    </row>
    <row r="889" spans="15:26">
      <c r="O889" s="166">
        <v>473.34999999999201</v>
      </c>
      <c r="P889" s="169" t="e">
        <f t="shared" si="47"/>
        <v>#NAME?</v>
      </c>
      <c r="Q889" s="177">
        <v>473.34999999999201</v>
      </c>
      <c r="R889" s="166">
        <v>473.859999999992</v>
      </c>
      <c r="S889" s="166">
        <v>9.1124000000012799</v>
      </c>
      <c r="X889" s="166">
        <v>275.84999999999201</v>
      </c>
      <c r="Y889" s="169" t="e">
        <f t="shared" si="48"/>
        <v>#NAME?</v>
      </c>
      <c r="Z889" s="177">
        <v>275.84999999999201</v>
      </c>
    </row>
    <row r="890" spans="15:26">
      <c r="O890" s="166">
        <v>473.359999999992</v>
      </c>
      <c r="P890" s="169" t="e">
        <f t="shared" si="47"/>
        <v>#NAME?</v>
      </c>
      <c r="Q890" s="177">
        <v>473.359999999992</v>
      </c>
      <c r="R890" s="166">
        <v>473.86999999999199</v>
      </c>
      <c r="S890" s="166">
        <v>9.1108000000012819</v>
      </c>
      <c r="X890" s="166">
        <v>275.859999999992</v>
      </c>
      <c r="Y890" s="169" t="e">
        <f t="shared" si="48"/>
        <v>#NAME?</v>
      </c>
      <c r="Z890" s="177">
        <v>275.859999999992</v>
      </c>
    </row>
    <row r="891" spans="15:26">
      <c r="O891" s="166">
        <v>473.36999999999199</v>
      </c>
      <c r="P891" s="169" t="e">
        <f t="shared" si="47"/>
        <v>#NAME?</v>
      </c>
      <c r="Q891" s="177">
        <v>473.36999999999199</v>
      </c>
      <c r="R891" s="166">
        <v>473.87999999999198</v>
      </c>
      <c r="S891" s="166">
        <v>9.1092000000012838</v>
      </c>
      <c r="X891" s="166">
        <v>275.86999999999199</v>
      </c>
      <c r="Y891" s="169" t="e">
        <f t="shared" si="48"/>
        <v>#NAME?</v>
      </c>
      <c r="Z891" s="177">
        <v>275.86999999999199</v>
      </c>
    </row>
    <row r="892" spans="15:26">
      <c r="O892" s="166">
        <v>473.37999999999198</v>
      </c>
      <c r="P892" s="169" t="e">
        <f t="shared" si="47"/>
        <v>#NAME?</v>
      </c>
      <c r="Q892" s="177">
        <v>473.37999999999198</v>
      </c>
      <c r="R892" s="166">
        <v>473.88999999999203</v>
      </c>
      <c r="S892" s="166">
        <v>9.1076000000012751</v>
      </c>
      <c r="X892" s="166">
        <v>275.87999999999198</v>
      </c>
      <c r="Y892" s="169" t="e">
        <f t="shared" si="48"/>
        <v>#NAME?</v>
      </c>
      <c r="Z892" s="177">
        <v>275.87999999999198</v>
      </c>
    </row>
    <row r="893" spans="15:26">
      <c r="O893" s="166">
        <v>473.38999999999203</v>
      </c>
      <c r="P893" s="169" t="e">
        <f t="shared" si="47"/>
        <v>#NAME?</v>
      </c>
      <c r="Q893" s="177">
        <v>473.38999999999203</v>
      </c>
      <c r="R893" s="166">
        <v>473.89999999999202</v>
      </c>
      <c r="S893" s="166">
        <v>9.1060000000012771</v>
      </c>
      <c r="X893" s="166">
        <v>275.88999999999203</v>
      </c>
      <c r="Y893" s="169" t="e">
        <f t="shared" si="48"/>
        <v>#NAME?</v>
      </c>
      <c r="Z893" s="177">
        <v>275.88999999999203</v>
      </c>
    </row>
    <row r="894" spans="15:26">
      <c r="O894" s="166">
        <v>473.39999999999202</v>
      </c>
      <c r="P894" s="169" t="e">
        <f t="shared" si="47"/>
        <v>#NAME?</v>
      </c>
      <c r="Q894" s="177">
        <v>473.39999999999202</v>
      </c>
      <c r="R894" s="166">
        <v>473.90999999999201</v>
      </c>
      <c r="S894" s="166">
        <v>9.104400000001279</v>
      </c>
      <c r="X894" s="166">
        <v>275.89999999999202</v>
      </c>
      <c r="Y894" s="169" t="e">
        <f t="shared" si="48"/>
        <v>#NAME?</v>
      </c>
      <c r="Z894" s="177">
        <v>275.89999999999202</v>
      </c>
    </row>
    <row r="895" spans="15:26">
      <c r="O895" s="166">
        <v>473.40999999999201</v>
      </c>
      <c r="P895" s="169" t="e">
        <f t="shared" si="47"/>
        <v>#NAME?</v>
      </c>
      <c r="Q895" s="177">
        <v>473.40999999999201</v>
      </c>
      <c r="R895" s="166">
        <v>473.919999999992</v>
      </c>
      <c r="S895" s="166">
        <v>9.1028000000012792</v>
      </c>
      <c r="X895" s="166">
        <v>275.90999999999201</v>
      </c>
      <c r="Y895" s="169" t="e">
        <f t="shared" si="48"/>
        <v>#NAME?</v>
      </c>
      <c r="Z895" s="177">
        <v>275.90999999999201</v>
      </c>
    </row>
    <row r="896" spans="15:26">
      <c r="O896" s="166">
        <v>473.419999999992</v>
      </c>
      <c r="P896" s="169" t="e">
        <f t="shared" si="47"/>
        <v>#NAME?</v>
      </c>
      <c r="Q896" s="177">
        <v>473.419999999992</v>
      </c>
      <c r="R896" s="166">
        <v>473.92999999999199</v>
      </c>
      <c r="S896" s="166">
        <v>9.1012000000012812</v>
      </c>
      <c r="X896" s="166">
        <v>275.919999999992</v>
      </c>
      <c r="Y896" s="169" t="e">
        <f t="shared" si="48"/>
        <v>#NAME?</v>
      </c>
      <c r="Z896" s="177">
        <v>275.919999999992</v>
      </c>
    </row>
    <row r="897" spans="15:26">
      <c r="O897" s="166">
        <v>473.42999999999199</v>
      </c>
      <c r="P897" s="169" t="e">
        <f t="shared" si="47"/>
        <v>#NAME?</v>
      </c>
      <c r="Q897" s="177">
        <v>473.42999999999199</v>
      </c>
      <c r="R897" s="166">
        <v>473.93999999999198</v>
      </c>
      <c r="S897" s="166">
        <v>9.0996000000012831</v>
      </c>
      <c r="X897" s="166">
        <v>275.92999999999199</v>
      </c>
      <c r="Y897" s="169" t="e">
        <f t="shared" si="48"/>
        <v>#NAME?</v>
      </c>
      <c r="Z897" s="177">
        <v>275.92999999999199</v>
      </c>
    </row>
    <row r="898" spans="15:26">
      <c r="O898" s="166">
        <v>473.43999999999198</v>
      </c>
      <c r="P898" s="169" t="e">
        <f t="shared" si="47"/>
        <v>#NAME?</v>
      </c>
      <c r="Q898" s="177">
        <v>473.43999999999198</v>
      </c>
      <c r="R898" s="166">
        <v>473.94999999999197</v>
      </c>
      <c r="S898" s="166">
        <v>9.0980000000012833</v>
      </c>
      <c r="X898" s="166">
        <v>275.93999999999198</v>
      </c>
      <c r="Y898" s="169" t="e">
        <f t="shared" si="48"/>
        <v>#NAME?</v>
      </c>
      <c r="Z898" s="177">
        <v>275.93999999999198</v>
      </c>
    </row>
    <row r="899" spans="15:26">
      <c r="O899" s="166">
        <v>473.44999999999197</v>
      </c>
      <c r="P899" s="169" t="e">
        <f t="shared" si="47"/>
        <v>#NAME?</v>
      </c>
      <c r="Q899" s="177">
        <v>473.44999999999197</v>
      </c>
      <c r="R899" s="166">
        <v>473.95999999999202</v>
      </c>
      <c r="S899" s="166">
        <v>9.0964000000012764</v>
      </c>
      <c r="X899" s="166">
        <v>275.94999999999197</v>
      </c>
      <c r="Y899" s="169" t="e">
        <f t="shared" si="48"/>
        <v>#NAME?</v>
      </c>
      <c r="Z899" s="177">
        <v>275.94999999999197</v>
      </c>
    </row>
    <row r="900" spans="15:26">
      <c r="O900" s="166">
        <v>473.45999999999202</v>
      </c>
      <c r="P900" s="169" t="e">
        <f t="shared" ref="P900:P963" si="49">VLOOKUP(O900,THONGSOHO_BTS,2,1)+(VLOOKUP(O900+5,THONGSOHO_BTS,2,1)-VLOOKUP(O900,THONGSOHO_BTS,2,1))/5*(O900-VLOOKUP(O900,THONGSOHO_BTS,1,1))-264.29</f>
        <v>#NAME?</v>
      </c>
      <c r="Q900" s="177">
        <v>473.45999999999202</v>
      </c>
      <c r="R900" s="166">
        <v>473.96999999999201</v>
      </c>
      <c r="S900" s="166">
        <v>9.0948000000012783</v>
      </c>
      <c r="X900" s="166">
        <v>275.95999999999202</v>
      </c>
      <c r="Y900" s="169" t="e">
        <f>VLOOKUP(X900,THONGSOHO_SP3,2,1)+(VLOOKUP(X900+2,THONGSOHO_SP3,2,1)-VLOOKUP(X900,THONGSOHO_SP3,2,1))/2*(X900-VLOOKUP(X900,THONGSOHO_SP3,1,1))-156.13</f>
        <v>#NAME?</v>
      </c>
      <c r="Z900" s="177">
        <v>275.95999999999202</v>
      </c>
    </row>
    <row r="901" spans="15:26">
      <c r="O901" s="166">
        <v>473.46999999999201</v>
      </c>
      <c r="P901" s="169" t="e">
        <f t="shared" si="49"/>
        <v>#NAME?</v>
      </c>
      <c r="Q901" s="177">
        <v>473.46999999999201</v>
      </c>
      <c r="R901" s="166">
        <v>473.979999999992</v>
      </c>
      <c r="S901" s="166">
        <v>9.0932000000012785</v>
      </c>
      <c r="X901" s="166">
        <v>275.96999999999201</v>
      </c>
      <c r="Y901" s="169" t="e">
        <f>VLOOKUP(X901,THONGSOHO_SP3,2,1)+(VLOOKUP(X901+2,THONGSOHO_SP3,2,1)-VLOOKUP(X901,THONGSOHO_SP3,2,1))/2*(X901-VLOOKUP(X901,THONGSOHO_SP3,1,1))-156.13</f>
        <v>#NAME?</v>
      </c>
      <c r="Z901" s="177">
        <v>275.96999999999201</v>
      </c>
    </row>
    <row r="902" spans="15:26">
      <c r="O902" s="166">
        <v>473.479999999992</v>
      </c>
      <c r="P902" s="169" t="e">
        <f t="shared" si="49"/>
        <v>#NAME?</v>
      </c>
      <c r="Q902" s="177">
        <v>473.479999999992</v>
      </c>
      <c r="R902" s="166">
        <v>473.98999999999199</v>
      </c>
      <c r="S902" s="166">
        <v>9.0916000000012804</v>
      </c>
      <c r="X902" s="166">
        <v>275.979999999992</v>
      </c>
      <c r="Y902" s="169" t="e">
        <f>VLOOKUP(X902,THONGSOHO_SP3,2,1)+(VLOOKUP(X902+2,THONGSOHO_SP3,2,1)-VLOOKUP(X902,THONGSOHO_SP3,2,1))/2*(X902-VLOOKUP(X902,THONGSOHO_SP3,1,1))-156.13</f>
        <v>#NAME?</v>
      </c>
      <c r="Z902" s="177">
        <v>275.979999999992</v>
      </c>
    </row>
    <row r="903" spans="15:26">
      <c r="O903" s="166">
        <v>473.48999999999199</v>
      </c>
      <c r="P903" s="169" t="e">
        <f t="shared" si="49"/>
        <v>#NAME?</v>
      </c>
      <c r="Q903" s="177">
        <v>473.48999999999199</v>
      </c>
      <c r="R903" s="166">
        <v>473.99999999999199</v>
      </c>
      <c r="S903" s="166">
        <v>9.0900000000012824</v>
      </c>
      <c r="X903" s="166">
        <v>275.98999999999199</v>
      </c>
      <c r="Y903" s="169" t="e">
        <f>VLOOKUP(X903,THONGSOHO_SP3,2,1)+(VLOOKUP(X903+2,THONGSOHO_SP3,2,1)-VLOOKUP(X903,THONGSOHO_SP3,2,1))/2*(X903-VLOOKUP(X903,THONGSOHO_SP3,1,1))-156.13</f>
        <v>#NAME?</v>
      </c>
      <c r="Z903" s="177">
        <v>275.98999999999199</v>
      </c>
    </row>
    <row r="904" spans="15:26">
      <c r="O904" s="166">
        <v>473.49999999999199</v>
      </c>
      <c r="P904" s="169" t="e">
        <f t="shared" si="49"/>
        <v>#NAME?</v>
      </c>
      <c r="Q904" s="177">
        <v>473.49999999999199</v>
      </c>
      <c r="R904" s="166">
        <v>474.00999999999198</v>
      </c>
      <c r="S904" s="166">
        <v>9.0873000000021662</v>
      </c>
      <c r="X904" s="166">
        <v>275.99999999999199</v>
      </c>
      <c r="Y904" s="169" t="e">
        <f>VLOOKUP(X904,THONGSOHO_SP3,2,1)+(VLOOKUP(X904+2,THONGSOHO_SP3,2,1)-VLOOKUP(X904,THONGSOHO_SP3,2,1))/2*(X904-VLOOKUP(X904,THONGSOHO_SP3,1,1))-156.13</f>
        <v>#NAME?</v>
      </c>
      <c r="Z904" s="177">
        <v>275.99999999999199</v>
      </c>
    </row>
    <row r="905" spans="15:26">
      <c r="O905" s="166">
        <v>473.50999999999198</v>
      </c>
      <c r="P905" s="169" t="e">
        <f t="shared" si="49"/>
        <v>#NAME?</v>
      </c>
      <c r="Q905" s="177">
        <v>473.50999999999198</v>
      </c>
      <c r="R905" s="166">
        <v>474.01999999999202</v>
      </c>
      <c r="S905" s="166">
        <v>9.084600000002153</v>
      </c>
    </row>
    <row r="906" spans="15:26">
      <c r="O906" s="166">
        <v>473.51999999999202</v>
      </c>
      <c r="P906" s="169" t="e">
        <f t="shared" si="49"/>
        <v>#NAME?</v>
      </c>
      <c r="Q906" s="177">
        <v>473.51999999999202</v>
      </c>
      <c r="R906" s="166">
        <v>474.02999999999201</v>
      </c>
      <c r="S906" s="166">
        <v>9.0819000000021557</v>
      </c>
    </row>
    <row r="907" spans="15:26">
      <c r="O907" s="166">
        <v>473.52999999999201</v>
      </c>
      <c r="P907" s="169" t="e">
        <f t="shared" si="49"/>
        <v>#NAME?</v>
      </c>
      <c r="Q907" s="177">
        <v>473.52999999999201</v>
      </c>
      <c r="R907" s="166">
        <v>474.03999999999201</v>
      </c>
      <c r="S907" s="166">
        <v>9.0792000000021584</v>
      </c>
    </row>
    <row r="908" spans="15:26">
      <c r="O908" s="166">
        <v>473.53999999999201</v>
      </c>
      <c r="P908" s="169" t="e">
        <f t="shared" si="49"/>
        <v>#NAME?</v>
      </c>
      <c r="Q908" s="177">
        <v>473.53999999999201</v>
      </c>
      <c r="R908" s="166">
        <v>474.049999999992</v>
      </c>
      <c r="S908" s="166">
        <v>9.0765000000021612</v>
      </c>
    </row>
    <row r="909" spans="15:26">
      <c r="O909" s="166">
        <v>473.549999999992</v>
      </c>
      <c r="P909" s="169" t="e">
        <f t="shared" si="49"/>
        <v>#NAME?</v>
      </c>
      <c r="Q909" s="177">
        <v>473.549999999992</v>
      </c>
      <c r="R909" s="166">
        <v>474.05999999999199</v>
      </c>
      <c r="S909" s="166">
        <v>9.0738000000021639</v>
      </c>
    </row>
    <row r="910" spans="15:26">
      <c r="O910" s="166">
        <v>473.55999999999199</v>
      </c>
      <c r="P910" s="169" t="e">
        <f t="shared" si="49"/>
        <v>#NAME?</v>
      </c>
      <c r="Q910" s="177">
        <v>473.55999999999199</v>
      </c>
      <c r="R910" s="166">
        <v>474.06999999999198</v>
      </c>
      <c r="S910" s="166">
        <v>9.0711000000021649</v>
      </c>
    </row>
    <row r="911" spans="15:26">
      <c r="O911" s="166">
        <v>473.56999999999198</v>
      </c>
      <c r="P911" s="169" t="e">
        <f t="shared" si="49"/>
        <v>#NAME?</v>
      </c>
      <c r="Q911" s="177">
        <v>473.56999999999198</v>
      </c>
      <c r="R911" s="166">
        <v>474.07999999999203</v>
      </c>
      <c r="S911" s="166">
        <v>9.0684000000021534</v>
      </c>
    </row>
    <row r="912" spans="15:26">
      <c r="O912" s="166">
        <v>473.57999999999203</v>
      </c>
      <c r="P912" s="169" t="e">
        <f t="shared" si="49"/>
        <v>#NAME?</v>
      </c>
      <c r="Q912" s="177">
        <v>473.57999999999203</v>
      </c>
      <c r="R912" s="166">
        <v>474.08999999999202</v>
      </c>
      <c r="S912" s="166">
        <v>9.0657000000021561</v>
      </c>
    </row>
    <row r="913" spans="15:19">
      <c r="O913" s="166">
        <v>473.58999999999202</v>
      </c>
      <c r="P913" s="169" t="e">
        <f t="shared" si="49"/>
        <v>#NAME?</v>
      </c>
      <c r="Q913" s="177">
        <v>473.58999999999202</v>
      </c>
      <c r="R913" s="166">
        <v>474.09999999999201</v>
      </c>
      <c r="S913" s="166">
        <v>9.0630000000021571</v>
      </c>
    </row>
    <row r="914" spans="15:19">
      <c r="O914" s="166">
        <v>473.59999999999201</v>
      </c>
      <c r="P914" s="169" t="e">
        <f t="shared" si="49"/>
        <v>#NAME?</v>
      </c>
      <c r="Q914" s="177">
        <v>473.59999999999201</v>
      </c>
      <c r="R914" s="166">
        <v>474.109999999992</v>
      </c>
      <c r="S914" s="166">
        <v>9.0603000000021598</v>
      </c>
    </row>
    <row r="915" spans="15:19">
      <c r="O915" s="166">
        <v>473.609999999992</v>
      </c>
      <c r="P915" s="169" t="e">
        <f t="shared" si="49"/>
        <v>#NAME?</v>
      </c>
      <c r="Q915" s="177">
        <v>473.609999999992</v>
      </c>
      <c r="R915" s="166">
        <v>474.11999999999199</v>
      </c>
      <c r="S915" s="166">
        <v>9.0576000000021626</v>
      </c>
    </row>
    <row r="916" spans="15:19">
      <c r="O916" s="166">
        <v>473.61999999999199</v>
      </c>
      <c r="P916" s="169" t="e">
        <f t="shared" si="49"/>
        <v>#NAME?</v>
      </c>
      <c r="Q916" s="177">
        <v>473.61999999999199</v>
      </c>
      <c r="R916" s="166">
        <v>474.12999999999198</v>
      </c>
      <c r="S916" s="166">
        <v>9.0549000000021653</v>
      </c>
    </row>
    <row r="917" spans="15:19">
      <c r="O917" s="166">
        <v>473.62999999999198</v>
      </c>
      <c r="P917" s="169" t="e">
        <f t="shared" si="49"/>
        <v>#NAME?</v>
      </c>
      <c r="Q917" s="177">
        <v>473.62999999999198</v>
      </c>
      <c r="R917" s="166">
        <v>474.13999999999203</v>
      </c>
      <c r="S917" s="166">
        <v>9.0522000000021521</v>
      </c>
    </row>
    <row r="918" spans="15:19">
      <c r="O918" s="166">
        <v>473.63999999999203</v>
      </c>
      <c r="P918" s="169" t="e">
        <f t="shared" si="49"/>
        <v>#NAME?</v>
      </c>
      <c r="Q918" s="177">
        <v>473.63999999999203</v>
      </c>
      <c r="R918" s="166">
        <v>474.14999999999202</v>
      </c>
      <c r="S918" s="166">
        <v>9.0495000000021548</v>
      </c>
    </row>
    <row r="919" spans="15:19">
      <c r="O919" s="166">
        <v>473.64999999999202</v>
      </c>
      <c r="P919" s="169" t="e">
        <f t="shared" si="49"/>
        <v>#NAME?</v>
      </c>
      <c r="Q919" s="177">
        <v>473.64999999999202</v>
      </c>
      <c r="R919" s="166">
        <v>474.15999999999201</v>
      </c>
      <c r="S919" s="166">
        <v>9.0468000000021576</v>
      </c>
    </row>
    <row r="920" spans="15:19">
      <c r="O920" s="166">
        <v>473.65999999999201</v>
      </c>
      <c r="P920" s="169" t="e">
        <f t="shared" si="49"/>
        <v>#NAME?</v>
      </c>
      <c r="Q920" s="177">
        <v>473.65999999999201</v>
      </c>
      <c r="R920" s="166">
        <v>474.169999999992</v>
      </c>
      <c r="S920" s="166">
        <v>9.0441000000021603</v>
      </c>
    </row>
    <row r="921" spans="15:19">
      <c r="O921" s="166">
        <v>473.669999999992</v>
      </c>
      <c r="P921" s="169" t="e">
        <f t="shared" si="49"/>
        <v>#NAME?</v>
      </c>
      <c r="Q921" s="177">
        <v>473.669999999992</v>
      </c>
      <c r="R921" s="166">
        <v>474.17999999999199</v>
      </c>
      <c r="S921" s="166">
        <v>9.0414000000021613</v>
      </c>
    </row>
    <row r="922" spans="15:19">
      <c r="O922" s="166">
        <v>473.67999999999199</v>
      </c>
      <c r="P922" s="169" t="e">
        <f t="shared" si="49"/>
        <v>#NAME?</v>
      </c>
      <c r="Q922" s="177">
        <v>473.67999999999199</v>
      </c>
      <c r="R922" s="166">
        <v>474.18999999999198</v>
      </c>
      <c r="S922" s="166">
        <v>9.038700000002164</v>
      </c>
    </row>
    <row r="923" spans="15:19">
      <c r="O923" s="166">
        <v>473.68999999999198</v>
      </c>
      <c r="P923" s="169" t="e">
        <f t="shared" si="49"/>
        <v>#NAME?</v>
      </c>
      <c r="Q923" s="177">
        <v>473.68999999999198</v>
      </c>
      <c r="R923" s="166">
        <v>474.19999999999197</v>
      </c>
      <c r="S923" s="166">
        <v>9.0360000000021667</v>
      </c>
    </row>
    <row r="924" spans="15:19">
      <c r="O924" s="166">
        <v>473.69999999999197</v>
      </c>
      <c r="P924" s="169" t="e">
        <f t="shared" si="49"/>
        <v>#NAME?</v>
      </c>
      <c r="Q924" s="177">
        <v>473.69999999999197</v>
      </c>
      <c r="R924" s="166">
        <v>474.20999999999202</v>
      </c>
      <c r="S924" s="166">
        <v>9.0333000000021535</v>
      </c>
    </row>
    <row r="925" spans="15:19">
      <c r="O925" s="166">
        <v>473.70999999999202</v>
      </c>
      <c r="P925" s="169" t="e">
        <f t="shared" si="49"/>
        <v>#NAME?</v>
      </c>
      <c r="Q925" s="177">
        <v>473.70999999999202</v>
      </c>
      <c r="R925" s="166">
        <v>474.21999999999201</v>
      </c>
      <c r="S925" s="166">
        <v>9.0306000000021562</v>
      </c>
    </row>
    <row r="926" spans="15:19">
      <c r="O926" s="166">
        <v>473.71999999999201</v>
      </c>
      <c r="P926" s="169" t="e">
        <f t="shared" si="49"/>
        <v>#NAME?</v>
      </c>
      <c r="Q926" s="177">
        <v>473.71999999999201</v>
      </c>
      <c r="R926" s="166">
        <v>474.229999999992</v>
      </c>
      <c r="S926" s="166">
        <v>9.027900000002159</v>
      </c>
    </row>
    <row r="927" spans="15:19">
      <c r="O927" s="166">
        <v>473.729999999992</v>
      </c>
      <c r="P927" s="169" t="e">
        <f t="shared" si="49"/>
        <v>#NAME?</v>
      </c>
      <c r="Q927" s="177">
        <v>473.729999999992</v>
      </c>
      <c r="R927" s="166">
        <v>474.23999999999199</v>
      </c>
      <c r="S927" s="166">
        <v>9.0252000000021617</v>
      </c>
    </row>
    <row r="928" spans="15:19">
      <c r="O928" s="166">
        <v>473.73999999999199</v>
      </c>
      <c r="P928" s="169" t="e">
        <f t="shared" si="49"/>
        <v>#NAME?</v>
      </c>
      <c r="Q928" s="177">
        <v>473.73999999999199</v>
      </c>
      <c r="R928" s="166">
        <v>474.24999999999199</v>
      </c>
      <c r="S928" s="166">
        <v>9.0225000000021645</v>
      </c>
    </row>
    <row r="929" spans="15:19">
      <c r="O929" s="166">
        <v>473.74999999999199</v>
      </c>
      <c r="P929" s="169" t="e">
        <f t="shared" si="49"/>
        <v>#NAME?</v>
      </c>
      <c r="Q929" s="177">
        <v>473.74999999999199</v>
      </c>
      <c r="R929" s="166">
        <v>474.25999999999198</v>
      </c>
      <c r="S929" s="166">
        <v>9.0198000000021672</v>
      </c>
    </row>
    <row r="930" spans="15:19">
      <c r="O930" s="166">
        <v>473.75999999999198</v>
      </c>
      <c r="P930" s="169" t="e">
        <f t="shared" si="49"/>
        <v>#NAME?</v>
      </c>
      <c r="Q930" s="177">
        <v>473.75999999999198</v>
      </c>
      <c r="R930" s="166">
        <v>474.26999999999202</v>
      </c>
      <c r="S930" s="166">
        <v>9.0171000000021539</v>
      </c>
    </row>
    <row r="931" spans="15:19">
      <c r="O931" s="166">
        <v>473.76999999999202</v>
      </c>
      <c r="P931" s="169" t="e">
        <f t="shared" si="49"/>
        <v>#NAME?</v>
      </c>
      <c r="Q931" s="177">
        <v>473.76999999999202</v>
      </c>
      <c r="R931" s="166">
        <v>474.27999999999201</v>
      </c>
      <c r="S931" s="166">
        <v>9.0144000000021567</v>
      </c>
    </row>
    <row r="932" spans="15:19">
      <c r="O932" s="166">
        <v>473.77999999999201</v>
      </c>
      <c r="P932" s="169" t="e">
        <f t="shared" si="49"/>
        <v>#NAME?</v>
      </c>
      <c r="Q932" s="177">
        <v>473.77999999999201</v>
      </c>
      <c r="R932" s="166">
        <v>474.28999999999201</v>
      </c>
      <c r="S932" s="166">
        <v>9.0117000000021577</v>
      </c>
    </row>
    <row r="933" spans="15:19">
      <c r="O933" s="166">
        <v>473.78999999999201</v>
      </c>
      <c r="P933" s="169" t="e">
        <f t="shared" si="49"/>
        <v>#NAME?</v>
      </c>
      <c r="Q933" s="177">
        <v>473.78999999999201</v>
      </c>
      <c r="R933" s="166">
        <v>474.299999999992</v>
      </c>
      <c r="S933" s="166">
        <v>9.0090000000021604</v>
      </c>
    </row>
    <row r="934" spans="15:19">
      <c r="O934" s="166">
        <v>473.799999999992</v>
      </c>
      <c r="P934" s="169" t="e">
        <f t="shared" si="49"/>
        <v>#NAME?</v>
      </c>
      <c r="Q934" s="177">
        <v>473.799999999992</v>
      </c>
      <c r="R934" s="166">
        <v>474.30999999999199</v>
      </c>
      <c r="S934" s="166">
        <v>9.0063000000021631</v>
      </c>
    </row>
    <row r="935" spans="15:19">
      <c r="O935" s="166">
        <v>473.80999999999199</v>
      </c>
      <c r="P935" s="169" t="e">
        <f t="shared" si="49"/>
        <v>#NAME?</v>
      </c>
      <c r="Q935" s="177">
        <v>473.80999999999199</v>
      </c>
      <c r="R935" s="166">
        <v>474.31999999999198</v>
      </c>
      <c r="S935" s="166">
        <v>9.0036000000021659</v>
      </c>
    </row>
    <row r="936" spans="15:19">
      <c r="O936" s="166">
        <v>473.81999999999198</v>
      </c>
      <c r="P936" s="169" t="e">
        <f t="shared" si="49"/>
        <v>#NAME?</v>
      </c>
      <c r="Q936" s="177">
        <v>473.81999999999198</v>
      </c>
      <c r="R936" s="166">
        <v>474.32999999999203</v>
      </c>
      <c r="S936" s="166">
        <v>9.0009000000021526</v>
      </c>
    </row>
    <row r="937" spans="15:19">
      <c r="O937" s="166">
        <v>473.82999999999203</v>
      </c>
      <c r="P937" s="169" t="e">
        <f t="shared" si="49"/>
        <v>#NAME?</v>
      </c>
      <c r="Q937" s="177">
        <v>473.82999999999203</v>
      </c>
      <c r="R937" s="166">
        <v>474.33999999999202</v>
      </c>
      <c r="S937" s="166">
        <v>8.9982000000021554</v>
      </c>
    </row>
    <row r="938" spans="15:19">
      <c r="O938" s="166">
        <v>473.83999999999202</v>
      </c>
      <c r="P938" s="169" t="e">
        <f t="shared" si="49"/>
        <v>#NAME?</v>
      </c>
      <c r="Q938" s="177">
        <v>473.83999999999202</v>
      </c>
      <c r="R938" s="166">
        <v>474.34999999999098</v>
      </c>
      <c r="S938" s="166">
        <v>8.9955000000024334</v>
      </c>
    </row>
    <row r="939" spans="15:19">
      <c r="O939" s="166">
        <v>473.84999999999098</v>
      </c>
      <c r="P939" s="169" t="e">
        <f t="shared" si="49"/>
        <v>#NAME?</v>
      </c>
      <c r="Q939" s="177">
        <v>473.84999999999098</v>
      </c>
      <c r="R939" s="166">
        <v>474.35999999999098</v>
      </c>
      <c r="S939" s="166">
        <v>8.9928000000024362</v>
      </c>
    </row>
    <row r="940" spans="15:19">
      <c r="O940" s="166">
        <v>473.85999999999098</v>
      </c>
      <c r="P940" s="169" t="e">
        <f t="shared" si="49"/>
        <v>#NAME?</v>
      </c>
      <c r="Q940" s="177">
        <v>473.85999999999098</v>
      </c>
      <c r="R940" s="166">
        <v>474.36999999999102</v>
      </c>
      <c r="S940" s="166">
        <v>8.9901000000024229</v>
      </c>
    </row>
    <row r="941" spans="15:19">
      <c r="O941" s="166">
        <v>473.86999999999102</v>
      </c>
      <c r="P941" s="169" t="e">
        <f t="shared" si="49"/>
        <v>#NAME?</v>
      </c>
      <c r="Q941" s="177">
        <v>473.86999999999102</v>
      </c>
      <c r="R941" s="166">
        <v>474.37999999999101</v>
      </c>
      <c r="S941" s="166">
        <v>8.9874000000024257</v>
      </c>
    </row>
    <row r="942" spans="15:19">
      <c r="O942" s="166">
        <v>473.87999999999101</v>
      </c>
      <c r="P942" s="169" t="e">
        <f t="shared" si="49"/>
        <v>#NAME?</v>
      </c>
      <c r="Q942" s="177">
        <v>473.87999999999101</v>
      </c>
      <c r="R942" s="166">
        <v>474.38999999999101</v>
      </c>
      <c r="S942" s="166">
        <v>8.9847000000024284</v>
      </c>
    </row>
    <row r="943" spans="15:19">
      <c r="O943" s="166">
        <v>473.88999999999101</v>
      </c>
      <c r="P943" s="169" t="e">
        <f t="shared" si="49"/>
        <v>#NAME?</v>
      </c>
      <c r="Q943" s="177">
        <v>473.88999999999101</v>
      </c>
      <c r="R943" s="166">
        <v>474.399999999991</v>
      </c>
      <c r="S943" s="166">
        <v>8.9820000000024312</v>
      </c>
    </row>
    <row r="944" spans="15:19">
      <c r="O944" s="166">
        <v>473.899999999991</v>
      </c>
      <c r="P944" s="169" t="e">
        <f t="shared" si="49"/>
        <v>#NAME?</v>
      </c>
      <c r="Q944" s="177">
        <v>473.899999999991</v>
      </c>
      <c r="R944" s="166">
        <v>474.40999999999099</v>
      </c>
      <c r="S944" s="166">
        <v>8.9793000000024339</v>
      </c>
    </row>
    <row r="945" spans="15:19">
      <c r="O945" s="166">
        <v>473.90999999999099</v>
      </c>
      <c r="P945" s="169" t="e">
        <f t="shared" si="49"/>
        <v>#NAME?</v>
      </c>
      <c r="Q945" s="177">
        <v>473.90999999999099</v>
      </c>
      <c r="R945" s="166">
        <v>474.41999999999098</v>
      </c>
      <c r="S945" s="166">
        <v>8.9766000000024366</v>
      </c>
    </row>
    <row r="946" spans="15:19">
      <c r="O946" s="166">
        <v>473.91999999999098</v>
      </c>
      <c r="P946" s="169" t="e">
        <f t="shared" si="49"/>
        <v>#NAME?</v>
      </c>
      <c r="Q946" s="177">
        <v>473.91999999999098</v>
      </c>
      <c r="R946" s="166">
        <v>474.42999999999103</v>
      </c>
      <c r="S946" s="166">
        <v>8.9739000000024234</v>
      </c>
    </row>
    <row r="947" spans="15:19">
      <c r="O947" s="166">
        <v>473.92999999999103</v>
      </c>
      <c r="P947" s="169" t="e">
        <f t="shared" si="49"/>
        <v>#NAME?</v>
      </c>
      <c r="Q947" s="177">
        <v>473.92999999999103</v>
      </c>
      <c r="R947" s="166">
        <v>474.43999999999102</v>
      </c>
      <c r="S947" s="166">
        <v>8.9712000000024261</v>
      </c>
    </row>
    <row r="948" spans="15:19">
      <c r="O948" s="166">
        <v>473.93999999999102</v>
      </c>
      <c r="P948" s="169" t="e">
        <f t="shared" si="49"/>
        <v>#NAME?</v>
      </c>
      <c r="Q948" s="177">
        <v>473.93999999999102</v>
      </c>
      <c r="R948" s="166">
        <v>474.44999999999101</v>
      </c>
      <c r="S948" s="166">
        <v>8.9685000000024289</v>
      </c>
    </row>
    <row r="949" spans="15:19">
      <c r="O949" s="166">
        <v>473.94999999999101</v>
      </c>
      <c r="P949" s="169" t="e">
        <f t="shared" si="49"/>
        <v>#NAME?</v>
      </c>
      <c r="Q949" s="177">
        <v>473.94999999999101</v>
      </c>
      <c r="R949" s="166">
        <v>474.459999999991</v>
      </c>
      <c r="S949" s="166">
        <v>8.9658000000024298</v>
      </c>
    </row>
    <row r="950" spans="15:19">
      <c r="O950" s="166">
        <v>473.959999999991</v>
      </c>
      <c r="P950" s="169" t="e">
        <f t="shared" si="49"/>
        <v>#NAME?</v>
      </c>
      <c r="Q950" s="177">
        <v>473.959999999991</v>
      </c>
      <c r="R950" s="166">
        <v>474.46999999999099</v>
      </c>
      <c r="S950" s="166">
        <v>8.9631000000024326</v>
      </c>
    </row>
    <row r="951" spans="15:19">
      <c r="O951" s="166">
        <v>473.96999999999099</v>
      </c>
      <c r="P951" s="169" t="e">
        <f t="shared" si="49"/>
        <v>#NAME?</v>
      </c>
      <c r="Q951" s="177">
        <v>473.96999999999099</v>
      </c>
      <c r="R951" s="166">
        <v>474.47999999999098</v>
      </c>
      <c r="S951" s="166">
        <v>8.9604000000024353</v>
      </c>
    </row>
    <row r="952" spans="15:19">
      <c r="O952" s="166">
        <v>473.97999999999098</v>
      </c>
      <c r="P952" s="169" t="e">
        <f t="shared" si="49"/>
        <v>#NAME?</v>
      </c>
      <c r="Q952" s="177">
        <v>473.97999999999098</v>
      </c>
      <c r="R952" s="166">
        <v>474.48999999999103</v>
      </c>
      <c r="S952" s="166">
        <v>8.9577000000024221</v>
      </c>
    </row>
    <row r="953" spans="15:19">
      <c r="O953" s="166">
        <v>473.98999999999103</v>
      </c>
      <c r="P953" s="169" t="e">
        <f t="shared" si="49"/>
        <v>#NAME?</v>
      </c>
      <c r="Q953" s="177">
        <v>473.98999999999103</v>
      </c>
      <c r="R953" s="166">
        <v>474.49999999999102</v>
      </c>
      <c r="S953" s="166">
        <v>8.9550000000024248</v>
      </c>
    </row>
    <row r="954" spans="15:19">
      <c r="O954" s="166">
        <v>473.99999999999102</v>
      </c>
      <c r="P954" s="169" t="e">
        <f t="shared" si="49"/>
        <v>#NAME?</v>
      </c>
      <c r="Q954" s="177">
        <v>473.99999999999102</v>
      </c>
      <c r="R954" s="166">
        <v>474.50999999999101</v>
      </c>
      <c r="S954" s="166">
        <v>8.9523000000024275</v>
      </c>
    </row>
    <row r="955" spans="15:19">
      <c r="O955" s="166">
        <v>474.00999999999101</v>
      </c>
      <c r="P955" s="169" t="e">
        <f t="shared" si="49"/>
        <v>#NAME?</v>
      </c>
      <c r="Q955" s="177">
        <v>474.00999999999101</v>
      </c>
      <c r="R955" s="166">
        <v>474.519999999991</v>
      </c>
      <c r="S955" s="166">
        <v>8.9496000000024303</v>
      </c>
    </row>
    <row r="956" spans="15:19">
      <c r="O956" s="166">
        <v>474.019999999991</v>
      </c>
      <c r="P956" s="169" t="e">
        <f t="shared" si="49"/>
        <v>#NAME?</v>
      </c>
      <c r="Q956" s="177">
        <v>474.019999999991</v>
      </c>
      <c r="R956" s="166">
        <v>474.52999999999099</v>
      </c>
      <c r="S956" s="166">
        <v>8.946900000002433</v>
      </c>
    </row>
    <row r="957" spans="15:19">
      <c r="O957" s="166">
        <v>474.02999999999099</v>
      </c>
      <c r="P957" s="169" t="e">
        <f t="shared" si="49"/>
        <v>#NAME?</v>
      </c>
      <c r="Q957" s="177">
        <v>474.02999999999099</v>
      </c>
      <c r="R957" s="166">
        <v>474.53999999999098</v>
      </c>
      <c r="S957" s="166">
        <v>8.944200000002434</v>
      </c>
    </row>
    <row r="958" spans="15:19">
      <c r="O958" s="166">
        <v>474.03999999999098</v>
      </c>
      <c r="P958" s="169" t="e">
        <f t="shared" si="49"/>
        <v>#NAME?</v>
      </c>
      <c r="Q958" s="177">
        <v>474.03999999999098</v>
      </c>
      <c r="R958" s="166">
        <v>474.54999999999097</v>
      </c>
      <c r="S958" s="166">
        <v>8.9415000000024367</v>
      </c>
    </row>
    <row r="959" spans="15:19">
      <c r="O959" s="166">
        <v>474.04999999999097</v>
      </c>
      <c r="P959" s="169" t="e">
        <f t="shared" si="49"/>
        <v>#NAME?</v>
      </c>
      <c r="Q959" s="177">
        <v>474.04999999999097</v>
      </c>
      <c r="R959" s="166">
        <v>474.55999999999102</v>
      </c>
      <c r="S959" s="166">
        <v>8.9388000000024253</v>
      </c>
    </row>
    <row r="960" spans="15:19">
      <c r="O960" s="166">
        <v>474.05999999999102</v>
      </c>
      <c r="P960" s="169" t="e">
        <f t="shared" si="49"/>
        <v>#NAME?</v>
      </c>
      <c r="Q960" s="177">
        <v>474.05999999999102</v>
      </c>
      <c r="R960" s="166">
        <v>474.56999999999101</v>
      </c>
      <c r="S960" s="166">
        <v>8.9361000000024262</v>
      </c>
    </row>
    <row r="961" spans="15:19">
      <c r="O961" s="166">
        <v>474.06999999999101</v>
      </c>
      <c r="P961" s="169" t="e">
        <f t="shared" si="49"/>
        <v>#NAME?</v>
      </c>
      <c r="Q961" s="177">
        <v>474.06999999999101</v>
      </c>
      <c r="R961" s="166">
        <v>474.579999999991</v>
      </c>
      <c r="S961" s="166">
        <v>8.933400000002429</v>
      </c>
    </row>
    <row r="962" spans="15:19">
      <c r="O962" s="166">
        <v>474.079999999991</v>
      </c>
      <c r="P962" s="169" t="e">
        <f t="shared" si="49"/>
        <v>#NAME?</v>
      </c>
      <c r="Q962" s="177">
        <v>474.079999999991</v>
      </c>
      <c r="R962" s="166">
        <v>474.58999999999099</v>
      </c>
      <c r="S962" s="166">
        <v>8.9307000000024317</v>
      </c>
    </row>
    <row r="963" spans="15:19">
      <c r="O963" s="166">
        <v>474.08999999999099</v>
      </c>
      <c r="P963" s="169" t="e">
        <f t="shared" si="49"/>
        <v>#NAME?</v>
      </c>
      <c r="Q963" s="177">
        <v>474.08999999999099</v>
      </c>
      <c r="R963" s="166">
        <v>474.59999999999098</v>
      </c>
      <c r="S963" s="166">
        <v>8.9280000000024344</v>
      </c>
    </row>
    <row r="964" spans="15:19">
      <c r="O964" s="166">
        <v>474.09999999999098</v>
      </c>
      <c r="P964" s="169" t="e">
        <f t="shared" ref="P964:P1027" si="50">VLOOKUP(O964,THONGSOHO_BTS,2,1)+(VLOOKUP(O964+5,THONGSOHO_BTS,2,1)-VLOOKUP(O964,THONGSOHO_BTS,2,1))/5*(O964-VLOOKUP(O964,THONGSOHO_BTS,1,1))-264.29</f>
        <v>#NAME?</v>
      </c>
      <c r="Q964" s="177">
        <v>474.09999999999098</v>
      </c>
      <c r="R964" s="166">
        <v>474.60999999999098</v>
      </c>
      <c r="S964" s="166">
        <v>8.9253000000024372</v>
      </c>
    </row>
    <row r="965" spans="15:19">
      <c r="O965" s="166">
        <v>474.10999999999098</v>
      </c>
      <c r="P965" s="169" t="e">
        <f t="shared" si="50"/>
        <v>#NAME?</v>
      </c>
      <c r="Q965" s="177">
        <v>474.10999999999098</v>
      </c>
      <c r="R965" s="166">
        <v>474.61999999999102</v>
      </c>
      <c r="S965" s="166">
        <v>8.9226000000024239</v>
      </c>
    </row>
    <row r="966" spans="15:19">
      <c r="O966" s="166">
        <v>474.11999999999102</v>
      </c>
      <c r="P966" s="169" t="e">
        <f t="shared" si="50"/>
        <v>#NAME?</v>
      </c>
      <c r="Q966" s="177">
        <v>474.11999999999102</v>
      </c>
      <c r="R966" s="166">
        <v>474.62999999999101</v>
      </c>
      <c r="S966" s="166">
        <v>8.9199000000024267</v>
      </c>
    </row>
    <row r="967" spans="15:19">
      <c r="O967" s="166">
        <v>474.12999999999101</v>
      </c>
      <c r="P967" s="169" t="e">
        <f t="shared" si="50"/>
        <v>#NAME?</v>
      </c>
      <c r="Q967" s="177">
        <v>474.12999999999101</v>
      </c>
      <c r="R967" s="166">
        <v>474.63999999999101</v>
      </c>
      <c r="S967" s="166">
        <v>8.9172000000024294</v>
      </c>
    </row>
    <row r="968" spans="15:19">
      <c r="O968" s="166">
        <v>474.13999999999101</v>
      </c>
      <c r="P968" s="169" t="e">
        <f t="shared" si="50"/>
        <v>#NAME?</v>
      </c>
      <c r="Q968" s="177">
        <v>474.13999999999101</v>
      </c>
      <c r="R968" s="166">
        <v>474.649999999991</v>
      </c>
      <c r="S968" s="166">
        <v>8.9145000000024304</v>
      </c>
    </row>
    <row r="969" spans="15:19">
      <c r="O969" s="166">
        <v>474.149999999991</v>
      </c>
      <c r="P969" s="169" t="e">
        <f t="shared" si="50"/>
        <v>#NAME?</v>
      </c>
      <c r="Q969" s="177">
        <v>474.149999999991</v>
      </c>
      <c r="R969" s="166">
        <v>474.65999999999099</v>
      </c>
      <c r="S969" s="166">
        <v>8.9118000000024331</v>
      </c>
    </row>
    <row r="970" spans="15:19">
      <c r="O970" s="166">
        <v>474.15999999999099</v>
      </c>
      <c r="P970" s="169" t="e">
        <f t="shared" si="50"/>
        <v>#NAME?</v>
      </c>
      <c r="Q970" s="177">
        <v>474.15999999999099</v>
      </c>
      <c r="R970" s="166">
        <v>474.66999999999098</v>
      </c>
      <c r="S970" s="166">
        <v>8.9091000000024358</v>
      </c>
    </row>
    <row r="971" spans="15:19">
      <c r="O971" s="166">
        <v>474.16999999999098</v>
      </c>
      <c r="P971" s="169" t="e">
        <f t="shared" si="50"/>
        <v>#NAME?</v>
      </c>
      <c r="Q971" s="177">
        <v>474.16999999999098</v>
      </c>
      <c r="R971" s="166">
        <v>474.67999999999103</v>
      </c>
      <c r="S971" s="166">
        <v>8.9064000000024226</v>
      </c>
    </row>
    <row r="972" spans="15:19">
      <c r="O972" s="166">
        <v>474.17999999999103</v>
      </c>
      <c r="P972" s="169" t="e">
        <f t="shared" si="50"/>
        <v>#NAME?</v>
      </c>
      <c r="Q972" s="177">
        <v>474.17999999999103</v>
      </c>
      <c r="R972" s="166">
        <v>474.68999999999102</v>
      </c>
      <c r="S972" s="166">
        <v>8.9037000000024253</v>
      </c>
    </row>
    <row r="973" spans="15:19">
      <c r="O973" s="166">
        <v>474.18999999999102</v>
      </c>
      <c r="P973" s="169" t="e">
        <f t="shared" si="50"/>
        <v>#NAME?</v>
      </c>
      <c r="Q973" s="177">
        <v>474.18999999999102</v>
      </c>
      <c r="R973" s="166">
        <v>474.69999999999101</v>
      </c>
      <c r="S973" s="166">
        <v>8.9010000000024281</v>
      </c>
    </row>
    <row r="974" spans="15:19">
      <c r="O974" s="166">
        <v>474.19999999999101</v>
      </c>
      <c r="P974" s="169" t="e">
        <f t="shared" si="50"/>
        <v>#NAME?</v>
      </c>
      <c r="Q974" s="177">
        <v>474.19999999999101</v>
      </c>
      <c r="R974" s="166">
        <v>474.709999999991</v>
      </c>
      <c r="S974" s="166">
        <v>8.8983000000024308</v>
      </c>
    </row>
    <row r="975" spans="15:19">
      <c r="O975" s="166">
        <v>474.209999999991</v>
      </c>
      <c r="P975" s="169" t="e">
        <f t="shared" si="50"/>
        <v>#NAME?</v>
      </c>
      <c r="Q975" s="177">
        <v>474.209999999991</v>
      </c>
      <c r="R975" s="166">
        <v>474.71999999999099</v>
      </c>
      <c r="S975" s="166">
        <v>8.8956000000024336</v>
      </c>
    </row>
    <row r="976" spans="15:19">
      <c r="O976" s="166">
        <v>474.21999999999099</v>
      </c>
      <c r="P976" s="169" t="e">
        <f t="shared" si="50"/>
        <v>#NAME?</v>
      </c>
      <c r="Q976" s="177">
        <v>474.21999999999099</v>
      </c>
      <c r="R976" s="166">
        <v>474.72999999999098</v>
      </c>
      <c r="S976" s="166">
        <v>8.8929000000024363</v>
      </c>
    </row>
    <row r="977" spans="15:19">
      <c r="O977" s="166">
        <v>474.22999999999098</v>
      </c>
      <c r="P977" s="169" t="e">
        <f t="shared" si="50"/>
        <v>#NAME?</v>
      </c>
      <c r="Q977" s="177">
        <v>474.22999999999098</v>
      </c>
      <c r="R977" s="166">
        <v>474.73999999999103</v>
      </c>
      <c r="S977" s="166">
        <v>8.8902000000024231</v>
      </c>
    </row>
    <row r="978" spans="15:19">
      <c r="O978" s="166">
        <v>474.23999999999103</v>
      </c>
      <c r="P978" s="169" t="e">
        <f t="shared" si="50"/>
        <v>#NAME?</v>
      </c>
      <c r="Q978" s="177">
        <v>474.23999999999103</v>
      </c>
      <c r="R978" s="166">
        <v>474.74999999999102</v>
      </c>
      <c r="S978" s="166">
        <v>8.8875000000024258</v>
      </c>
    </row>
    <row r="979" spans="15:19">
      <c r="O979" s="166">
        <v>474.24999999999102</v>
      </c>
      <c r="P979" s="169" t="e">
        <f t="shared" si="50"/>
        <v>#NAME?</v>
      </c>
      <c r="Q979" s="177">
        <v>474.24999999999102</v>
      </c>
      <c r="R979" s="166">
        <v>474.75999999999101</v>
      </c>
      <c r="S979" s="166">
        <v>8.8848000000024268</v>
      </c>
    </row>
    <row r="980" spans="15:19">
      <c r="O980" s="166">
        <v>474.25999999999101</v>
      </c>
      <c r="P980" s="169" t="e">
        <f t="shared" si="50"/>
        <v>#NAME?</v>
      </c>
      <c r="Q980" s="177">
        <v>474.25999999999101</v>
      </c>
      <c r="R980" s="166">
        <v>474.769999999991</v>
      </c>
      <c r="S980" s="166">
        <v>8.8821000000024295</v>
      </c>
    </row>
    <row r="981" spans="15:19">
      <c r="O981" s="166">
        <v>474.269999999991</v>
      </c>
      <c r="P981" s="169" t="e">
        <f t="shared" si="50"/>
        <v>#NAME?</v>
      </c>
      <c r="Q981" s="177">
        <v>474.269999999991</v>
      </c>
      <c r="R981" s="166">
        <v>474.77999999999099</v>
      </c>
      <c r="S981" s="166">
        <v>8.8794000000024322</v>
      </c>
    </row>
    <row r="982" spans="15:19">
      <c r="O982" s="166">
        <v>474.27999999999099</v>
      </c>
      <c r="P982" s="169" t="e">
        <f t="shared" si="50"/>
        <v>#NAME?</v>
      </c>
      <c r="Q982" s="177">
        <v>474.27999999999099</v>
      </c>
      <c r="R982" s="166">
        <v>474.78999999999098</v>
      </c>
      <c r="S982" s="166">
        <v>8.876700000002435</v>
      </c>
    </row>
    <row r="983" spans="15:19">
      <c r="O983" s="166">
        <v>474.28999999999098</v>
      </c>
      <c r="P983" s="169" t="e">
        <f t="shared" si="50"/>
        <v>#NAME?</v>
      </c>
      <c r="Q983" s="177">
        <v>474.28999999999098</v>
      </c>
      <c r="R983" s="166">
        <v>474.79999999999097</v>
      </c>
      <c r="S983" s="166">
        <v>8.8740000000024377</v>
      </c>
    </row>
    <row r="984" spans="15:19">
      <c r="O984" s="166">
        <v>474.29999999999097</v>
      </c>
      <c r="P984" s="169" t="e">
        <f t="shared" si="50"/>
        <v>#NAME?</v>
      </c>
      <c r="Q984" s="177">
        <v>474.29999999999097</v>
      </c>
      <c r="R984" s="166">
        <v>474.80999999999102</v>
      </c>
      <c r="S984" s="166">
        <v>8.8713000000024245</v>
      </c>
    </row>
    <row r="985" spans="15:19">
      <c r="O985" s="166">
        <v>474.30999999999102</v>
      </c>
      <c r="P985" s="169" t="e">
        <f t="shared" si="50"/>
        <v>#NAME?</v>
      </c>
      <c r="Q985" s="177">
        <v>474.30999999999102</v>
      </c>
      <c r="R985" s="166">
        <v>474.81999999999101</v>
      </c>
      <c r="S985" s="166">
        <v>8.8686000000024272</v>
      </c>
    </row>
    <row r="986" spans="15:19">
      <c r="O986" s="166">
        <v>474.31999999999101</v>
      </c>
      <c r="P986" s="169" t="e">
        <f t="shared" si="50"/>
        <v>#NAME?</v>
      </c>
      <c r="Q986" s="177">
        <v>474.31999999999101</v>
      </c>
      <c r="R986" s="166">
        <v>474.829999999991</v>
      </c>
      <c r="S986" s="166">
        <v>8.8659000000024299</v>
      </c>
    </row>
    <row r="987" spans="15:19">
      <c r="O987" s="166">
        <v>474.329999999991</v>
      </c>
      <c r="P987" s="169" t="e">
        <f t="shared" si="50"/>
        <v>#NAME?</v>
      </c>
      <c r="Q987" s="177">
        <v>474.329999999991</v>
      </c>
      <c r="R987" s="166">
        <v>474.83999999999099</v>
      </c>
      <c r="S987" s="166">
        <v>8.8632000000024327</v>
      </c>
    </row>
    <row r="988" spans="15:19">
      <c r="O988" s="166">
        <v>474.33999999999099</v>
      </c>
      <c r="P988" s="169" t="e">
        <f t="shared" si="50"/>
        <v>#NAME?</v>
      </c>
      <c r="Q988" s="177">
        <v>474.33999999999099</v>
      </c>
      <c r="R988" s="166">
        <v>474.84999999999098</v>
      </c>
      <c r="S988" s="166">
        <v>8.8605000000024337</v>
      </c>
    </row>
    <row r="989" spans="15:19">
      <c r="O989" s="166">
        <v>474.34999999999098</v>
      </c>
      <c r="P989" s="169" t="e">
        <f t="shared" si="50"/>
        <v>#NAME?</v>
      </c>
      <c r="Q989" s="177">
        <v>474.34999999999098</v>
      </c>
      <c r="R989" s="166">
        <v>474.85999999999098</v>
      </c>
      <c r="S989" s="166">
        <v>8.8578000000024364</v>
      </c>
    </row>
    <row r="990" spans="15:19">
      <c r="O990" s="166">
        <v>474.35999999999098</v>
      </c>
      <c r="P990" s="169" t="e">
        <f t="shared" si="50"/>
        <v>#NAME?</v>
      </c>
      <c r="Q990" s="177">
        <v>474.35999999999098</v>
      </c>
      <c r="R990" s="166">
        <v>474.86999999999102</v>
      </c>
      <c r="S990" s="166">
        <v>8.8551000000024231</v>
      </c>
    </row>
    <row r="991" spans="15:19">
      <c r="O991" s="166">
        <v>474.36999999999102</v>
      </c>
      <c r="P991" s="169" t="e">
        <f t="shared" si="50"/>
        <v>#NAME?</v>
      </c>
      <c r="Q991" s="177">
        <v>474.36999999999102</v>
      </c>
      <c r="R991" s="166">
        <v>474.87999999999101</v>
      </c>
      <c r="S991" s="166">
        <v>8.8524000000024259</v>
      </c>
    </row>
    <row r="992" spans="15:19">
      <c r="O992" s="166">
        <v>474.37999999999101</v>
      </c>
      <c r="P992" s="169" t="e">
        <f t="shared" si="50"/>
        <v>#NAME?</v>
      </c>
      <c r="Q992" s="177">
        <v>474.37999999999101</v>
      </c>
      <c r="R992" s="166">
        <v>474.88999999999101</v>
      </c>
      <c r="S992" s="166">
        <v>8.8497000000024286</v>
      </c>
    </row>
    <row r="993" spans="15:19">
      <c r="O993" s="166">
        <v>474.38999999999101</v>
      </c>
      <c r="P993" s="169" t="e">
        <f t="shared" si="50"/>
        <v>#NAME?</v>
      </c>
      <c r="Q993" s="177">
        <v>474.38999999999101</v>
      </c>
      <c r="R993" s="166">
        <v>474.899999999991</v>
      </c>
      <c r="S993" s="166">
        <v>8.8470000000024314</v>
      </c>
    </row>
    <row r="994" spans="15:19">
      <c r="O994" s="166">
        <v>474.399999999991</v>
      </c>
      <c r="P994" s="169" t="e">
        <f t="shared" si="50"/>
        <v>#NAME?</v>
      </c>
      <c r="Q994" s="177">
        <v>474.399999999991</v>
      </c>
      <c r="R994" s="166">
        <v>474.90999999999099</v>
      </c>
      <c r="S994" s="166">
        <v>8.8443000000024341</v>
      </c>
    </row>
    <row r="995" spans="15:19">
      <c r="O995" s="166">
        <v>474.40999999999099</v>
      </c>
      <c r="P995" s="169" t="e">
        <f t="shared" si="50"/>
        <v>#NAME?</v>
      </c>
      <c r="Q995" s="177">
        <v>474.40999999999099</v>
      </c>
      <c r="R995" s="166">
        <v>474.91999999999098</v>
      </c>
      <c r="S995" s="166">
        <v>8.8416000000024368</v>
      </c>
    </row>
    <row r="996" spans="15:19">
      <c r="O996" s="166">
        <v>474.41999999999098</v>
      </c>
      <c r="P996" s="169" t="e">
        <f t="shared" si="50"/>
        <v>#NAME?</v>
      </c>
      <c r="Q996" s="177">
        <v>474.41999999999098</v>
      </c>
      <c r="R996" s="166">
        <v>474.92999999999103</v>
      </c>
      <c r="S996" s="166">
        <v>8.8389000000024236</v>
      </c>
    </row>
    <row r="997" spans="15:19">
      <c r="O997" s="166">
        <v>474.42999999999103</v>
      </c>
      <c r="P997" s="169" t="e">
        <f t="shared" si="50"/>
        <v>#NAME?</v>
      </c>
      <c r="Q997" s="177">
        <v>474.42999999999103</v>
      </c>
      <c r="R997" s="166">
        <v>474.93999999999102</v>
      </c>
      <c r="S997" s="166">
        <v>8.8362000000024263</v>
      </c>
    </row>
    <row r="998" spans="15:19">
      <c r="O998" s="166">
        <v>474.43999999999102</v>
      </c>
      <c r="P998" s="169" t="e">
        <f t="shared" si="50"/>
        <v>#NAME?</v>
      </c>
      <c r="Q998" s="177">
        <v>474.43999999999102</v>
      </c>
      <c r="R998" s="166">
        <v>474.94999999999101</v>
      </c>
      <c r="S998" s="166">
        <v>8.8335000000024291</v>
      </c>
    </row>
    <row r="999" spans="15:19">
      <c r="O999" s="166">
        <v>474.44999999999101</v>
      </c>
      <c r="P999" s="169" t="e">
        <f t="shared" si="50"/>
        <v>#NAME?</v>
      </c>
      <c r="Q999" s="177">
        <v>474.44999999999101</v>
      </c>
      <c r="R999" s="166">
        <v>474.959999999991</v>
      </c>
      <c r="S999" s="166">
        <v>8.83080000000243</v>
      </c>
    </row>
    <row r="1000" spans="15:19">
      <c r="O1000" s="166">
        <v>474.459999999991</v>
      </c>
      <c r="P1000" s="169" t="e">
        <f t="shared" si="50"/>
        <v>#NAME?</v>
      </c>
      <c r="Q1000" s="177">
        <v>474.459999999991</v>
      </c>
      <c r="R1000" s="166">
        <v>474.96999999999099</v>
      </c>
      <c r="S1000" s="166">
        <v>8.8281000000024328</v>
      </c>
    </row>
    <row r="1001" spans="15:19">
      <c r="O1001" s="166">
        <v>474.46999999999099</v>
      </c>
      <c r="P1001" s="169" t="e">
        <f t="shared" si="50"/>
        <v>#NAME?</v>
      </c>
      <c r="Q1001" s="177">
        <v>474.46999999999099</v>
      </c>
      <c r="R1001" s="166">
        <v>474.97999999999098</v>
      </c>
      <c r="S1001" s="166">
        <v>8.8254000000024355</v>
      </c>
    </row>
    <row r="1002" spans="15:19">
      <c r="O1002" s="166">
        <v>474.47999999999098</v>
      </c>
      <c r="P1002" s="169" t="e">
        <f t="shared" si="50"/>
        <v>#NAME?</v>
      </c>
      <c r="Q1002" s="177">
        <v>474.47999999999098</v>
      </c>
      <c r="R1002" s="166">
        <v>474.98999999999103</v>
      </c>
      <c r="S1002" s="166">
        <v>8.8227000000024223</v>
      </c>
    </row>
    <row r="1003" spans="15:19">
      <c r="O1003" s="166">
        <v>474.48999999999103</v>
      </c>
      <c r="P1003" s="169" t="e">
        <f t="shared" si="50"/>
        <v>#NAME?</v>
      </c>
      <c r="Q1003" s="177">
        <v>474.48999999999103</v>
      </c>
      <c r="R1003" s="166">
        <v>474.99999999999102</v>
      </c>
      <c r="S1003" s="166">
        <v>8.820000000002425</v>
      </c>
    </row>
    <row r="1004" spans="15:19">
      <c r="O1004" s="166">
        <v>474.49999999999102</v>
      </c>
      <c r="P1004" s="169" t="e">
        <f t="shared" si="50"/>
        <v>#NAME?</v>
      </c>
      <c r="Q1004" s="177">
        <v>474.49999999999102</v>
      </c>
      <c r="R1004" s="166">
        <v>475.00999999999101</v>
      </c>
      <c r="S1004" s="166">
        <v>8.8183000000015284</v>
      </c>
    </row>
    <row r="1005" spans="15:19">
      <c r="O1005" s="166">
        <v>474.50999999999101</v>
      </c>
      <c r="P1005" s="169" t="e">
        <f t="shared" si="50"/>
        <v>#NAME?</v>
      </c>
      <c r="Q1005" s="177">
        <v>474.50999999999101</v>
      </c>
      <c r="R1005" s="166">
        <v>475.019999999991</v>
      </c>
      <c r="S1005" s="166">
        <v>8.8166000000015305</v>
      </c>
    </row>
    <row r="1006" spans="15:19">
      <c r="O1006" s="166">
        <v>474.519999999991</v>
      </c>
      <c r="P1006" s="169" t="e">
        <f t="shared" si="50"/>
        <v>#NAME?</v>
      </c>
      <c r="Q1006" s="177">
        <v>474.519999999991</v>
      </c>
      <c r="R1006" s="166">
        <v>475.02999999999099</v>
      </c>
      <c r="S1006" s="166">
        <v>8.814900000001531</v>
      </c>
    </row>
    <row r="1007" spans="15:19">
      <c r="O1007" s="166">
        <v>474.52999999999099</v>
      </c>
      <c r="P1007" s="169" t="e">
        <f t="shared" si="50"/>
        <v>#NAME?</v>
      </c>
      <c r="Q1007" s="177">
        <v>474.52999999999099</v>
      </c>
      <c r="R1007" s="166">
        <v>475.03999999999098</v>
      </c>
      <c r="S1007" s="166">
        <v>8.8132000000015331</v>
      </c>
    </row>
    <row r="1008" spans="15:19">
      <c r="O1008" s="166">
        <v>474.53999999999098</v>
      </c>
      <c r="P1008" s="169" t="e">
        <f t="shared" si="50"/>
        <v>#NAME?</v>
      </c>
      <c r="Q1008" s="177">
        <v>474.53999999999098</v>
      </c>
      <c r="R1008" s="166">
        <v>475.04999999999097</v>
      </c>
      <c r="S1008" s="166">
        <v>8.8115000000015353</v>
      </c>
    </row>
    <row r="1009" spans="15:19">
      <c r="O1009" s="166">
        <v>474.54999999999097</v>
      </c>
      <c r="P1009" s="169" t="e">
        <f t="shared" si="50"/>
        <v>#NAME?</v>
      </c>
      <c r="Q1009" s="177">
        <v>474.54999999999097</v>
      </c>
      <c r="R1009" s="166">
        <v>475.05999999999102</v>
      </c>
      <c r="S1009" s="166">
        <v>8.8098000000015269</v>
      </c>
    </row>
    <row r="1010" spans="15:19">
      <c r="O1010" s="166">
        <v>474.55999999999102</v>
      </c>
      <c r="P1010" s="169" t="e">
        <f t="shared" si="50"/>
        <v>#NAME?</v>
      </c>
      <c r="Q1010" s="177">
        <v>474.55999999999102</v>
      </c>
      <c r="R1010" s="166">
        <v>475.06999999999101</v>
      </c>
      <c r="S1010" s="166">
        <v>8.808100000001529</v>
      </c>
    </row>
    <row r="1011" spans="15:19">
      <c r="O1011" s="166">
        <v>474.56999999999101</v>
      </c>
      <c r="P1011" s="169" t="e">
        <f t="shared" si="50"/>
        <v>#NAME?</v>
      </c>
      <c r="Q1011" s="177">
        <v>474.56999999999101</v>
      </c>
      <c r="R1011" s="166">
        <v>475.079999999991</v>
      </c>
      <c r="S1011" s="166">
        <v>8.8064000000015294</v>
      </c>
    </row>
    <row r="1012" spans="15:19">
      <c r="O1012" s="166">
        <v>474.579999999991</v>
      </c>
      <c r="P1012" s="169" t="e">
        <f t="shared" si="50"/>
        <v>#NAME?</v>
      </c>
      <c r="Q1012" s="177">
        <v>474.579999999991</v>
      </c>
      <c r="R1012" s="166">
        <v>475.08999999999099</v>
      </c>
      <c r="S1012" s="166">
        <v>8.8047000000015316</v>
      </c>
    </row>
    <row r="1013" spans="15:19">
      <c r="O1013" s="166">
        <v>474.58999999999099</v>
      </c>
      <c r="P1013" s="169" t="e">
        <f t="shared" si="50"/>
        <v>#NAME?</v>
      </c>
      <c r="Q1013" s="177">
        <v>474.58999999999099</v>
      </c>
      <c r="R1013" s="166">
        <v>475.09999999999098</v>
      </c>
      <c r="S1013" s="166">
        <v>8.803000000001532</v>
      </c>
    </row>
    <row r="1014" spans="15:19">
      <c r="O1014" s="166">
        <v>474.59999999999098</v>
      </c>
      <c r="P1014" s="169" t="e">
        <f t="shared" si="50"/>
        <v>#NAME?</v>
      </c>
      <c r="Q1014" s="177">
        <v>474.59999999999098</v>
      </c>
      <c r="R1014" s="166">
        <v>475.10999999999098</v>
      </c>
      <c r="S1014" s="166">
        <v>8.8013000000015342</v>
      </c>
    </row>
    <row r="1015" spans="15:19">
      <c r="O1015" s="166">
        <v>474.60999999999098</v>
      </c>
      <c r="P1015" s="169" t="e">
        <f t="shared" si="50"/>
        <v>#NAME?</v>
      </c>
      <c r="Q1015" s="177">
        <v>474.60999999999098</v>
      </c>
      <c r="R1015" s="166">
        <v>475.11999999999102</v>
      </c>
      <c r="S1015" s="166">
        <v>8.7996000000015258</v>
      </c>
    </row>
    <row r="1016" spans="15:19">
      <c r="O1016" s="166">
        <v>474.61999999999102</v>
      </c>
      <c r="P1016" s="169" t="e">
        <f t="shared" si="50"/>
        <v>#NAME?</v>
      </c>
      <c r="Q1016" s="177">
        <v>474.61999999999102</v>
      </c>
      <c r="R1016" s="166">
        <v>475.12999999999101</v>
      </c>
      <c r="S1016" s="166">
        <v>8.7979000000015279</v>
      </c>
    </row>
    <row r="1017" spans="15:19">
      <c r="O1017" s="166">
        <v>474.62999999999101</v>
      </c>
      <c r="P1017" s="169" t="e">
        <f t="shared" si="50"/>
        <v>#NAME?</v>
      </c>
      <c r="Q1017" s="177">
        <v>474.62999999999101</v>
      </c>
      <c r="R1017" s="166">
        <v>475.13999999999101</v>
      </c>
      <c r="S1017" s="166">
        <v>8.7962000000015301</v>
      </c>
    </row>
    <row r="1018" spans="15:19">
      <c r="O1018" s="166">
        <v>474.63999999999101</v>
      </c>
      <c r="P1018" s="169" t="e">
        <f t="shared" si="50"/>
        <v>#NAME?</v>
      </c>
      <c r="Q1018" s="177">
        <v>474.63999999999101</v>
      </c>
      <c r="R1018" s="166">
        <v>475.149999999991</v>
      </c>
      <c r="S1018" s="166">
        <v>8.7945000000015305</v>
      </c>
    </row>
    <row r="1019" spans="15:19">
      <c r="O1019" s="166">
        <v>474.649999999991</v>
      </c>
      <c r="P1019" s="169" t="e">
        <f t="shared" si="50"/>
        <v>#NAME?</v>
      </c>
      <c r="Q1019" s="177">
        <v>474.649999999991</v>
      </c>
      <c r="R1019" s="166">
        <v>475.15999999999099</v>
      </c>
      <c r="S1019" s="166">
        <v>8.7928000000015327</v>
      </c>
    </row>
    <row r="1020" spans="15:19">
      <c r="O1020" s="166">
        <v>474.65999999999099</v>
      </c>
      <c r="P1020" s="169" t="e">
        <f t="shared" si="50"/>
        <v>#NAME?</v>
      </c>
      <c r="Q1020" s="177">
        <v>474.65999999999099</v>
      </c>
      <c r="R1020" s="166">
        <v>475.16999999999098</v>
      </c>
      <c r="S1020" s="166">
        <v>8.7911000000015349</v>
      </c>
    </row>
    <row r="1021" spans="15:19">
      <c r="O1021" s="166">
        <v>474.66999999999098</v>
      </c>
      <c r="P1021" s="169" t="e">
        <f t="shared" si="50"/>
        <v>#NAME?</v>
      </c>
      <c r="Q1021" s="177">
        <v>474.66999999999098</v>
      </c>
      <c r="R1021" s="166">
        <v>475.17999999999103</v>
      </c>
      <c r="S1021" s="166">
        <v>8.7894000000015264</v>
      </c>
    </row>
    <row r="1022" spans="15:19">
      <c r="O1022" s="166">
        <v>474.67999999999103</v>
      </c>
      <c r="P1022" s="169" t="e">
        <f t="shared" si="50"/>
        <v>#NAME?</v>
      </c>
      <c r="Q1022" s="177">
        <v>474.67999999999103</v>
      </c>
      <c r="R1022" s="166">
        <v>475.18999999999102</v>
      </c>
      <c r="S1022" s="166">
        <v>8.7877000000015268</v>
      </c>
    </row>
    <row r="1023" spans="15:19">
      <c r="O1023" s="166">
        <v>474.68999999999102</v>
      </c>
      <c r="P1023" s="169" t="e">
        <f t="shared" si="50"/>
        <v>#NAME?</v>
      </c>
      <c r="Q1023" s="177">
        <v>474.68999999999102</v>
      </c>
      <c r="R1023" s="166">
        <v>475.19999999999101</v>
      </c>
      <c r="S1023" s="166">
        <v>8.786000000001529</v>
      </c>
    </row>
    <row r="1024" spans="15:19">
      <c r="O1024" s="166">
        <v>474.69999999999101</v>
      </c>
      <c r="P1024" s="169" t="e">
        <f t="shared" si="50"/>
        <v>#NAME?</v>
      </c>
      <c r="Q1024" s="177">
        <v>474.69999999999101</v>
      </c>
      <c r="R1024" s="166">
        <v>475.209999999991</v>
      </c>
      <c r="S1024" s="166">
        <v>8.7843000000015312</v>
      </c>
    </row>
    <row r="1025" spans="15:19">
      <c r="O1025" s="166">
        <v>474.709999999991</v>
      </c>
      <c r="P1025" s="169" t="e">
        <f t="shared" si="50"/>
        <v>#NAME?</v>
      </c>
      <c r="Q1025" s="177">
        <v>474.709999999991</v>
      </c>
      <c r="R1025" s="166">
        <v>475.21999999999099</v>
      </c>
      <c r="S1025" s="166">
        <v>8.7826000000015316</v>
      </c>
    </row>
    <row r="1026" spans="15:19">
      <c r="O1026" s="166">
        <v>474.71999999999099</v>
      </c>
      <c r="P1026" s="169" t="e">
        <f t="shared" si="50"/>
        <v>#NAME?</v>
      </c>
      <c r="Q1026" s="177">
        <v>474.71999999999099</v>
      </c>
      <c r="R1026" s="166">
        <v>475.22999999999098</v>
      </c>
      <c r="S1026" s="166">
        <v>8.7809000000015338</v>
      </c>
    </row>
    <row r="1027" spans="15:19">
      <c r="O1027" s="166">
        <v>474.72999999999098</v>
      </c>
      <c r="P1027" s="169" t="e">
        <f t="shared" si="50"/>
        <v>#NAME?</v>
      </c>
      <c r="Q1027" s="177">
        <v>474.72999999999098</v>
      </c>
      <c r="R1027" s="166">
        <v>475.23999999999103</v>
      </c>
      <c r="S1027" s="166">
        <v>8.7792000000015253</v>
      </c>
    </row>
    <row r="1028" spans="15:19">
      <c r="O1028" s="166">
        <v>474.73999999999103</v>
      </c>
      <c r="P1028" s="169" t="e">
        <f t="shared" ref="P1028:P1091" si="51">VLOOKUP(O1028,THONGSOHO_BTS,2,1)+(VLOOKUP(O1028+5,THONGSOHO_BTS,2,1)-VLOOKUP(O1028,THONGSOHO_BTS,2,1))/5*(O1028-VLOOKUP(O1028,THONGSOHO_BTS,1,1))-264.29</f>
        <v>#NAME?</v>
      </c>
      <c r="Q1028" s="177">
        <v>474.73999999999103</v>
      </c>
      <c r="R1028" s="166">
        <v>475.24999999999102</v>
      </c>
      <c r="S1028" s="166">
        <v>8.7775000000015275</v>
      </c>
    </row>
    <row r="1029" spans="15:19">
      <c r="O1029" s="166">
        <v>474.74999999999102</v>
      </c>
      <c r="P1029" s="169" t="e">
        <f t="shared" si="51"/>
        <v>#NAME?</v>
      </c>
      <c r="Q1029" s="177">
        <v>474.74999999999102</v>
      </c>
      <c r="R1029" s="166">
        <v>475.25999999999101</v>
      </c>
      <c r="S1029" s="166">
        <v>8.7758000000015279</v>
      </c>
    </row>
    <row r="1030" spans="15:19">
      <c r="O1030" s="166">
        <v>474.75999999999101</v>
      </c>
      <c r="P1030" s="169" t="e">
        <f t="shared" si="51"/>
        <v>#NAME?</v>
      </c>
      <c r="Q1030" s="177">
        <v>474.75999999999101</v>
      </c>
      <c r="R1030" s="166">
        <v>475.269999999991</v>
      </c>
      <c r="S1030" s="166">
        <v>8.7741000000015301</v>
      </c>
    </row>
    <row r="1031" spans="15:19">
      <c r="O1031" s="166">
        <v>474.769999999991</v>
      </c>
      <c r="P1031" s="169" t="e">
        <f t="shared" si="51"/>
        <v>#NAME?</v>
      </c>
      <c r="Q1031" s="177">
        <v>474.769999999991</v>
      </c>
      <c r="R1031" s="166">
        <v>475.27999999999099</v>
      </c>
      <c r="S1031" s="166">
        <v>8.7724000000015323</v>
      </c>
    </row>
    <row r="1032" spans="15:19">
      <c r="O1032" s="166">
        <v>474.77999999999099</v>
      </c>
      <c r="P1032" s="169" t="e">
        <f t="shared" si="51"/>
        <v>#NAME?</v>
      </c>
      <c r="Q1032" s="177">
        <v>474.77999999999099</v>
      </c>
      <c r="R1032" s="166">
        <v>475.28999999999098</v>
      </c>
      <c r="S1032" s="166">
        <v>8.7707000000015327</v>
      </c>
    </row>
    <row r="1033" spans="15:19">
      <c r="O1033" s="166">
        <v>474.78999999999098</v>
      </c>
      <c r="P1033" s="169" t="e">
        <f t="shared" si="51"/>
        <v>#NAME?</v>
      </c>
      <c r="Q1033" s="177">
        <v>474.78999999999098</v>
      </c>
      <c r="R1033" s="166">
        <v>475.29999999999097</v>
      </c>
      <c r="S1033" s="166">
        <v>8.7690000000015349</v>
      </c>
    </row>
    <row r="1034" spans="15:19">
      <c r="O1034" s="166">
        <v>474.79999999999097</v>
      </c>
      <c r="P1034" s="169" t="e">
        <f t="shared" si="51"/>
        <v>#NAME?</v>
      </c>
      <c r="Q1034" s="177">
        <v>474.79999999999097</v>
      </c>
      <c r="R1034" s="166">
        <v>475.30999999999102</v>
      </c>
      <c r="S1034" s="166">
        <v>8.7673000000015264</v>
      </c>
    </row>
    <row r="1035" spans="15:19">
      <c r="O1035" s="166">
        <v>474.80999999999102</v>
      </c>
      <c r="P1035" s="169" t="e">
        <f t="shared" si="51"/>
        <v>#NAME?</v>
      </c>
      <c r="Q1035" s="177">
        <v>474.80999999999102</v>
      </c>
      <c r="R1035" s="166">
        <v>475.31999999999101</v>
      </c>
      <c r="S1035" s="166">
        <v>8.7656000000015286</v>
      </c>
    </row>
    <row r="1036" spans="15:19">
      <c r="O1036" s="166">
        <v>474.81999999999101</v>
      </c>
      <c r="P1036" s="169" t="e">
        <f t="shared" si="51"/>
        <v>#NAME?</v>
      </c>
      <c r="Q1036" s="177">
        <v>474.81999999999101</v>
      </c>
      <c r="R1036" s="166">
        <v>475.329999999991</v>
      </c>
      <c r="S1036" s="166">
        <v>8.763900000001529</v>
      </c>
    </row>
    <row r="1037" spans="15:19">
      <c r="O1037" s="166">
        <v>474.829999999991</v>
      </c>
      <c r="P1037" s="169" t="e">
        <f t="shared" si="51"/>
        <v>#NAME?</v>
      </c>
      <c r="Q1037" s="177">
        <v>474.829999999991</v>
      </c>
      <c r="R1037" s="166">
        <v>475.33999999999099</v>
      </c>
      <c r="S1037" s="166">
        <v>8.7622000000015312</v>
      </c>
    </row>
    <row r="1038" spans="15:19">
      <c r="O1038" s="166">
        <v>474.83999999999099</v>
      </c>
      <c r="P1038" s="169" t="e">
        <f t="shared" si="51"/>
        <v>#NAME?</v>
      </c>
      <c r="Q1038" s="177">
        <v>474.83999999999099</v>
      </c>
      <c r="R1038" s="166">
        <v>475.34999999999098</v>
      </c>
      <c r="S1038" s="166">
        <v>8.7605000000015334</v>
      </c>
    </row>
    <row r="1039" spans="15:19">
      <c r="O1039" s="166">
        <v>474.84999999999098</v>
      </c>
      <c r="P1039" s="169" t="e">
        <f t="shared" si="51"/>
        <v>#NAME?</v>
      </c>
      <c r="Q1039" s="177">
        <v>474.84999999999098</v>
      </c>
      <c r="R1039" s="166">
        <v>475.35999999999098</v>
      </c>
      <c r="S1039" s="166">
        <v>8.7588000000015338</v>
      </c>
    </row>
    <row r="1040" spans="15:19">
      <c r="O1040" s="166">
        <v>474.85999999999098</v>
      </c>
      <c r="P1040" s="169" t="e">
        <f t="shared" si="51"/>
        <v>#NAME?</v>
      </c>
      <c r="Q1040" s="177">
        <v>474.85999999999098</v>
      </c>
      <c r="R1040" s="166">
        <v>475.36999999999102</v>
      </c>
      <c r="S1040" s="166">
        <v>8.7571000000015271</v>
      </c>
    </row>
    <row r="1041" spans="15:19">
      <c r="O1041" s="166">
        <v>474.86999999999102</v>
      </c>
      <c r="P1041" s="169" t="e">
        <f t="shared" si="51"/>
        <v>#NAME?</v>
      </c>
      <c r="Q1041" s="177">
        <v>474.86999999999102</v>
      </c>
      <c r="R1041" s="166">
        <v>475.37999999999101</v>
      </c>
      <c r="S1041" s="166">
        <v>8.7554000000015275</v>
      </c>
    </row>
    <row r="1042" spans="15:19">
      <c r="O1042" s="166">
        <v>474.87999999999101</v>
      </c>
      <c r="P1042" s="169" t="e">
        <f t="shared" si="51"/>
        <v>#NAME?</v>
      </c>
      <c r="Q1042" s="177">
        <v>474.87999999999101</v>
      </c>
      <c r="R1042" s="166">
        <v>475.38999999999101</v>
      </c>
      <c r="S1042" s="166">
        <v>8.7537000000015297</v>
      </c>
    </row>
    <row r="1043" spans="15:19">
      <c r="O1043" s="166">
        <v>474.88999999999101</v>
      </c>
      <c r="P1043" s="169" t="e">
        <f t="shared" si="51"/>
        <v>#NAME?</v>
      </c>
      <c r="Q1043" s="177">
        <v>474.88999999999101</v>
      </c>
      <c r="R1043" s="166">
        <v>475.399999999991</v>
      </c>
      <c r="S1043" s="166">
        <v>8.7520000000015301</v>
      </c>
    </row>
    <row r="1044" spans="15:19">
      <c r="O1044" s="166">
        <v>474.89999999998997</v>
      </c>
      <c r="P1044" s="169" t="e">
        <f t="shared" si="51"/>
        <v>#NAME?</v>
      </c>
      <c r="Q1044" s="177">
        <v>474.89999999998997</v>
      </c>
      <c r="R1044" s="166">
        <v>475.40999999999002</v>
      </c>
      <c r="S1044" s="166">
        <v>8.7503000000016975</v>
      </c>
    </row>
    <row r="1045" spans="15:19">
      <c r="O1045" s="166">
        <v>474.90999999999002</v>
      </c>
      <c r="P1045" s="169" t="e">
        <f t="shared" si="51"/>
        <v>#NAME?</v>
      </c>
      <c r="Q1045" s="177">
        <v>474.90999999999002</v>
      </c>
      <c r="R1045" s="166">
        <v>475.41999999999001</v>
      </c>
      <c r="S1045" s="166">
        <v>8.7486000000016979</v>
      </c>
    </row>
    <row r="1046" spans="15:19">
      <c r="O1046" s="166">
        <v>474.91999999999098</v>
      </c>
      <c r="P1046" s="169" t="e">
        <f t="shared" si="51"/>
        <v>#NAME?</v>
      </c>
      <c r="Q1046" s="177">
        <v>474.91999999999098</v>
      </c>
      <c r="R1046" s="166">
        <v>475.42999999999103</v>
      </c>
      <c r="S1046" s="166">
        <v>8.746900000001526</v>
      </c>
    </row>
    <row r="1047" spans="15:19">
      <c r="O1047" s="166">
        <v>474.92999999999103</v>
      </c>
      <c r="P1047" s="169" t="e">
        <f t="shared" si="51"/>
        <v>#NAME?</v>
      </c>
      <c r="Q1047" s="177">
        <v>474.92999999999103</v>
      </c>
      <c r="R1047" s="166">
        <v>475.43999999999102</v>
      </c>
      <c r="S1047" s="166">
        <v>8.7452000000015282</v>
      </c>
    </row>
    <row r="1048" spans="15:19">
      <c r="O1048" s="166">
        <v>474.93999999999102</v>
      </c>
      <c r="P1048" s="169" t="e">
        <f t="shared" si="51"/>
        <v>#NAME?</v>
      </c>
      <c r="Q1048" s="177">
        <v>474.93999999999102</v>
      </c>
      <c r="R1048" s="166">
        <v>475.44999999998998</v>
      </c>
      <c r="S1048" s="166">
        <v>8.7435000000017027</v>
      </c>
    </row>
    <row r="1049" spans="15:19">
      <c r="O1049" s="166">
        <v>474.94999999998998</v>
      </c>
      <c r="P1049" s="169" t="e">
        <f t="shared" si="51"/>
        <v>#NAME?</v>
      </c>
      <c r="Q1049" s="177">
        <v>474.94999999998998</v>
      </c>
      <c r="R1049" s="166">
        <v>475.45999999998998</v>
      </c>
      <c r="S1049" s="166">
        <v>8.7418000000017049</v>
      </c>
    </row>
    <row r="1050" spans="15:19">
      <c r="O1050" s="166">
        <v>474.95999999998998</v>
      </c>
      <c r="P1050" s="169" t="e">
        <f t="shared" si="51"/>
        <v>#NAME?</v>
      </c>
      <c r="Q1050" s="177">
        <v>474.95999999998998</v>
      </c>
      <c r="R1050" s="166">
        <v>475.46999999999002</v>
      </c>
      <c r="S1050" s="166">
        <v>8.7401000000016964</v>
      </c>
    </row>
    <row r="1051" spans="15:19">
      <c r="O1051" s="166">
        <v>474.96999999999002</v>
      </c>
      <c r="P1051" s="169" t="e">
        <f t="shared" si="51"/>
        <v>#NAME?</v>
      </c>
      <c r="Q1051" s="177">
        <v>474.96999999999002</v>
      </c>
      <c r="R1051" s="166">
        <v>475.47999999999001</v>
      </c>
      <c r="S1051" s="166">
        <v>8.7384000000016986</v>
      </c>
    </row>
    <row r="1052" spans="15:19">
      <c r="O1052" s="166">
        <v>474.97999999999098</v>
      </c>
      <c r="P1052" s="169" t="e">
        <f t="shared" si="51"/>
        <v>#NAME?</v>
      </c>
      <c r="Q1052" s="177">
        <v>474.97999999999098</v>
      </c>
      <c r="R1052" s="166">
        <v>475.48999999999103</v>
      </c>
      <c r="S1052" s="166">
        <v>8.7367000000015249</v>
      </c>
    </row>
    <row r="1053" spans="15:19">
      <c r="O1053" s="166">
        <v>474.98999999999103</v>
      </c>
      <c r="P1053" s="169" t="e">
        <f t="shared" si="51"/>
        <v>#NAME?</v>
      </c>
      <c r="Q1053" s="177">
        <v>474.98999999999103</v>
      </c>
      <c r="R1053" s="166">
        <v>475.49999999999102</v>
      </c>
      <c r="S1053" s="166">
        <v>8.7350000000015271</v>
      </c>
    </row>
    <row r="1054" spans="15:19">
      <c r="O1054" s="166">
        <v>474.99999999999102</v>
      </c>
      <c r="P1054" s="169" t="e">
        <f t="shared" si="51"/>
        <v>#NAME?</v>
      </c>
      <c r="Q1054" s="177">
        <v>474.99999999999102</v>
      </c>
      <c r="R1054" s="166">
        <v>475.50999999998999</v>
      </c>
      <c r="S1054" s="166">
        <v>8.7333000000017034</v>
      </c>
    </row>
    <row r="1055" spans="15:19">
      <c r="O1055" s="166">
        <v>475.00999999998999</v>
      </c>
      <c r="P1055" s="169" t="e">
        <f t="shared" si="51"/>
        <v>#NAME?</v>
      </c>
      <c r="Q1055" s="177">
        <v>475.00999999998999</v>
      </c>
      <c r="R1055" s="166">
        <v>475.51999999998998</v>
      </c>
      <c r="S1055" s="166">
        <v>8.7316000000017038</v>
      </c>
    </row>
    <row r="1056" spans="15:19">
      <c r="O1056" s="166">
        <v>475.01999999998998</v>
      </c>
      <c r="P1056" s="169" t="e">
        <f t="shared" si="51"/>
        <v>#NAME?</v>
      </c>
      <c r="Q1056" s="177">
        <v>475.01999999998998</v>
      </c>
      <c r="R1056" s="166">
        <v>475.52999999999003</v>
      </c>
      <c r="S1056" s="166">
        <v>8.7299000000016953</v>
      </c>
    </row>
    <row r="1057" spans="15:19">
      <c r="O1057" s="166">
        <v>475.02999999999003</v>
      </c>
      <c r="P1057" s="169" t="e">
        <f t="shared" si="51"/>
        <v>#NAME?</v>
      </c>
      <c r="Q1057" s="177">
        <v>475.02999999999003</v>
      </c>
      <c r="R1057" s="166">
        <v>475.53999999999002</v>
      </c>
      <c r="S1057" s="166">
        <v>8.7282000000016975</v>
      </c>
    </row>
    <row r="1058" spans="15:19">
      <c r="O1058" s="166">
        <v>475.03999999999002</v>
      </c>
      <c r="P1058" s="169" t="e">
        <f t="shared" si="51"/>
        <v>#NAME?</v>
      </c>
      <c r="Q1058" s="177">
        <v>475.03999999999002</v>
      </c>
      <c r="R1058" s="166">
        <v>475.54999999999001</v>
      </c>
      <c r="S1058" s="166">
        <v>8.7265000000016997</v>
      </c>
    </row>
    <row r="1059" spans="15:19">
      <c r="O1059" s="166">
        <v>475.04999999999001</v>
      </c>
      <c r="P1059" s="169" t="e">
        <f t="shared" si="51"/>
        <v>#NAME?</v>
      </c>
      <c r="Q1059" s="177">
        <v>475.04999999999001</v>
      </c>
      <c r="R1059" s="166">
        <v>475.55999999999</v>
      </c>
      <c r="S1059" s="166">
        <v>8.7248000000017001</v>
      </c>
    </row>
    <row r="1060" spans="15:19">
      <c r="O1060" s="166">
        <v>475.05999999999</v>
      </c>
      <c r="P1060" s="169" t="e">
        <f t="shared" si="51"/>
        <v>#NAME?</v>
      </c>
      <c r="Q1060" s="177">
        <v>475.05999999999</v>
      </c>
      <c r="R1060" s="166">
        <v>475.56999999998999</v>
      </c>
      <c r="S1060" s="166">
        <v>8.7231000000017023</v>
      </c>
    </row>
    <row r="1061" spans="15:19">
      <c r="O1061" s="166">
        <v>475.06999999998999</v>
      </c>
      <c r="P1061" s="169" t="e">
        <f t="shared" si="51"/>
        <v>#NAME?</v>
      </c>
      <c r="Q1061" s="177">
        <v>475.06999999998999</v>
      </c>
      <c r="R1061" s="166">
        <v>475.57999999998998</v>
      </c>
      <c r="S1061" s="166">
        <v>8.7214000000017045</v>
      </c>
    </row>
    <row r="1062" spans="15:19">
      <c r="O1062" s="166">
        <v>475.07999999998998</v>
      </c>
      <c r="P1062" s="169" t="e">
        <f t="shared" si="51"/>
        <v>#NAME?</v>
      </c>
      <c r="Q1062" s="177">
        <v>475.07999999998998</v>
      </c>
      <c r="R1062" s="166">
        <v>475.58999999999003</v>
      </c>
      <c r="S1062" s="166">
        <v>8.719700000001696</v>
      </c>
    </row>
    <row r="1063" spans="15:19">
      <c r="O1063" s="166">
        <v>475.08999999999003</v>
      </c>
      <c r="P1063" s="169" t="e">
        <f t="shared" si="51"/>
        <v>#NAME?</v>
      </c>
      <c r="Q1063" s="177">
        <v>475.08999999999003</v>
      </c>
      <c r="R1063" s="166">
        <v>475.59999999999002</v>
      </c>
      <c r="S1063" s="166">
        <v>8.7180000000016964</v>
      </c>
    </row>
    <row r="1064" spans="15:19">
      <c r="O1064" s="166">
        <v>475.09999999999002</v>
      </c>
      <c r="P1064" s="169" t="e">
        <f t="shared" si="51"/>
        <v>#NAME?</v>
      </c>
      <c r="Q1064" s="177">
        <v>475.09999999999002</v>
      </c>
      <c r="R1064" s="166">
        <v>475.60999999999001</v>
      </c>
      <c r="S1064" s="166">
        <v>8.7163000000016986</v>
      </c>
    </row>
    <row r="1065" spans="15:19">
      <c r="O1065" s="166">
        <v>475.10999999999001</v>
      </c>
      <c r="P1065" s="169" t="e">
        <f t="shared" si="51"/>
        <v>#NAME?</v>
      </c>
      <c r="Q1065" s="177">
        <v>475.10999999999001</v>
      </c>
      <c r="R1065" s="166">
        <v>475.61999999999</v>
      </c>
      <c r="S1065" s="166">
        <v>8.7146000000017008</v>
      </c>
    </row>
    <row r="1066" spans="15:19">
      <c r="O1066" s="166">
        <v>475.11999999999</v>
      </c>
      <c r="P1066" s="169" t="e">
        <f t="shared" si="51"/>
        <v>#NAME?</v>
      </c>
      <c r="Q1066" s="177">
        <v>475.11999999999</v>
      </c>
      <c r="R1066" s="166">
        <v>475.62999999998999</v>
      </c>
      <c r="S1066" s="166">
        <v>8.7129000000017012</v>
      </c>
    </row>
    <row r="1067" spans="15:19">
      <c r="O1067" s="166">
        <v>475.12999999998999</v>
      </c>
      <c r="P1067" s="169" t="e">
        <f t="shared" si="51"/>
        <v>#NAME?</v>
      </c>
      <c r="Q1067" s="177">
        <v>475.12999999998999</v>
      </c>
      <c r="R1067" s="166">
        <v>475.63999999998998</v>
      </c>
      <c r="S1067" s="166">
        <v>8.7112000000017034</v>
      </c>
    </row>
    <row r="1068" spans="15:19">
      <c r="O1068" s="166">
        <v>475.13999999998998</v>
      </c>
      <c r="P1068" s="169" t="e">
        <f t="shared" si="51"/>
        <v>#NAME?</v>
      </c>
      <c r="Q1068" s="177">
        <v>475.13999999998998</v>
      </c>
      <c r="R1068" s="166">
        <v>475.64999999998997</v>
      </c>
      <c r="S1068" s="166">
        <v>8.7095000000017055</v>
      </c>
    </row>
    <row r="1069" spans="15:19">
      <c r="O1069" s="166">
        <v>475.14999999998997</v>
      </c>
      <c r="P1069" s="169" t="e">
        <f t="shared" si="51"/>
        <v>#NAME?</v>
      </c>
      <c r="Q1069" s="177">
        <v>475.14999999998997</v>
      </c>
      <c r="R1069" s="166">
        <v>475.65999999999002</v>
      </c>
      <c r="S1069" s="166">
        <v>8.7078000000016971</v>
      </c>
    </row>
    <row r="1070" spans="15:19">
      <c r="O1070" s="166">
        <v>475.15999999999002</v>
      </c>
      <c r="P1070" s="169" t="e">
        <f t="shared" si="51"/>
        <v>#NAME?</v>
      </c>
      <c r="Q1070" s="177">
        <v>475.15999999999002</v>
      </c>
      <c r="R1070" s="166">
        <v>475.66999999999001</v>
      </c>
      <c r="S1070" s="166">
        <v>8.7061000000016993</v>
      </c>
    </row>
    <row r="1071" spans="15:19">
      <c r="O1071" s="166">
        <v>475.16999999999001</v>
      </c>
      <c r="P1071" s="169" t="e">
        <f t="shared" si="51"/>
        <v>#NAME?</v>
      </c>
      <c r="Q1071" s="177">
        <v>475.16999999999001</v>
      </c>
      <c r="R1071" s="166">
        <v>475.67999999999</v>
      </c>
      <c r="S1071" s="166">
        <v>8.7044000000016997</v>
      </c>
    </row>
    <row r="1072" spans="15:19">
      <c r="O1072" s="166">
        <v>475.17999999999</v>
      </c>
      <c r="P1072" s="169" t="e">
        <f t="shared" si="51"/>
        <v>#NAME?</v>
      </c>
      <c r="Q1072" s="177">
        <v>475.17999999999</v>
      </c>
      <c r="R1072" s="166">
        <v>475.68999999998999</v>
      </c>
      <c r="S1072" s="166">
        <v>8.7027000000017019</v>
      </c>
    </row>
    <row r="1073" spans="15:19">
      <c r="O1073" s="166">
        <v>475.18999999998999</v>
      </c>
      <c r="P1073" s="169" t="e">
        <f t="shared" si="51"/>
        <v>#NAME?</v>
      </c>
      <c r="Q1073" s="177">
        <v>475.18999999998999</v>
      </c>
      <c r="R1073" s="166">
        <v>475.69999999998998</v>
      </c>
      <c r="S1073" s="166">
        <v>8.7010000000017023</v>
      </c>
    </row>
    <row r="1074" spans="15:19">
      <c r="O1074" s="166">
        <v>475.19999999998998</v>
      </c>
      <c r="P1074" s="169" t="e">
        <f t="shared" si="51"/>
        <v>#NAME?</v>
      </c>
      <c r="Q1074" s="177">
        <v>475.19999999998998</v>
      </c>
      <c r="R1074" s="166">
        <v>475.70999999998998</v>
      </c>
      <c r="S1074" s="166">
        <v>8.6993000000017044</v>
      </c>
    </row>
    <row r="1075" spans="15:19">
      <c r="O1075" s="166">
        <v>475.20999999998998</v>
      </c>
      <c r="P1075" s="169" t="e">
        <f t="shared" si="51"/>
        <v>#NAME?</v>
      </c>
      <c r="Q1075" s="177">
        <v>475.20999999998998</v>
      </c>
      <c r="R1075" s="166">
        <v>475.71999999999002</v>
      </c>
      <c r="S1075" s="166">
        <v>8.697600000001696</v>
      </c>
    </row>
    <row r="1076" spans="15:19">
      <c r="O1076" s="166">
        <v>475.21999999999002</v>
      </c>
      <c r="P1076" s="169" t="e">
        <f t="shared" si="51"/>
        <v>#NAME?</v>
      </c>
      <c r="Q1076" s="177">
        <v>475.21999999999002</v>
      </c>
      <c r="R1076" s="166">
        <v>475.72999999999001</v>
      </c>
      <c r="S1076" s="166">
        <v>8.6959000000016982</v>
      </c>
    </row>
    <row r="1077" spans="15:19">
      <c r="O1077" s="166">
        <v>475.22999999999001</v>
      </c>
      <c r="P1077" s="169" t="e">
        <f t="shared" si="51"/>
        <v>#NAME?</v>
      </c>
      <c r="Q1077" s="177">
        <v>475.22999999999001</v>
      </c>
      <c r="R1077" s="166">
        <v>475.73999999999</v>
      </c>
      <c r="S1077" s="166">
        <v>8.6942000000017003</v>
      </c>
    </row>
    <row r="1078" spans="15:19">
      <c r="O1078" s="166">
        <v>475.23999999999</v>
      </c>
      <c r="P1078" s="169" t="e">
        <f t="shared" si="51"/>
        <v>#NAME?</v>
      </c>
      <c r="Q1078" s="177">
        <v>475.23999999999</v>
      </c>
      <c r="R1078" s="166">
        <v>475.74999999999</v>
      </c>
      <c r="S1078" s="166">
        <v>8.6925000000017008</v>
      </c>
    </row>
    <row r="1079" spans="15:19">
      <c r="O1079" s="166">
        <v>475.24999999999</v>
      </c>
      <c r="P1079" s="169" t="e">
        <f t="shared" si="51"/>
        <v>#NAME?</v>
      </c>
      <c r="Q1079" s="177">
        <v>475.24999999999</v>
      </c>
      <c r="R1079" s="166">
        <v>475.75999999998999</v>
      </c>
      <c r="S1079" s="166">
        <v>8.6908000000017029</v>
      </c>
    </row>
    <row r="1080" spans="15:19">
      <c r="O1080" s="166">
        <v>475.25999999998999</v>
      </c>
      <c r="P1080" s="169" t="e">
        <f t="shared" si="51"/>
        <v>#NAME?</v>
      </c>
      <c r="Q1080" s="177">
        <v>475.25999999998999</v>
      </c>
      <c r="R1080" s="166">
        <v>475.76999999998998</v>
      </c>
      <c r="S1080" s="166">
        <v>8.6891000000017033</v>
      </c>
    </row>
    <row r="1081" spans="15:19">
      <c r="O1081" s="166">
        <v>475.26999999998998</v>
      </c>
      <c r="P1081" s="169" t="e">
        <f t="shared" si="51"/>
        <v>#NAME?</v>
      </c>
      <c r="Q1081" s="177">
        <v>475.26999999998998</v>
      </c>
      <c r="R1081" s="166">
        <v>475.77999999999003</v>
      </c>
      <c r="S1081" s="166">
        <v>8.6874000000016967</v>
      </c>
    </row>
    <row r="1082" spans="15:19">
      <c r="O1082" s="166">
        <v>475.27999999999003</v>
      </c>
      <c r="P1082" s="169" t="e">
        <f t="shared" si="51"/>
        <v>#NAME?</v>
      </c>
      <c r="Q1082" s="177">
        <v>475.27999999999003</v>
      </c>
      <c r="R1082" s="166">
        <v>475.78999999999002</v>
      </c>
      <c r="S1082" s="166">
        <v>8.6857000000016971</v>
      </c>
    </row>
    <row r="1083" spans="15:19">
      <c r="O1083" s="166">
        <v>475.28999999999002</v>
      </c>
      <c r="P1083" s="169" t="e">
        <f t="shared" si="51"/>
        <v>#NAME?</v>
      </c>
      <c r="Q1083" s="177">
        <v>475.28999999999002</v>
      </c>
      <c r="R1083" s="166">
        <v>475.79999999999001</v>
      </c>
      <c r="S1083" s="166">
        <v>8.6840000000016992</v>
      </c>
    </row>
    <row r="1084" spans="15:19">
      <c r="O1084" s="166">
        <v>475.29999999999001</v>
      </c>
      <c r="P1084" s="169" t="e">
        <f t="shared" si="51"/>
        <v>#NAME?</v>
      </c>
      <c r="Q1084" s="177">
        <v>475.29999999999001</v>
      </c>
      <c r="R1084" s="166">
        <v>475.80999999999</v>
      </c>
      <c r="S1084" s="166">
        <v>8.6823000000017014</v>
      </c>
    </row>
    <row r="1085" spans="15:19">
      <c r="O1085" s="166">
        <v>475.30999999999</v>
      </c>
      <c r="P1085" s="169" t="e">
        <f t="shared" si="51"/>
        <v>#NAME?</v>
      </c>
      <c r="Q1085" s="177">
        <v>475.30999999999</v>
      </c>
      <c r="R1085" s="166">
        <v>475.81999999998999</v>
      </c>
      <c r="S1085" s="166">
        <v>8.6806000000017018</v>
      </c>
    </row>
    <row r="1086" spans="15:19">
      <c r="O1086" s="166">
        <v>475.31999999998999</v>
      </c>
      <c r="P1086" s="169" t="e">
        <f t="shared" si="51"/>
        <v>#NAME?</v>
      </c>
      <c r="Q1086" s="177">
        <v>475.31999999998999</v>
      </c>
      <c r="R1086" s="166">
        <v>475.82999999998998</v>
      </c>
      <c r="S1086" s="166">
        <v>8.678900000001704</v>
      </c>
    </row>
    <row r="1087" spans="15:19">
      <c r="O1087" s="166">
        <v>475.32999999998998</v>
      </c>
      <c r="P1087" s="169" t="e">
        <f t="shared" si="51"/>
        <v>#NAME?</v>
      </c>
      <c r="Q1087" s="177">
        <v>475.32999999998998</v>
      </c>
      <c r="R1087" s="166">
        <v>475.83999999999003</v>
      </c>
      <c r="S1087" s="166">
        <v>8.6772000000016956</v>
      </c>
    </row>
    <row r="1088" spans="15:19">
      <c r="O1088" s="166">
        <v>475.33999999999003</v>
      </c>
      <c r="P1088" s="169" t="e">
        <f t="shared" si="51"/>
        <v>#NAME?</v>
      </c>
      <c r="Q1088" s="177">
        <v>475.33999999999003</v>
      </c>
      <c r="R1088" s="166">
        <v>475.84999999999002</v>
      </c>
      <c r="S1088" s="166">
        <v>8.6755000000016977</v>
      </c>
    </row>
    <row r="1089" spans="15:19">
      <c r="O1089" s="166">
        <v>475.34999999999002</v>
      </c>
      <c r="P1089" s="169" t="e">
        <f t="shared" si="51"/>
        <v>#NAME?</v>
      </c>
      <c r="Q1089" s="177">
        <v>475.34999999999002</v>
      </c>
      <c r="R1089" s="166">
        <v>475.85999999999001</v>
      </c>
      <c r="S1089" s="166">
        <v>8.6738000000016982</v>
      </c>
    </row>
    <row r="1090" spans="15:19">
      <c r="O1090" s="166">
        <v>475.35999999999001</v>
      </c>
      <c r="P1090" s="169" t="e">
        <f t="shared" si="51"/>
        <v>#NAME?</v>
      </c>
      <c r="Q1090" s="177">
        <v>475.35999999999001</v>
      </c>
      <c r="R1090" s="166">
        <v>475.86999999999</v>
      </c>
      <c r="S1090" s="166">
        <v>8.6721000000017003</v>
      </c>
    </row>
    <row r="1091" spans="15:19">
      <c r="O1091" s="166">
        <v>475.36999999999</v>
      </c>
      <c r="P1091" s="169" t="e">
        <f t="shared" si="51"/>
        <v>#NAME?</v>
      </c>
      <c r="Q1091" s="177">
        <v>475.36999999999</v>
      </c>
      <c r="R1091" s="166">
        <v>475.87999999998999</v>
      </c>
      <c r="S1091" s="166">
        <v>8.6704000000017025</v>
      </c>
    </row>
    <row r="1092" spans="15:19">
      <c r="O1092" s="166">
        <v>475.37999999998999</v>
      </c>
      <c r="P1092" s="169" t="e">
        <f t="shared" ref="P1092:P1155" si="52">VLOOKUP(O1092,THONGSOHO_BTS,2,1)+(VLOOKUP(O1092+5,THONGSOHO_BTS,2,1)-VLOOKUP(O1092,THONGSOHO_BTS,2,1))/5*(O1092-VLOOKUP(O1092,THONGSOHO_BTS,1,1))-264.29</f>
        <v>#NAME?</v>
      </c>
      <c r="Q1092" s="177">
        <v>475.37999999998999</v>
      </c>
      <c r="R1092" s="166">
        <v>475.88999999998998</v>
      </c>
      <c r="S1092" s="166">
        <v>8.6687000000017029</v>
      </c>
    </row>
    <row r="1093" spans="15:19">
      <c r="O1093" s="166">
        <v>475.38999999998998</v>
      </c>
      <c r="P1093" s="169" t="e">
        <f t="shared" si="52"/>
        <v>#NAME?</v>
      </c>
      <c r="Q1093" s="177">
        <v>475.38999999998998</v>
      </c>
      <c r="R1093" s="166">
        <v>475.89999999998997</v>
      </c>
      <c r="S1093" s="166">
        <v>8.6670000000017051</v>
      </c>
    </row>
    <row r="1094" spans="15:19">
      <c r="O1094" s="166">
        <v>475.39999999998997</v>
      </c>
      <c r="P1094" s="169" t="e">
        <f t="shared" si="52"/>
        <v>#NAME?</v>
      </c>
      <c r="Q1094" s="177">
        <v>475.39999999998997</v>
      </c>
      <c r="R1094" s="166">
        <v>475.90999999999002</v>
      </c>
      <c r="S1094" s="166">
        <v>8.6653000000016966</v>
      </c>
    </row>
    <row r="1095" spans="15:19">
      <c r="O1095" s="166">
        <v>475.40999999999002</v>
      </c>
      <c r="P1095" s="169" t="e">
        <f t="shared" si="52"/>
        <v>#NAME?</v>
      </c>
      <c r="Q1095" s="177">
        <v>475.40999999999002</v>
      </c>
      <c r="R1095" s="166">
        <v>475.91999999999001</v>
      </c>
      <c r="S1095" s="166">
        <v>8.6636000000016988</v>
      </c>
    </row>
    <row r="1096" spans="15:19">
      <c r="O1096" s="166">
        <v>475.41999999999001</v>
      </c>
      <c r="P1096" s="169" t="e">
        <f t="shared" si="52"/>
        <v>#NAME?</v>
      </c>
      <c r="Q1096" s="177">
        <v>475.41999999999001</v>
      </c>
      <c r="R1096" s="166">
        <v>475.92999999999</v>
      </c>
      <c r="S1096" s="166">
        <v>8.6619000000016992</v>
      </c>
    </row>
    <row r="1097" spans="15:19">
      <c r="O1097" s="166">
        <v>475.42999999999</v>
      </c>
      <c r="P1097" s="169" t="e">
        <f t="shared" si="52"/>
        <v>#NAME?</v>
      </c>
      <c r="Q1097" s="177">
        <v>475.42999999999</v>
      </c>
      <c r="R1097" s="166">
        <v>475.93999999998999</v>
      </c>
      <c r="S1097" s="166">
        <v>8.6602000000017014</v>
      </c>
    </row>
    <row r="1098" spans="15:19">
      <c r="O1098" s="166">
        <v>475.43999999998999</v>
      </c>
      <c r="P1098" s="169" t="e">
        <f t="shared" si="52"/>
        <v>#NAME?</v>
      </c>
      <c r="Q1098" s="177">
        <v>475.43999999998999</v>
      </c>
      <c r="R1098" s="166">
        <v>475.94999999998998</v>
      </c>
      <c r="S1098" s="166">
        <v>8.6585000000017036</v>
      </c>
    </row>
    <row r="1099" spans="15:19">
      <c r="O1099" s="166">
        <v>475.44999999998998</v>
      </c>
      <c r="P1099" s="169" t="e">
        <f t="shared" si="52"/>
        <v>#NAME?</v>
      </c>
      <c r="Q1099" s="177">
        <v>475.44999999998998</v>
      </c>
      <c r="R1099" s="166">
        <v>475.95999999998998</v>
      </c>
      <c r="S1099" s="166">
        <v>8.656800000001704</v>
      </c>
    </row>
    <row r="1100" spans="15:19">
      <c r="O1100" s="166">
        <v>475.45999999998998</v>
      </c>
      <c r="P1100" s="169" t="e">
        <f t="shared" si="52"/>
        <v>#NAME?</v>
      </c>
      <c r="Q1100" s="177">
        <v>475.45999999998998</v>
      </c>
      <c r="R1100" s="166">
        <v>475.96999999999002</v>
      </c>
      <c r="S1100" s="166">
        <v>8.6551000000016973</v>
      </c>
    </row>
    <row r="1101" spans="15:19">
      <c r="O1101" s="166">
        <v>475.46999999999002</v>
      </c>
      <c r="P1101" s="169" t="e">
        <f t="shared" si="52"/>
        <v>#NAME?</v>
      </c>
      <c r="Q1101" s="177">
        <v>475.46999999999002</v>
      </c>
      <c r="R1101" s="166">
        <v>475.97999999999001</v>
      </c>
      <c r="S1101" s="166">
        <v>8.6534000000016977</v>
      </c>
    </row>
    <row r="1102" spans="15:19">
      <c r="O1102" s="166">
        <v>475.47999999999001</v>
      </c>
      <c r="P1102" s="169" t="e">
        <f t="shared" si="52"/>
        <v>#NAME?</v>
      </c>
      <c r="Q1102" s="177">
        <v>475.47999999999001</v>
      </c>
      <c r="R1102" s="166">
        <v>475.98999999999</v>
      </c>
      <c r="S1102" s="166">
        <v>8.6517000000016999</v>
      </c>
    </row>
    <row r="1103" spans="15:19">
      <c r="O1103" s="166">
        <v>475.48999999999</v>
      </c>
      <c r="P1103" s="169" t="e">
        <f t="shared" si="52"/>
        <v>#NAME?</v>
      </c>
      <c r="Q1103" s="177">
        <v>475.48999999999</v>
      </c>
      <c r="R1103" s="166">
        <v>475.99999999999</v>
      </c>
      <c r="S1103" s="166">
        <v>8.6500000000017003</v>
      </c>
    </row>
    <row r="1104" spans="15:19">
      <c r="O1104" s="166">
        <v>475.49999999999</v>
      </c>
      <c r="P1104" s="169" t="e">
        <f t="shared" si="52"/>
        <v>#NAME?</v>
      </c>
      <c r="Q1104" s="177">
        <v>475.49999999999</v>
      </c>
      <c r="R1104" s="166">
        <v>476.00999999998999</v>
      </c>
      <c r="S1104" s="166">
        <v>8.6493000000007019</v>
      </c>
    </row>
    <row r="1105" spans="15:19">
      <c r="O1105" s="166">
        <v>475.50999999998999</v>
      </c>
      <c r="P1105" s="169" t="e">
        <f t="shared" si="52"/>
        <v>#NAME?</v>
      </c>
      <c r="Q1105" s="177">
        <v>475.50999999998999</v>
      </c>
      <c r="R1105" s="166">
        <v>476.01999999998998</v>
      </c>
      <c r="S1105" s="166">
        <v>8.6486000000007017</v>
      </c>
    </row>
    <row r="1106" spans="15:19">
      <c r="O1106" s="166">
        <v>475.51999999998998</v>
      </c>
      <c r="P1106" s="169" t="e">
        <f t="shared" si="52"/>
        <v>#NAME?</v>
      </c>
      <c r="Q1106" s="177">
        <v>475.51999999998998</v>
      </c>
      <c r="R1106" s="166">
        <v>476.02999999999003</v>
      </c>
      <c r="S1106" s="166">
        <v>8.647900000000698</v>
      </c>
    </row>
    <row r="1107" spans="15:19">
      <c r="O1107" s="166">
        <v>475.52999999999003</v>
      </c>
      <c r="P1107" s="169" t="e">
        <f t="shared" si="52"/>
        <v>#NAME?</v>
      </c>
      <c r="Q1107" s="177">
        <v>475.52999999999003</v>
      </c>
      <c r="R1107" s="166">
        <v>476.03999999999002</v>
      </c>
      <c r="S1107" s="166">
        <v>8.6472000000006997</v>
      </c>
    </row>
    <row r="1108" spans="15:19">
      <c r="O1108" s="166">
        <v>475.53999999999002</v>
      </c>
      <c r="P1108" s="169" t="e">
        <f t="shared" si="52"/>
        <v>#NAME?</v>
      </c>
      <c r="Q1108" s="177">
        <v>475.53999999999002</v>
      </c>
      <c r="R1108" s="166">
        <v>476.04999999999001</v>
      </c>
      <c r="S1108" s="166">
        <v>8.6465000000006995</v>
      </c>
    </row>
    <row r="1109" spans="15:19">
      <c r="O1109" s="166">
        <v>475.54999999999001</v>
      </c>
      <c r="P1109" s="169" t="e">
        <f t="shared" si="52"/>
        <v>#NAME?</v>
      </c>
      <c r="Q1109" s="177">
        <v>475.54999999999001</v>
      </c>
      <c r="R1109" s="166">
        <v>476.05999999999</v>
      </c>
      <c r="S1109" s="166">
        <v>8.6458000000007011</v>
      </c>
    </row>
    <row r="1110" spans="15:19">
      <c r="O1110" s="166">
        <v>475.55999999999</v>
      </c>
      <c r="P1110" s="169" t="e">
        <f t="shared" si="52"/>
        <v>#NAME?</v>
      </c>
      <c r="Q1110" s="177">
        <v>475.55999999999</v>
      </c>
      <c r="R1110" s="166">
        <v>476.06999999998999</v>
      </c>
      <c r="S1110" s="166">
        <v>8.645100000000701</v>
      </c>
    </row>
    <row r="1111" spans="15:19">
      <c r="O1111" s="166">
        <v>475.56999999998999</v>
      </c>
      <c r="P1111" s="169" t="e">
        <f t="shared" si="52"/>
        <v>#NAME?</v>
      </c>
      <c r="Q1111" s="177">
        <v>475.56999999998999</v>
      </c>
      <c r="R1111" s="166">
        <v>476.07999999998998</v>
      </c>
      <c r="S1111" s="166">
        <v>8.6444000000007026</v>
      </c>
    </row>
    <row r="1112" spans="15:19">
      <c r="O1112" s="166">
        <v>475.57999999998998</v>
      </c>
      <c r="P1112" s="169" t="e">
        <f t="shared" si="52"/>
        <v>#NAME?</v>
      </c>
      <c r="Q1112" s="177">
        <v>475.57999999998998</v>
      </c>
      <c r="R1112" s="166">
        <v>476.08999999999003</v>
      </c>
      <c r="S1112" s="166">
        <v>8.6437000000006989</v>
      </c>
    </row>
    <row r="1113" spans="15:19">
      <c r="O1113" s="166">
        <v>475.58999999999003</v>
      </c>
      <c r="P1113" s="169" t="e">
        <f t="shared" si="52"/>
        <v>#NAME?</v>
      </c>
      <c r="Q1113" s="177">
        <v>475.58999999999003</v>
      </c>
      <c r="R1113" s="166">
        <v>476.09999999999002</v>
      </c>
      <c r="S1113" s="166">
        <v>8.6430000000006988</v>
      </c>
    </row>
    <row r="1114" spans="15:19">
      <c r="O1114" s="166">
        <v>475.59999999999002</v>
      </c>
      <c r="P1114" s="169" t="e">
        <f t="shared" si="52"/>
        <v>#NAME?</v>
      </c>
      <c r="Q1114" s="177">
        <v>475.59999999999002</v>
      </c>
      <c r="R1114" s="166">
        <v>476.10999999999001</v>
      </c>
      <c r="S1114" s="166">
        <v>8.6423000000007004</v>
      </c>
    </row>
    <row r="1115" spans="15:19">
      <c r="O1115" s="166">
        <v>475.60999999999001</v>
      </c>
      <c r="P1115" s="169" t="e">
        <f t="shared" si="52"/>
        <v>#NAME?</v>
      </c>
      <c r="Q1115" s="177">
        <v>475.60999999999001</v>
      </c>
      <c r="R1115" s="166">
        <v>476.11999999999</v>
      </c>
      <c r="S1115" s="166">
        <v>8.6416000000007003</v>
      </c>
    </row>
    <row r="1116" spans="15:19">
      <c r="O1116" s="166">
        <v>475.61999999999</v>
      </c>
      <c r="P1116" s="169" t="e">
        <f t="shared" si="52"/>
        <v>#NAME?</v>
      </c>
      <c r="Q1116" s="177">
        <v>475.61999999999</v>
      </c>
      <c r="R1116" s="166">
        <v>476.12999999998999</v>
      </c>
      <c r="S1116" s="166">
        <v>8.6409000000007001</v>
      </c>
    </row>
    <row r="1117" spans="15:19">
      <c r="O1117" s="166">
        <v>475.62999999998999</v>
      </c>
      <c r="P1117" s="169" t="e">
        <f t="shared" si="52"/>
        <v>#NAME?</v>
      </c>
      <c r="Q1117" s="177">
        <v>475.62999999998999</v>
      </c>
      <c r="R1117" s="166">
        <v>476.13999999998998</v>
      </c>
      <c r="S1117" s="166">
        <v>8.6402000000007018</v>
      </c>
    </row>
    <row r="1118" spans="15:19">
      <c r="O1118" s="166">
        <v>475.63999999998998</v>
      </c>
      <c r="P1118" s="169" t="e">
        <f t="shared" si="52"/>
        <v>#NAME?</v>
      </c>
      <c r="Q1118" s="177">
        <v>475.63999999998998</v>
      </c>
      <c r="R1118" s="166">
        <v>476.14999999998997</v>
      </c>
      <c r="S1118" s="166">
        <v>8.6395000000007016</v>
      </c>
    </row>
    <row r="1119" spans="15:19">
      <c r="O1119" s="166">
        <v>475.64999999998997</v>
      </c>
      <c r="P1119" s="169" t="e">
        <f t="shared" si="52"/>
        <v>#NAME?</v>
      </c>
      <c r="Q1119" s="177">
        <v>475.64999999998997</v>
      </c>
      <c r="R1119" s="166">
        <v>476.15999999999002</v>
      </c>
      <c r="S1119" s="166">
        <v>8.6388000000006997</v>
      </c>
    </row>
    <row r="1120" spans="15:19">
      <c r="O1120" s="166">
        <v>475.65999999999002</v>
      </c>
      <c r="P1120" s="169" t="e">
        <f t="shared" si="52"/>
        <v>#NAME?</v>
      </c>
      <c r="Q1120" s="177">
        <v>475.65999999999002</v>
      </c>
      <c r="R1120" s="166">
        <v>476.16999999999001</v>
      </c>
      <c r="S1120" s="166">
        <v>8.6381000000006996</v>
      </c>
    </row>
    <row r="1121" spans="15:19">
      <c r="O1121" s="166">
        <v>475.66999999999001</v>
      </c>
      <c r="P1121" s="169" t="e">
        <f t="shared" si="52"/>
        <v>#NAME?</v>
      </c>
      <c r="Q1121" s="177">
        <v>475.66999999999001</v>
      </c>
      <c r="R1121" s="166">
        <v>476.17999999999</v>
      </c>
      <c r="S1121" s="166">
        <v>8.6374000000006994</v>
      </c>
    </row>
    <row r="1122" spans="15:19">
      <c r="O1122" s="166">
        <v>475.67999999999</v>
      </c>
      <c r="P1122" s="169" t="e">
        <f t="shared" si="52"/>
        <v>#NAME?</v>
      </c>
      <c r="Q1122" s="177">
        <v>475.67999999999</v>
      </c>
      <c r="R1122" s="166">
        <v>476.18999999998999</v>
      </c>
      <c r="S1122" s="166">
        <v>8.636700000000701</v>
      </c>
    </row>
    <row r="1123" spans="15:19">
      <c r="O1123" s="166">
        <v>475.68999999998999</v>
      </c>
      <c r="P1123" s="169" t="e">
        <f t="shared" si="52"/>
        <v>#NAME?</v>
      </c>
      <c r="Q1123" s="177">
        <v>475.68999999998999</v>
      </c>
      <c r="R1123" s="166">
        <v>476.19999999998998</v>
      </c>
      <c r="S1123" s="166">
        <v>8.6360000000007009</v>
      </c>
    </row>
    <row r="1124" spans="15:19">
      <c r="O1124" s="166">
        <v>475.69999999998998</v>
      </c>
      <c r="P1124" s="169" t="e">
        <f t="shared" si="52"/>
        <v>#NAME?</v>
      </c>
      <c r="Q1124" s="177">
        <v>475.69999999998998</v>
      </c>
      <c r="R1124" s="166">
        <v>476.20999999998998</v>
      </c>
      <c r="S1124" s="166">
        <v>8.6353000000007025</v>
      </c>
    </row>
    <row r="1125" spans="15:19">
      <c r="O1125" s="166">
        <v>475.70999999998998</v>
      </c>
      <c r="P1125" s="169" t="e">
        <f t="shared" si="52"/>
        <v>#NAME?</v>
      </c>
      <c r="Q1125" s="177">
        <v>475.70999999998998</v>
      </c>
      <c r="R1125" s="166">
        <v>476.21999999999002</v>
      </c>
      <c r="S1125" s="166">
        <v>8.6346000000006988</v>
      </c>
    </row>
    <row r="1126" spans="15:19">
      <c r="O1126" s="166">
        <v>475.71999999999002</v>
      </c>
      <c r="P1126" s="169" t="e">
        <f t="shared" si="52"/>
        <v>#NAME?</v>
      </c>
      <c r="Q1126" s="177">
        <v>475.71999999999002</v>
      </c>
      <c r="R1126" s="166">
        <v>476.22999999999001</v>
      </c>
      <c r="S1126" s="166">
        <v>8.6339000000006987</v>
      </c>
    </row>
    <row r="1127" spans="15:19">
      <c r="O1127" s="166">
        <v>475.72999999999001</v>
      </c>
      <c r="P1127" s="169" t="e">
        <f t="shared" si="52"/>
        <v>#NAME?</v>
      </c>
      <c r="Q1127" s="177">
        <v>475.72999999999001</v>
      </c>
      <c r="R1127" s="166">
        <v>476.23999999999</v>
      </c>
      <c r="S1127" s="166">
        <v>8.6332000000007003</v>
      </c>
    </row>
    <row r="1128" spans="15:19">
      <c r="O1128" s="166">
        <v>475.73999999999</v>
      </c>
      <c r="P1128" s="169" t="e">
        <f t="shared" si="52"/>
        <v>#NAME?</v>
      </c>
      <c r="Q1128" s="177">
        <v>475.73999999999</v>
      </c>
      <c r="R1128" s="166">
        <v>476.24999999999</v>
      </c>
      <c r="S1128" s="166">
        <v>8.6325000000007002</v>
      </c>
    </row>
    <row r="1129" spans="15:19">
      <c r="O1129" s="166">
        <v>475.74999999999</v>
      </c>
      <c r="P1129" s="169" t="e">
        <f t="shared" si="52"/>
        <v>#NAME?</v>
      </c>
      <c r="Q1129" s="177">
        <v>475.74999999999</v>
      </c>
      <c r="R1129" s="166">
        <v>476.25999999998999</v>
      </c>
      <c r="S1129" s="166">
        <v>8.6318000000007018</v>
      </c>
    </row>
    <row r="1130" spans="15:19">
      <c r="O1130" s="166">
        <v>475.75999999998999</v>
      </c>
      <c r="P1130" s="169" t="e">
        <f t="shared" si="52"/>
        <v>#NAME?</v>
      </c>
      <c r="Q1130" s="177">
        <v>475.75999999998999</v>
      </c>
      <c r="R1130" s="166">
        <v>476.26999999998998</v>
      </c>
      <c r="S1130" s="166">
        <v>8.6311000000007017</v>
      </c>
    </row>
    <row r="1131" spans="15:19">
      <c r="O1131" s="166">
        <v>475.76999999998998</v>
      </c>
      <c r="P1131" s="169" t="e">
        <f t="shared" si="52"/>
        <v>#NAME?</v>
      </c>
      <c r="Q1131" s="177">
        <v>475.76999999998998</v>
      </c>
      <c r="R1131" s="166">
        <v>476.27999999999003</v>
      </c>
      <c r="S1131" s="166">
        <v>8.630400000000698</v>
      </c>
    </row>
    <row r="1132" spans="15:19">
      <c r="O1132" s="166">
        <v>475.77999999999003</v>
      </c>
      <c r="P1132" s="169" t="e">
        <f t="shared" si="52"/>
        <v>#NAME?</v>
      </c>
      <c r="Q1132" s="177">
        <v>475.77999999999003</v>
      </c>
      <c r="R1132" s="166">
        <v>476.28999999999002</v>
      </c>
      <c r="S1132" s="166">
        <v>8.6297000000006996</v>
      </c>
    </row>
    <row r="1133" spans="15:19">
      <c r="O1133" s="166">
        <v>475.78999999999002</v>
      </c>
      <c r="P1133" s="169" t="e">
        <f t="shared" si="52"/>
        <v>#NAME?</v>
      </c>
      <c r="Q1133" s="177">
        <v>475.78999999999002</v>
      </c>
      <c r="R1133" s="166">
        <v>476.29999999999001</v>
      </c>
      <c r="S1133" s="166">
        <v>8.6290000000006994</v>
      </c>
    </row>
    <row r="1134" spans="15:19">
      <c r="O1134" s="166">
        <v>475.79999999999001</v>
      </c>
      <c r="P1134" s="169" t="e">
        <f t="shared" si="52"/>
        <v>#NAME?</v>
      </c>
      <c r="Q1134" s="177">
        <v>475.79999999999001</v>
      </c>
      <c r="R1134" s="166">
        <v>476.30999999999</v>
      </c>
      <c r="S1134" s="166">
        <v>8.6283000000007011</v>
      </c>
    </row>
    <row r="1135" spans="15:19">
      <c r="O1135" s="166">
        <v>475.80999999999</v>
      </c>
      <c r="P1135" s="169" t="e">
        <f t="shared" si="52"/>
        <v>#NAME?</v>
      </c>
      <c r="Q1135" s="177">
        <v>475.80999999999</v>
      </c>
      <c r="R1135" s="166">
        <v>476.31999999998999</v>
      </c>
      <c r="S1135" s="166">
        <v>8.6276000000007009</v>
      </c>
    </row>
    <row r="1136" spans="15:19">
      <c r="O1136" s="166">
        <v>475.81999999998999</v>
      </c>
      <c r="P1136" s="169" t="e">
        <f t="shared" si="52"/>
        <v>#NAME?</v>
      </c>
      <c r="Q1136" s="177">
        <v>475.81999999998999</v>
      </c>
      <c r="R1136" s="166">
        <v>476.32999999998998</v>
      </c>
      <c r="S1136" s="166">
        <v>8.6269000000007026</v>
      </c>
    </row>
    <row r="1137" spans="15:19">
      <c r="O1137" s="166">
        <v>475.82999999998998</v>
      </c>
      <c r="P1137" s="169" t="e">
        <f t="shared" si="52"/>
        <v>#NAME?</v>
      </c>
      <c r="Q1137" s="177">
        <v>475.82999999998998</v>
      </c>
      <c r="R1137" s="166">
        <v>476.33999999999003</v>
      </c>
      <c r="S1137" s="166">
        <v>8.6262000000006989</v>
      </c>
    </row>
    <row r="1138" spans="15:19">
      <c r="O1138" s="166">
        <v>475.83999999999003</v>
      </c>
      <c r="P1138" s="169" t="e">
        <f t="shared" si="52"/>
        <v>#NAME?</v>
      </c>
      <c r="Q1138" s="177">
        <v>475.83999999999003</v>
      </c>
      <c r="R1138" s="166">
        <v>476.34999999999002</v>
      </c>
      <c r="S1138" s="166">
        <v>8.6255000000006987</v>
      </c>
    </row>
    <row r="1139" spans="15:19">
      <c r="O1139" s="166">
        <v>475.84999999999002</v>
      </c>
      <c r="P1139" s="169" t="e">
        <f t="shared" si="52"/>
        <v>#NAME?</v>
      </c>
      <c r="Q1139" s="177">
        <v>475.84999999999002</v>
      </c>
      <c r="R1139" s="166">
        <v>476.35999999999001</v>
      </c>
      <c r="S1139" s="166">
        <v>8.6248000000007004</v>
      </c>
    </row>
    <row r="1140" spans="15:19">
      <c r="O1140" s="166">
        <v>475.85999999999001</v>
      </c>
      <c r="P1140" s="169" t="e">
        <f t="shared" si="52"/>
        <v>#NAME?</v>
      </c>
      <c r="Q1140" s="177">
        <v>475.85999999999001</v>
      </c>
      <c r="R1140" s="166">
        <v>476.36999999999</v>
      </c>
      <c r="S1140" s="166">
        <v>8.6241000000007002</v>
      </c>
    </row>
    <row r="1141" spans="15:19">
      <c r="O1141" s="166">
        <v>475.86999999999</v>
      </c>
      <c r="P1141" s="169" t="e">
        <f t="shared" si="52"/>
        <v>#NAME?</v>
      </c>
      <c r="Q1141" s="177">
        <v>475.86999999999</v>
      </c>
      <c r="R1141" s="166">
        <v>476.37999999998999</v>
      </c>
      <c r="S1141" s="166">
        <v>8.6234000000007001</v>
      </c>
    </row>
    <row r="1142" spans="15:19">
      <c r="O1142" s="166">
        <v>475.87999999998999</v>
      </c>
      <c r="P1142" s="169" t="e">
        <f t="shared" si="52"/>
        <v>#NAME?</v>
      </c>
      <c r="Q1142" s="177">
        <v>475.87999999998999</v>
      </c>
      <c r="R1142" s="166">
        <v>476.38999999998998</v>
      </c>
      <c r="S1142" s="166">
        <v>8.6227000000007017</v>
      </c>
    </row>
    <row r="1143" spans="15:19">
      <c r="O1143" s="166">
        <v>475.88999999998998</v>
      </c>
      <c r="P1143" s="169" t="e">
        <f t="shared" si="52"/>
        <v>#NAME?</v>
      </c>
      <c r="Q1143" s="177">
        <v>475.88999999998998</v>
      </c>
      <c r="R1143" s="166">
        <v>476.39999999998997</v>
      </c>
      <c r="S1143" s="166">
        <v>8.6220000000007015</v>
      </c>
    </row>
    <row r="1144" spans="15:19">
      <c r="O1144" s="166">
        <v>475.89999999998997</v>
      </c>
      <c r="P1144" s="169" t="e">
        <f t="shared" si="52"/>
        <v>#NAME?</v>
      </c>
      <c r="Q1144" s="177">
        <v>475.89999999998997</v>
      </c>
      <c r="R1144" s="166">
        <v>476.40999999999002</v>
      </c>
      <c r="S1144" s="166">
        <v>8.6213000000006996</v>
      </c>
    </row>
    <row r="1145" spans="15:19">
      <c r="O1145" s="166">
        <v>475.90999999999002</v>
      </c>
      <c r="P1145" s="169" t="e">
        <f t="shared" si="52"/>
        <v>#NAME?</v>
      </c>
      <c r="Q1145" s="177">
        <v>475.90999999999002</v>
      </c>
      <c r="R1145" s="166">
        <v>476.41999999999001</v>
      </c>
      <c r="S1145" s="166">
        <v>8.6206000000006995</v>
      </c>
    </row>
    <row r="1146" spans="15:19">
      <c r="O1146" s="166">
        <v>475.91999999999001</v>
      </c>
      <c r="P1146" s="169" t="e">
        <f t="shared" si="52"/>
        <v>#NAME?</v>
      </c>
      <c r="Q1146" s="177">
        <v>475.91999999999001</v>
      </c>
      <c r="R1146" s="166">
        <v>476.42999999999</v>
      </c>
      <c r="S1146" s="166">
        <v>8.6199000000006993</v>
      </c>
    </row>
    <row r="1147" spans="15:19">
      <c r="O1147" s="166">
        <v>475.92999999999</v>
      </c>
      <c r="P1147" s="169" t="e">
        <f t="shared" si="52"/>
        <v>#NAME?</v>
      </c>
      <c r="Q1147" s="177">
        <v>475.92999999999</v>
      </c>
      <c r="R1147" s="166">
        <v>476.43999999998999</v>
      </c>
      <c r="S1147" s="166">
        <v>8.619200000000701</v>
      </c>
    </row>
    <row r="1148" spans="15:19">
      <c r="O1148" s="166">
        <v>475.93999999998999</v>
      </c>
      <c r="P1148" s="169" t="e">
        <f t="shared" si="52"/>
        <v>#NAME?</v>
      </c>
      <c r="Q1148" s="177">
        <v>475.93999999998999</v>
      </c>
      <c r="R1148" s="166">
        <v>476.44999999998998</v>
      </c>
      <c r="S1148" s="166">
        <v>8.6185000000007008</v>
      </c>
    </row>
    <row r="1149" spans="15:19">
      <c r="O1149" s="166">
        <v>475.94999999998998</v>
      </c>
      <c r="P1149" s="169" t="e">
        <f t="shared" si="52"/>
        <v>#NAME?</v>
      </c>
      <c r="Q1149" s="177">
        <v>475.94999999998998</v>
      </c>
      <c r="R1149" s="166">
        <v>476.45999999998998</v>
      </c>
      <c r="S1149" s="166">
        <v>8.6178000000007025</v>
      </c>
    </row>
    <row r="1150" spans="15:19">
      <c r="O1150" s="166">
        <v>475.95999999998998</v>
      </c>
      <c r="P1150" s="169" t="e">
        <f t="shared" si="52"/>
        <v>#NAME?</v>
      </c>
      <c r="Q1150" s="177">
        <v>475.95999999998998</v>
      </c>
      <c r="R1150" s="166">
        <v>476.46999999999002</v>
      </c>
      <c r="S1150" s="166">
        <v>8.6171000000006988</v>
      </c>
    </row>
    <row r="1151" spans="15:19">
      <c r="O1151" s="166">
        <v>475.96999999999002</v>
      </c>
      <c r="P1151" s="169" t="e">
        <f t="shared" si="52"/>
        <v>#NAME?</v>
      </c>
      <c r="Q1151" s="177">
        <v>475.96999999999002</v>
      </c>
      <c r="R1151" s="166">
        <v>476.47999999999001</v>
      </c>
      <c r="S1151" s="166">
        <v>8.6164000000006986</v>
      </c>
    </row>
    <row r="1152" spans="15:19">
      <c r="O1152" s="166">
        <v>475.97999999999001</v>
      </c>
      <c r="P1152" s="169" t="e">
        <f t="shared" si="52"/>
        <v>#NAME?</v>
      </c>
      <c r="Q1152" s="177">
        <v>475.97999999999001</v>
      </c>
      <c r="R1152" s="166">
        <v>476.48999999999</v>
      </c>
      <c r="S1152" s="166">
        <v>8.6157000000007002</v>
      </c>
    </row>
    <row r="1153" spans="15:19">
      <c r="O1153" s="166">
        <v>475.98999999998898</v>
      </c>
      <c r="P1153" s="169" t="e">
        <f t="shared" si="52"/>
        <v>#NAME?</v>
      </c>
      <c r="Q1153" s="177">
        <v>475.98999999998898</v>
      </c>
      <c r="R1153" s="166">
        <v>476.49999999998897</v>
      </c>
      <c r="S1153" s="166">
        <v>8.6150000000007729</v>
      </c>
    </row>
    <row r="1154" spans="15:19">
      <c r="O1154" s="166">
        <v>475.99999999998897</v>
      </c>
      <c r="P1154" s="169" t="e">
        <f t="shared" si="52"/>
        <v>#NAME?</v>
      </c>
      <c r="Q1154" s="177">
        <v>475.99999999998897</v>
      </c>
      <c r="R1154" s="166">
        <v>476.50999999998902</v>
      </c>
      <c r="S1154" s="166">
        <v>8.6143000000007692</v>
      </c>
    </row>
    <row r="1155" spans="15:19">
      <c r="O1155" s="166">
        <v>476.00999999998902</v>
      </c>
      <c r="P1155" s="169" t="e">
        <f t="shared" si="52"/>
        <v>#NAME?</v>
      </c>
      <c r="Q1155" s="177">
        <v>476.00999999998902</v>
      </c>
      <c r="R1155" s="166">
        <v>476.51999999998901</v>
      </c>
      <c r="S1155" s="166">
        <v>8.6136000000007691</v>
      </c>
    </row>
    <row r="1156" spans="15:19">
      <c r="O1156" s="166">
        <v>476.01999999998998</v>
      </c>
      <c r="P1156" s="169" t="e">
        <f t="shared" ref="P1156:P1219" si="53">VLOOKUP(O1156,THONGSOHO_BTS,2,1)+(VLOOKUP(O1156+5,THONGSOHO_BTS,2,1)-VLOOKUP(O1156,THONGSOHO_BTS,2,1))/5*(O1156-VLOOKUP(O1156,THONGSOHO_BTS,1,1))-264.29</f>
        <v>#NAME?</v>
      </c>
      <c r="Q1156" s="177">
        <v>476.01999999998998</v>
      </c>
      <c r="R1156" s="166">
        <v>476.52999999999003</v>
      </c>
      <c r="S1156" s="166">
        <v>8.6129000000006979</v>
      </c>
    </row>
    <row r="1157" spans="15:19">
      <c r="O1157" s="166">
        <v>476.02999999999003</v>
      </c>
      <c r="P1157" s="169" t="e">
        <f t="shared" si="53"/>
        <v>#NAME?</v>
      </c>
      <c r="Q1157" s="177">
        <v>476.02999999999003</v>
      </c>
      <c r="R1157" s="166">
        <v>476.53999999999002</v>
      </c>
      <c r="S1157" s="166">
        <v>8.6122000000006995</v>
      </c>
    </row>
    <row r="1158" spans="15:19">
      <c r="O1158" s="166">
        <v>476.03999999999002</v>
      </c>
      <c r="P1158" s="169" t="e">
        <f t="shared" si="53"/>
        <v>#NAME?</v>
      </c>
      <c r="Q1158" s="177">
        <v>476.03999999999002</v>
      </c>
      <c r="R1158" s="166">
        <v>476.54999999998898</v>
      </c>
      <c r="S1158" s="166">
        <v>8.6115000000007722</v>
      </c>
    </row>
    <row r="1159" spans="15:19">
      <c r="O1159" s="166">
        <v>476.04999999998898</v>
      </c>
      <c r="P1159" s="169" t="e">
        <f t="shared" si="53"/>
        <v>#NAME?</v>
      </c>
      <c r="Q1159" s="177">
        <v>476.04999999998898</v>
      </c>
      <c r="R1159" s="166">
        <v>476.55999999998897</v>
      </c>
      <c r="S1159" s="166">
        <v>8.6108000000007721</v>
      </c>
    </row>
    <row r="1160" spans="15:19">
      <c r="O1160" s="166">
        <v>476.05999999998897</v>
      </c>
      <c r="P1160" s="169" t="e">
        <f t="shared" si="53"/>
        <v>#NAME?</v>
      </c>
      <c r="Q1160" s="177">
        <v>476.05999999998897</v>
      </c>
      <c r="R1160" s="166">
        <v>476.56999999998902</v>
      </c>
      <c r="S1160" s="166">
        <v>8.6101000000007684</v>
      </c>
    </row>
    <row r="1161" spans="15:19">
      <c r="O1161" s="166">
        <v>476.06999999998902</v>
      </c>
      <c r="P1161" s="169" t="e">
        <f t="shared" si="53"/>
        <v>#NAME?</v>
      </c>
      <c r="Q1161" s="177">
        <v>476.06999999998902</v>
      </c>
      <c r="R1161" s="166">
        <v>476.57999999998901</v>
      </c>
      <c r="S1161" s="166">
        <v>8.60940000000077</v>
      </c>
    </row>
    <row r="1162" spans="15:19">
      <c r="O1162" s="166">
        <v>476.07999999998998</v>
      </c>
      <c r="P1162" s="169" t="e">
        <f t="shared" si="53"/>
        <v>#NAME?</v>
      </c>
      <c r="Q1162" s="177">
        <v>476.07999999998998</v>
      </c>
      <c r="R1162" s="166">
        <v>476.58999999999003</v>
      </c>
      <c r="S1162" s="166">
        <v>8.6087000000006988</v>
      </c>
    </row>
    <row r="1163" spans="15:19">
      <c r="O1163" s="166">
        <v>476.08999999999003</v>
      </c>
      <c r="P1163" s="169" t="e">
        <f t="shared" si="53"/>
        <v>#NAME?</v>
      </c>
      <c r="Q1163" s="177">
        <v>476.08999999999003</v>
      </c>
      <c r="R1163" s="166">
        <v>476.59999999999002</v>
      </c>
      <c r="S1163" s="166">
        <v>8.6080000000006986</v>
      </c>
    </row>
    <row r="1164" spans="15:19">
      <c r="O1164" s="166">
        <v>476.099999999989</v>
      </c>
      <c r="P1164" s="169" t="e">
        <f t="shared" si="53"/>
        <v>#NAME?</v>
      </c>
      <c r="Q1164" s="177">
        <v>476.099999999989</v>
      </c>
      <c r="R1164" s="166">
        <v>476.60999999998899</v>
      </c>
      <c r="S1164" s="166">
        <v>8.6073000000007713</v>
      </c>
    </row>
    <row r="1165" spans="15:19">
      <c r="O1165" s="166">
        <v>476.10999999998899</v>
      </c>
      <c r="P1165" s="169" t="e">
        <f t="shared" si="53"/>
        <v>#NAME?</v>
      </c>
      <c r="Q1165" s="177">
        <v>476.10999999998899</v>
      </c>
      <c r="R1165" s="166">
        <v>476.61999999998898</v>
      </c>
      <c r="S1165" s="166">
        <v>8.6066000000007712</v>
      </c>
    </row>
    <row r="1166" spans="15:19">
      <c r="O1166" s="166">
        <v>476.11999999998898</v>
      </c>
      <c r="P1166" s="169" t="e">
        <f t="shared" si="53"/>
        <v>#NAME?</v>
      </c>
      <c r="Q1166" s="177">
        <v>476.11999999998898</v>
      </c>
      <c r="R1166" s="166">
        <v>476.62999999998902</v>
      </c>
      <c r="S1166" s="166">
        <v>8.6059000000007693</v>
      </c>
    </row>
    <row r="1167" spans="15:19">
      <c r="O1167" s="166">
        <v>476.12999999998902</v>
      </c>
      <c r="P1167" s="169" t="e">
        <f t="shared" si="53"/>
        <v>#NAME?</v>
      </c>
      <c r="Q1167" s="177">
        <v>476.12999999998902</v>
      </c>
      <c r="R1167" s="166">
        <v>476.63999999998902</v>
      </c>
      <c r="S1167" s="166">
        <v>8.6052000000007691</v>
      </c>
    </row>
    <row r="1168" spans="15:19">
      <c r="O1168" s="166">
        <v>476.13999999998902</v>
      </c>
      <c r="P1168" s="169" t="e">
        <f t="shared" si="53"/>
        <v>#NAME?</v>
      </c>
      <c r="Q1168" s="177">
        <v>476.13999999998902</v>
      </c>
      <c r="R1168" s="166">
        <v>476.64999999998901</v>
      </c>
      <c r="S1168" s="166">
        <v>8.604500000000769</v>
      </c>
    </row>
    <row r="1169" spans="15:19">
      <c r="O1169" s="166">
        <v>476.14999999998901</v>
      </c>
      <c r="P1169" s="169" t="e">
        <f t="shared" si="53"/>
        <v>#NAME?</v>
      </c>
      <c r="Q1169" s="177">
        <v>476.14999999998901</v>
      </c>
      <c r="R1169" s="166">
        <v>476.659999999989</v>
      </c>
      <c r="S1169" s="166">
        <v>8.6038000000007706</v>
      </c>
    </row>
    <row r="1170" spans="15:19">
      <c r="O1170" s="166">
        <v>476.159999999989</v>
      </c>
      <c r="P1170" s="169" t="e">
        <f t="shared" si="53"/>
        <v>#NAME?</v>
      </c>
      <c r="Q1170" s="177">
        <v>476.159999999989</v>
      </c>
      <c r="R1170" s="166">
        <v>476.66999999998899</v>
      </c>
      <c r="S1170" s="166">
        <v>8.6031000000007705</v>
      </c>
    </row>
    <row r="1171" spans="15:19">
      <c r="O1171" s="166">
        <v>476.16999999998899</v>
      </c>
      <c r="P1171" s="169" t="e">
        <f t="shared" si="53"/>
        <v>#NAME?</v>
      </c>
      <c r="Q1171" s="177">
        <v>476.16999999998899</v>
      </c>
      <c r="R1171" s="166">
        <v>476.67999999998898</v>
      </c>
      <c r="S1171" s="166">
        <v>8.6024000000007721</v>
      </c>
    </row>
    <row r="1172" spans="15:19">
      <c r="O1172" s="166">
        <v>476.17999999998898</v>
      </c>
      <c r="P1172" s="169" t="e">
        <f t="shared" si="53"/>
        <v>#NAME?</v>
      </c>
      <c r="Q1172" s="177">
        <v>476.17999999998898</v>
      </c>
      <c r="R1172" s="166">
        <v>476.68999999998903</v>
      </c>
      <c r="S1172" s="166">
        <v>8.6017000000007684</v>
      </c>
    </row>
    <row r="1173" spans="15:19">
      <c r="O1173" s="166">
        <v>476.18999999998903</v>
      </c>
      <c r="P1173" s="169" t="e">
        <f t="shared" si="53"/>
        <v>#NAME?</v>
      </c>
      <c r="Q1173" s="177">
        <v>476.18999999998903</v>
      </c>
      <c r="R1173" s="166">
        <v>476.69999999998902</v>
      </c>
      <c r="S1173" s="166">
        <v>8.6010000000007683</v>
      </c>
    </row>
    <row r="1174" spans="15:19">
      <c r="O1174" s="166">
        <v>476.19999999998902</v>
      </c>
      <c r="P1174" s="169" t="e">
        <f t="shared" si="53"/>
        <v>#NAME?</v>
      </c>
      <c r="Q1174" s="177">
        <v>476.19999999998902</v>
      </c>
      <c r="R1174" s="166">
        <v>476.70999999998901</v>
      </c>
      <c r="S1174" s="166">
        <v>8.6003000000007699</v>
      </c>
    </row>
    <row r="1175" spans="15:19">
      <c r="O1175" s="166">
        <v>476.20999999998901</v>
      </c>
      <c r="P1175" s="169" t="e">
        <f t="shared" si="53"/>
        <v>#NAME?</v>
      </c>
      <c r="Q1175" s="177">
        <v>476.20999999998901</v>
      </c>
      <c r="R1175" s="166">
        <v>476.719999999989</v>
      </c>
      <c r="S1175" s="166">
        <v>8.5996000000007697</v>
      </c>
    </row>
    <row r="1176" spans="15:19">
      <c r="O1176" s="166">
        <v>476.219999999989</v>
      </c>
      <c r="P1176" s="169" t="e">
        <f t="shared" si="53"/>
        <v>#NAME?</v>
      </c>
      <c r="Q1176" s="177">
        <v>476.219999999989</v>
      </c>
      <c r="R1176" s="166">
        <v>476.72999999998899</v>
      </c>
      <c r="S1176" s="166">
        <v>8.5989000000007714</v>
      </c>
    </row>
    <row r="1177" spans="15:19">
      <c r="O1177" s="166">
        <v>476.22999999998899</v>
      </c>
      <c r="P1177" s="169" t="e">
        <f t="shared" si="53"/>
        <v>#NAME?</v>
      </c>
      <c r="Q1177" s="177">
        <v>476.22999999998899</v>
      </c>
      <c r="R1177" s="166">
        <v>476.73999999998898</v>
      </c>
      <c r="S1177" s="166">
        <v>8.5982000000007712</v>
      </c>
    </row>
    <row r="1178" spans="15:19">
      <c r="O1178" s="166">
        <v>476.23999999998898</v>
      </c>
      <c r="P1178" s="169" t="e">
        <f t="shared" si="53"/>
        <v>#NAME?</v>
      </c>
      <c r="Q1178" s="177">
        <v>476.23999999998898</v>
      </c>
      <c r="R1178" s="166">
        <v>476.74999999998897</v>
      </c>
      <c r="S1178" s="166">
        <v>8.5975000000007729</v>
      </c>
    </row>
    <row r="1179" spans="15:19">
      <c r="O1179" s="166">
        <v>476.24999999998897</v>
      </c>
      <c r="P1179" s="169" t="e">
        <f t="shared" si="53"/>
        <v>#NAME?</v>
      </c>
      <c r="Q1179" s="177">
        <v>476.24999999998897</v>
      </c>
      <c r="R1179" s="166">
        <v>476.75999999998902</v>
      </c>
      <c r="S1179" s="166">
        <v>8.5968000000007692</v>
      </c>
    </row>
    <row r="1180" spans="15:19">
      <c r="O1180" s="166">
        <v>476.25999999998902</v>
      </c>
      <c r="P1180" s="169" t="e">
        <f t="shared" si="53"/>
        <v>#NAME?</v>
      </c>
      <c r="Q1180" s="177">
        <v>476.25999999998902</v>
      </c>
      <c r="R1180" s="166">
        <v>476.76999999998901</v>
      </c>
      <c r="S1180" s="166">
        <v>8.596100000000769</v>
      </c>
    </row>
    <row r="1181" spans="15:19">
      <c r="O1181" s="166">
        <v>476.26999999998901</v>
      </c>
      <c r="P1181" s="169" t="e">
        <f t="shared" si="53"/>
        <v>#NAME?</v>
      </c>
      <c r="Q1181" s="177">
        <v>476.26999999998901</v>
      </c>
      <c r="R1181" s="166">
        <v>476.779999999989</v>
      </c>
      <c r="S1181" s="166">
        <v>8.5954000000007706</v>
      </c>
    </row>
    <row r="1182" spans="15:19">
      <c r="O1182" s="166">
        <v>476.279999999989</v>
      </c>
      <c r="P1182" s="169" t="e">
        <f t="shared" si="53"/>
        <v>#NAME?</v>
      </c>
      <c r="Q1182" s="177">
        <v>476.279999999989</v>
      </c>
      <c r="R1182" s="166">
        <v>476.78999999998899</v>
      </c>
      <c r="S1182" s="166">
        <v>8.5947000000007705</v>
      </c>
    </row>
    <row r="1183" spans="15:19">
      <c r="O1183" s="166">
        <v>476.28999999998899</v>
      </c>
      <c r="P1183" s="169" t="e">
        <f t="shared" si="53"/>
        <v>#NAME?</v>
      </c>
      <c r="Q1183" s="177">
        <v>476.28999999998899</v>
      </c>
      <c r="R1183" s="166">
        <v>476.79999999998898</v>
      </c>
      <c r="S1183" s="166">
        <v>8.5940000000007721</v>
      </c>
    </row>
    <row r="1184" spans="15:19">
      <c r="O1184" s="166">
        <v>476.29999999998898</v>
      </c>
      <c r="P1184" s="169" t="e">
        <f t="shared" si="53"/>
        <v>#NAME?</v>
      </c>
      <c r="Q1184" s="177">
        <v>476.29999999998898</v>
      </c>
      <c r="R1184" s="166">
        <v>476.80999999998897</v>
      </c>
      <c r="S1184" s="166">
        <v>8.593300000000772</v>
      </c>
    </row>
    <row r="1185" spans="15:19">
      <c r="O1185" s="166">
        <v>476.30999999998897</v>
      </c>
      <c r="P1185" s="169" t="e">
        <f t="shared" si="53"/>
        <v>#NAME?</v>
      </c>
      <c r="Q1185" s="177">
        <v>476.30999999998897</v>
      </c>
      <c r="R1185" s="166">
        <v>476.81999999998902</v>
      </c>
      <c r="S1185" s="166">
        <v>8.5926000000007683</v>
      </c>
    </row>
    <row r="1186" spans="15:19">
      <c r="O1186" s="166">
        <v>476.31999999998902</v>
      </c>
      <c r="P1186" s="169" t="e">
        <f t="shared" si="53"/>
        <v>#NAME?</v>
      </c>
      <c r="Q1186" s="177">
        <v>476.31999999998902</v>
      </c>
      <c r="R1186" s="166">
        <v>476.82999999998901</v>
      </c>
      <c r="S1186" s="166">
        <v>8.5919000000007699</v>
      </c>
    </row>
    <row r="1187" spans="15:19">
      <c r="O1187" s="166">
        <v>476.32999999998901</v>
      </c>
      <c r="P1187" s="169" t="e">
        <f t="shared" si="53"/>
        <v>#NAME?</v>
      </c>
      <c r="Q1187" s="177">
        <v>476.32999999998901</v>
      </c>
      <c r="R1187" s="166">
        <v>476.839999999989</v>
      </c>
      <c r="S1187" s="166">
        <v>8.5912000000007698</v>
      </c>
    </row>
    <row r="1188" spans="15:19">
      <c r="O1188" s="166">
        <v>476.339999999989</v>
      </c>
      <c r="P1188" s="169" t="e">
        <f t="shared" si="53"/>
        <v>#NAME?</v>
      </c>
      <c r="Q1188" s="177">
        <v>476.339999999989</v>
      </c>
      <c r="R1188" s="166">
        <v>476.849999999989</v>
      </c>
      <c r="S1188" s="166">
        <v>8.5905000000007696</v>
      </c>
    </row>
    <row r="1189" spans="15:19">
      <c r="O1189" s="166">
        <v>476.349999999989</v>
      </c>
      <c r="P1189" s="169" t="e">
        <f t="shared" si="53"/>
        <v>#NAME?</v>
      </c>
      <c r="Q1189" s="177">
        <v>476.349999999989</v>
      </c>
      <c r="R1189" s="166">
        <v>476.85999999998899</v>
      </c>
      <c r="S1189" s="166">
        <v>8.5898000000007713</v>
      </c>
    </row>
    <row r="1190" spans="15:19">
      <c r="O1190" s="166">
        <v>476.35999999998899</v>
      </c>
      <c r="P1190" s="169" t="e">
        <f t="shared" si="53"/>
        <v>#NAME?</v>
      </c>
      <c r="Q1190" s="177">
        <v>476.35999999998899</v>
      </c>
      <c r="R1190" s="166">
        <v>476.86999999998898</v>
      </c>
      <c r="S1190" s="166">
        <v>8.5891000000007711</v>
      </c>
    </row>
    <row r="1191" spans="15:19">
      <c r="O1191" s="166">
        <v>476.36999999998898</v>
      </c>
      <c r="P1191" s="169" t="e">
        <f t="shared" si="53"/>
        <v>#NAME?</v>
      </c>
      <c r="Q1191" s="177">
        <v>476.36999999998898</v>
      </c>
      <c r="R1191" s="166">
        <v>476.87999999998902</v>
      </c>
      <c r="S1191" s="166">
        <v>8.5884000000007692</v>
      </c>
    </row>
    <row r="1192" spans="15:19">
      <c r="O1192" s="166">
        <v>476.37999999998902</v>
      </c>
      <c r="P1192" s="169" t="e">
        <f t="shared" si="53"/>
        <v>#NAME?</v>
      </c>
      <c r="Q1192" s="177">
        <v>476.37999999998902</v>
      </c>
      <c r="R1192" s="166">
        <v>476.88999999998902</v>
      </c>
      <c r="S1192" s="166">
        <v>8.5877000000007691</v>
      </c>
    </row>
    <row r="1193" spans="15:19">
      <c r="O1193" s="166">
        <v>476.38999999998902</v>
      </c>
      <c r="P1193" s="169" t="e">
        <f t="shared" si="53"/>
        <v>#NAME?</v>
      </c>
      <c r="Q1193" s="177">
        <v>476.38999999998902</v>
      </c>
      <c r="R1193" s="166">
        <v>476.89999999998901</v>
      </c>
      <c r="S1193" s="166">
        <v>8.5870000000007689</v>
      </c>
    </row>
    <row r="1194" spans="15:19">
      <c r="O1194" s="166">
        <v>476.39999999998901</v>
      </c>
      <c r="P1194" s="169" t="e">
        <f t="shared" si="53"/>
        <v>#NAME?</v>
      </c>
      <c r="Q1194" s="177">
        <v>476.39999999998901</v>
      </c>
      <c r="R1194" s="166">
        <v>476.909999999989</v>
      </c>
      <c r="S1194" s="166">
        <v>8.5863000000007705</v>
      </c>
    </row>
    <row r="1195" spans="15:19">
      <c r="O1195" s="166">
        <v>476.409999999989</v>
      </c>
      <c r="P1195" s="169" t="e">
        <f t="shared" si="53"/>
        <v>#NAME?</v>
      </c>
      <c r="Q1195" s="177">
        <v>476.409999999989</v>
      </c>
      <c r="R1195" s="166">
        <v>476.91999999998899</v>
      </c>
      <c r="S1195" s="166">
        <v>8.5856000000007704</v>
      </c>
    </row>
    <row r="1196" spans="15:19">
      <c r="O1196" s="166">
        <v>476.41999999998899</v>
      </c>
      <c r="P1196" s="169" t="e">
        <f t="shared" si="53"/>
        <v>#NAME?</v>
      </c>
      <c r="Q1196" s="177">
        <v>476.41999999998899</v>
      </c>
      <c r="R1196" s="166">
        <v>476.92999999998898</v>
      </c>
      <c r="S1196" s="166">
        <v>8.584900000000772</v>
      </c>
    </row>
    <row r="1197" spans="15:19">
      <c r="O1197" s="166">
        <v>476.42999999998898</v>
      </c>
      <c r="P1197" s="169" t="e">
        <f t="shared" si="53"/>
        <v>#NAME?</v>
      </c>
      <c r="Q1197" s="177">
        <v>476.42999999998898</v>
      </c>
      <c r="R1197" s="166">
        <v>476.93999999998903</v>
      </c>
      <c r="S1197" s="166">
        <v>8.5842000000007683</v>
      </c>
    </row>
    <row r="1198" spans="15:19">
      <c r="O1198" s="166">
        <v>476.43999999998903</v>
      </c>
      <c r="P1198" s="169" t="e">
        <f t="shared" si="53"/>
        <v>#NAME?</v>
      </c>
      <c r="Q1198" s="177">
        <v>476.43999999998903</v>
      </c>
      <c r="R1198" s="166">
        <v>476.94999999998902</v>
      </c>
      <c r="S1198" s="166">
        <v>8.5835000000007682</v>
      </c>
    </row>
    <row r="1199" spans="15:19">
      <c r="O1199" s="166">
        <v>476.44999999998902</v>
      </c>
      <c r="P1199" s="169" t="e">
        <f t="shared" si="53"/>
        <v>#NAME?</v>
      </c>
      <c r="Q1199" s="177">
        <v>476.44999999998902</v>
      </c>
      <c r="R1199" s="166">
        <v>476.95999999998901</v>
      </c>
      <c r="S1199" s="166">
        <v>8.5828000000007698</v>
      </c>
    </row>
    <row r="1200" spans="15:19">
      <c r="O1200" s="166">
        <v>476.45999999998901</v>
      </c>
      <c r="P1200" s="169" t="e">
        <f t="shared" si="53"/>
        <v>#NAME?</v>
      </c>
      <c r="Q1200" s="177">
        <v>476.45999999998901</v>
      </c>
      <c r="R1200" s="166">
        <v>476.969999999989</v>
      </c>
      <c r="S1200" s="166">
        <v>8.5821000000007697</v>
      </c>
    </row>
    <row r="1201" spans="15:19">
      <c r="O1201" s="166">
        <v>476.469999999989</v>
      </c>
      <c r="P1201" s="169" t="e">
        <f t="shared" si="53"/>
        <v>#NAME?</v>
      </c>
      <c r="Q1201" s="177">
        <v>476.469999999989</v>
      </c>
      <c r="R1201" s="166">
        <v>476.97999999998899</v>
      </c>
      <c r="S1201" s="166">
        <v>8.5814000000007713</v>
      </c>
    </row>
    <row r="1202" spans="15:19">
      <c r="O1202" s="166">
        <v>476.47999999998899</v>
      </c>
      <c r="P1202" s="169" t="e">
        <f t="shared" si="53"/>
        <v>#NAME?</v>
      </c>
      <c r="Q1202" s="177">
        <v>476.47999999998899</v>
      </c>
      <c r="R1202" s="166">
        <v>476.98999999998898</v>
      </c>
      <c r="S1202" s="166">
        <v>8.5807000000007712</v>
      </c>
    </row>
    <row r="1203" spans="15:19">
      <c r="O1203" s="166">
        <v>476.48999999998898</v>
      </c>
      <c r="P1203" s="169" t="e">
        <f t="shared" si="53"/>
        <v>#NAME?</v>
      </c>
      <c r="Q1203" s="177">
        <v>476.48999999998898</v>
      </c>
      <c r="R1203" s="166">
        <v>476.99999999998897</v>
      </c>
      <c r="S1203" s="166">
        <v>8.5800000000007728</v>
      </c>
    </row>
    <row r="1204" spans="15:19">
      <c r="O1204" s="166">
        <v>476.49999999998897</v>
      </c>
      <c r="P1204" s="169" t="e">
        <f t="shared" si="53"/>
        <v>#NAME?</v>
      </c>
      <c r="Q1204" s="177">
        <v>476.49999999998897</v>
      </c>
      <c r="R1204" s="166">
        <v>477.00999999998902</v>
      </c>
      <c r="S1204" s="166">
        <v>8.5787000000014277</v>
      </c>
    </row>
    <row r="1205" spans="15:19">
      <c r="O1205" s="166">
        <v>476.50999999998902</v>
      </c>
      <c r="P1205" s="169" t="e">
        <f t="shared" si="53"/>
        <v>#NAME?</v>
      </c>
      <c r="Q1205" s="177">
        <v>476.50999999998902</v>
      </c>
      <c r="R1205" s="166">
        <v>477.01999999998901</v>
      </c>
      <c r="S1205" s="166">
        <v>8.577400000001429</v>
      </c>
    </row>
    <row r="1206" spans="15:19">
      <c r="O1206" s="166">
        <v>476.51999999998901</v>
      </c>
      <c r="P1206" s="169" t="e">
        <f t="shared" si="53"/>
        <v>#NAME?</v>
      </c>
      <c r="Q1206" s="177">
        <v>476.51999999998901</v>
      </c>
      <c r="R1206" s="166">
        <v>477.029999999989</v>
      </c>
      <c r="S1206" s="166">
        <v>8.5761000000014302</v>
      </c>
    </row>
    <row r="1207" spans="15:19">
      <c r="O1207" s="166">
        <v>476.529999999989</v>
      </c>
      <c r="P1207" s="169" t="e">
        <f t="shared" si="53"/>
        <v>#NAME?</v>
      </c>
      <c r="Q1207" s="177">
        <v>476.529999999989</v>
      </c>
      <c r="R1207" s="166">
        <v>477.03999999998899</v>
      </c>
      <c r="S1207" s="166">
        <v>8.5748000000014315</v>
      </c>
    </row>
    <row r="1208" spans="15:19">
      <c r="O1208" s="166">
        <v>476.53999999998899</v>
      </c>
      <c r="P1208" s="169" t="e">
        <f t="shared" si="53"/>
        <v>#NAME?</v>
      </c>
      <c r="Q1208" s="177">
        <v>476.53999999998899</v>
      </c>
      <c r="R1208" s="166">
        <v>477.04999999998898</v>
      </c>
      <c r="S1208" s="166">
        <v>8.5735000000014328</v>
      </c>
    </row>
    <row r="1209" spans="15:19">
      <c r="O1209" s="166">
        <v>476.54999999998898</v>
      </c>
      <c r="P1209" s="169" t="e">
        <f t="shared" si="53"/>
        <v>#NAME?</v>
      </c>
      <c r="Q1209" s="177">
        <v>476.54999999998898</v>
      </c>
      <c r="R1209" s="166">
        <v>477.05999999998897</v>
      </c>
      <c r="S1209" s="166">
        <v>8.572200000001434</v>
      </c>
    </row>
    <row r="1210" spans="15:19">
      <c r="O1210" s="166">
        <v>476.55999999998897</v>
      </c>
      <c r="P1210" s="169" t="e">
        <f t="shared" si="53"/>
        <v>#NAME?</v>
      </c>
      <c r="Q1210" s="177">
        <v>476.55999999998897</v>
      </c>
      <c r="R1210" s="166">
        <v>477.06999999998902</v>
      </c>
      <c r="S1210" s="166">
        <v>8.5709000000014264</v>
      </c>
    </row>
    <row r="1211" spans="15:19">
      <c r="O1211" s="166">
        <v>476.56999999998902</v>
      </c>
      <c r="P1211" s="169" t="e">
        <f t="shared" si="53"/>
        <v>#NAME?</v>
      </c>
      <c r="Q1211" s="177">
        <v>476.56999999998902</v>
      </c>
      <c r="R1211" s="166">
        <v>477.07999999998901</v>
      </c>
      <c r="S1211" s="166">
        <v>8.5696000000014276</v>
      </c>
    </row>
    <row r="1212" spans="15:19">
      <c r="O1212" s="166">
        <v>476.57999999998901</v>
      </c>
      <c r="P1212" s="169" t="e">
        <f t="shared" si="53"/>
        <v>#NAME?</v>
      </c>
      <c r="Q1212" s="177">
        <v>476.57999999998901</v>
      </c>
      <c r="R1212" s="166">
        <v>477.089999999989</v>
      </c>
      <c r="S1212" s="166">
        <v>8.5683000000014289</v>
      </c>
    </row>
    <row r="1213" spans="15:19">
      <c r="O1213" s="166">
        <v>476.589999999989</v>
      </c>
      <c r="P1213" s="169" t="e">
        <f t="shared" si="53"/>
        <v>#NAME?</v>
      </c>
      <c r="Q1213" s="177">
        <v>476.589999999989</v>
      </c>
      <c r="R1213" s="166">
        <v>477.099999999989</v>
      </c>
      <c r="S1213" s="166">
        <v>8.5670000000014301</v>
      </c>
    </row>
    <row r="1214" spans="15:19">
      <c r="O1214" s="166">
        <v>476.599999999989</v>
      </c>
      <c r="P1214" s="169" t="e">
        <f t="shared" si="53"/>
        <v>#NAME?</v>
      </c>
      <c r="Q1214" s="177">
        <v>476.599999999989</v>
      </c>
      <c r="R1214" s="166">
        <v>477.10999999998899</v>
      </c>
      <c r="S1214" s="166">
        <v>8.5657000000014314</v>
      </c>
    </row>
    <row r="1215" spans="15:19">
      <c r="O1215" s="166">
        <v>476.60999999998899</v>
      </c>
      <c r="P1215" s="169" t="e">
        <f t="shared" si="53"/>
        <v>#NAME?</v>
      </c>
      <c r="Q1215" s="177">
        <v>476.60999999998899</v>
      </c>
      <c r="R1215" s="166">
        <v>477.11999999998898</v>
      </c>
      <c r="S1215" s="166">
        <v>8.5644000000014326</v>
      </c>
    </row>
    <row r="1216" spans="15:19">
      <c r="O1216" s="166">
        <v>476.61999999998898</v>
      </c>
      <c r="P1216" s="169" t="e">
        <f t="shared" si="53"/>
        <v>#NAME?</v>
      </c>
      <c r="Q1216" s="177">
        <v>476.61999999998898</v>
      </c>
      <c r="R1216" s="166">
        <v>477.12999999998902</v>
      </c>
      <c r="S1216" s="166">
        <v>8.5631000000014268</v>
      </c>
    </row>
    <row r="1217" spans="15:19">
      <c r="O1217" s="166">
        <v>476.62999999998902</v>
      </c>
      <c r="P1217" s="169" t="e">
        <f t="shared" si="53"/>
        <v>#NAME?</v>
      </c>
      <c r="Q1217" s="177">
        <v>476.62999999998902</v>
      </c>
      <c r="R1217" s="166">
        <v>477.13999999998902</v>
      </c>
      <c r="S1217" s="166">
        <v>8.561800000001428</v>
      </c>
    </row>
    <row r="1218" spans="15:19">
      <c r="O1218" s="166">
        <v>476.63999999998902</v>
      </c>
      <c r="P1218" s="169" t="e">
        <f t="shared" si="53"/>
        <v>#NAME?</v>
      </c>
      <c r="Q1218" s="177">
        <v>476.63999999998902</v>
      </c>
      <c r="R1218" s="166">
        <v>477.14999999998901</v>
      </c>
      <c r="S1218" s="166">
        <v>8.5605000000014293</v>
      </c>
    </row>
    <row r="1219" spans="15:19">
      <c r="O1219" s="166">
        <v>476.64999999998901</v>
      </c>
      <c r="P1219" s="169" t="e">
        <f t="shared" si="53"/>
        <v>#NAME?</v>
      </c>
      <c r="Q1219" s="177">
        <v>476.64999999998901</v>
      </c>
      <c r="R1219" s="166">
        <v>477.159999999989</v>
      </c>
      <c r="S1219" s="166">
        <v>8.5592000000014306</v>
      </c>
    </row>
    <row r="1220" spans="15:19">
      <c r="O1220" s="166">
        <v>476.659999999989</v>
      </c>
      <c r="P1220" s="169" t="e">
        <f t="shared" ref="P1220:P1283" si="54">VLOOKUP(O1220,THONGSOHO_BTS,2,1)+(VLOOKUP(O1220+5,THONGSOHO_BTS,2,1)-VLOOKUP(O1220,THONGSOHO_BTS,2,1))/5*(O1220-VLOOKUP(O1220,THONGSOHO_BTS,1,1))-264.29</f>
        <v>#NAME?</v>
      </c>
      <c r="Q1220" s="177">
        <v>476.659999999989</v>
      </c>
      <c r="R1220" s="166">
        <v>477.16999999998899</v>
      </c>
      <c r="S1220" s="166">
        <v>8.5579000000014318</v>
      </c>
    </row>
    <row r="1221" spans="15:19">
      <c r="O1221" s="166">
        <v>476.66999999998899</v>
      </c>
      <c r="P1221" s="169" t="e">
        <f t="shared" si="54"/>
        <v>#NAME?</v>
      </c>
      <c r="Q1221" s="177">
        <v>476.66999999998899</v>
      </c>
      <c r="R1221" s="166">
        <v>477.17999999998898</v>
      </c>
      <c r="S1221" s="166">
        <v>8.5566000000014331</v>
      </c>
    </row>
    <row r="1222" spans="15:19">
      <c r="O1222" s="166">
        <v>476.67999999998898</v>
      </c>
      <c r="P1222" s="169" t="e">
        <f t="shared" si="54"/>
        <v>#NAME?</v>
      </c>
      <c r="Q1222" s="177">
        <v>476.67999999998898</v>
      </c>
      <c r="R1222" s="166">
        <v>477.18999999998903</v>
      </c>
      <c r="S1222" s="166">
        <v>8.5553000000014272</v>
      </c>
    </row>
    <row r="1223" spans="15:19">
      <c r="O1223" s="166">
        <v>476.68999999998903</v>
      </c>
      <c r="P1223" s="169" t="e">
        <f t="shared" si="54"/>
        <v>#NAME?</v>
      </c>
      <c r="Q1223" s="177">
        <v>476.68999999998903</v>
      </c>
      <c r="R1223" s="166">
        <v>477.19999999998902</v>
      </c>
      <c r="S1223" s="166">
        <v>8.5540000000014285</v>
      </c>
    </row>
    <row r="1224" spans="15:19">
      <c r="O1224" s="166">
        <v>476.69999999998902</v>
      </c>
      <c r="P1224" s="169" t="e">
        <f t="shared" si="54"/>
        <v>#NAME?</v>
      </c>
      <c r="Q1224" s="177">
        <v>476.69999999998902</v>
      </c>
      <c r="R1224" s="166">
        <v>477.20999999998901</v>
      </c>
      <c r="S1224" s="166">
        <v>8.5527000000014279</v>
      </c>
    </row>
    <row r="1225" spans="15:19">
      <c r="O1225" s="166">
        <v>476.70999999998901</v>
      </c>
      <c r="P1225" s="169" t="e">
        <f t="shared" si="54"/>
        <v>#NAME?</v>
      </c>
      <c r="Q1225" s="177">
        <v>476.70999999998901</v>
      </c>
      <c r="R1225" s="166">
        <v>477.219999999989</v>
      </c>
      <c r="S1225" s="166">
        <v>8.5514000000014292</v>
      </c>
    </row>
    <row r="1226" spans="15:19">
      <c r="O1226" s="166">
        <v>476.719999999989</v>
      </c>
      <c r="P1226" s="169" t="e">
        <f t="shared" si="54"/>
        <v>#NAME?</v>
      </c>
      <c r="Q1226" s="177">
        <v>476.719999999989</v>
      </c>
      <c r="R1226" s="166">
        <v>477.22999999998899</v>
      </c>
      <c r="S1226" s="166">
        <v>8.5501000000014304</v>
      </c>
    </row>
    <row r="1227" spans="15:19">
      <c r="O1227" s="166">
        <v>476.72999999998899</v>
      </c>
      <c r="P1227" s="169" t="e">
        <f t="shared" si="54"/>
        <v>#NAME?</v>
      </c>
      <c r="Q1227" s="177">
        <v>476.72999999998899</v>
      </c>
      <c r="R1227" s="166">
        <v>477.23999999998898</v>
      </c>
      <c r="S1227" s="166">
        <v>8.5488000000014317</v>
      </c>
    </row>
    <row r="1228" spans="15:19">
      <c r="O1228" s="166">
        <v>476.73999999998898</v>
      </c>
      <c r="P1228" s="169" t="e">
        <f t="shared" si="54"/>
        <v>#NAME?</v>
      </c>
      <c r="Q1228" s="177">
        <v>476.73999999998898</v>
      </c>
      <c r="R1228" s="166">
        <v>477.24999999998897</v>
      </c>
      <c r="S1228" s="166">
        <v>8.547500000001433</v>
      </c>
    </row>
    <row r="1229" spans="15:19">
      <c r="O1229" s="166">
        <v>476.74999999998897</v>
      </c>
      <c r="P1229" s="169" t="e">
        <f t="shared" si="54"/>
        <v>#NAME?</v>
      </c>
      <c r="Q1229" s="177">
        <v>476.74999999998897</v>
      </c>
      <c r="R1229" s="166">
        <v>477.25999999998902</v>
      </c>
      <c r="S1229" s="166">
        <v>8.5462000000014271</v>
      </c>
    </row>
    <row r="1230" spans="15:19">
      <c r="O1230" s="166">
        <v>476.75999999998902</v>
      </c>
      <c r="P1230" s="169" t="e">
        <f t="shared" si="54"/>
        <v>#NAME?</v>
      </c>
      <c r="Q1230" s="177">
        <v>476.75999999998902</v>
      </c>
      <c r="R1230" s="166">
        <v>477.26999999998901</v>
      </c>
      <c r="S1230" s="166">
        <v>8.5449000000014284</v>
      </c>
    </row>
    <row r="1231" spans="15:19">
      <c r="O1231" s="166">
        <v>476.76999999998901</v>
      </c>
      <c r="P1231" s="169" t="e">
        <f t="shared" si="54"/>
        <v>#NAME?</v>
      </c>
      <c r="Q1231" s="177">
        <v>476.76999999998901</v>
      </c>
      <c r="R1231" s="166">
        <v>477.279999999989</v>
      </c>
      <c r="S1231" s="166">
        <v>8.5436000000014296</v>
      </c>
    </row>
    <row r="1232" spans="15:19">
      <c r="O1232" s="166">
        <v>476.779999999989</v>
      </c>
      <c r="P1232" s="169" t="e">
        <f t="shared" si="54"/>
        <v>#NAME?</v>
      </c>
      <c r="Q1232" s="177">
        <v>476.779999999989</v>
      </c>
      <c r="R1232" s="166">
        <v>477.28999999998899</v>
      </c>
      <c r="S1232" s="166">
        <v>8.5423000000014309</v>
      </c>
    </row>
    <row r="1233" spans="15:19">
      <c r="O1233" s="166">
        <v>476.78999999998899</v>
      </c>
      <c r="P1233" s="169" t="e">
        <f t="shared" si="54"/>
        <v>#NAME?</v>
      </c>
      <c r="Q1233" s="177">
        <v>476.78999999998899</v>
      </c>
      <c r="R1233" s="166">
        <v>477.29999999998898</v>
      </c>
      <c r="S1233" s="166">
        <v>8.5410000000014321</v>
      </c>
    </row>
    <row r="1234" spans="15:19">
      <c r="O1234" s="166">
        <v>476.79999999998898</v>
      </c>
      <c r="P1234" s="169" t="e">
        <f t="shared" si="54"/>
        <v>#NAME?</v>
      </c>
      <c r="Q1234" s="177">
        <v>476.79999999998898</v>
      </c>
      <c r="R1234" s="166">
        <v>477.30999999998897</v>
      </c>
      <c r="S1234" s="166">
        <v>8.5397000000014334</v>
      </c>
    </row>
    <row r="1235" spans="15:19">
      <c r="O1235" s="166">
        <v>476.80999999998897</v>
      </c>
      <c r="P1235" s="169" t="e">
        <f t="shared" si="54"/>
        <v>#NAME?</v>
      </c>
      <c r="Q1235" s="177">
        <v>476.80999999998897</v>
      </c>
      <c r="R1235" s="166">
        <v>477.31999999998902</v>
      </c>
      <c r="S1235" s="166">
        <v>8.5384000000014275</v>
      </c>
    </row>
    <row r="1236" spans="15:19">
      <c r="O1236" s="166">
        <v>476.81999999998902</v>
      </c>
      <c r="P1236" s="169" t="e">
        <f t="shared" si="54"/>
        <v>#NAME?</v>
      </c>
      <c r="Q1236" s="177">
        <v>476.81999999998902</v>
      </c>
      <c r="R1236" s="166">
        <v>477.32999999998901</v>
      </c>
      <c r="S1236" s="166">
        <v>8.5371000000014288</v>
      </c>
    </row>
    <row r="1237" spans="15:19">
      <c r="O1237" s="166">
        <v>476.82999999998901</v>
      </c>
      <c r="P1237" s="169" t="e">
        <f t="shared" si="54"/>
        <v>#NAME?</v>
      </c>
      <c r="Q1237" s="177">
        <v>476.82999999998901</v>
      </c>
      <c r="R1237" s="166">
        <v>477.339999999989</v>
      </c>
      <c r="S1237" s="166">
        <v>8.53580000000143</v>
      </c>
    </row>
    <row r="1238" spans="15:19">
      <c r="O1238" s="166">
        <v>476.839999999989</v>
      </c>
      <c r="P1238" s="169" t="e">
        <f t="shared" si="54"/>
        <v>#NAME?</v>
      </c>
      <c r="Q1238" s="177">
        <v>476.839999999989</v>
      </c>
      <c r="R1238" s="166">
        <v>477.349999999989</v>
      </c>
      <c r="S1238" s="166">
        <v>8.5345000000014313</v>
      </c>
    </row>
    <row r="1239" spans="15:19">
      <c r="O1239" s="166">
        <v>476.849999999989</v>
      </c>
      <c r="P1239" s="169" t="e">
        <f t="shared" si="54"/>
        <v>#NAME?</v>
      </c>
      <c r="Q1239" s="177">
        <v>476.849999999989</v>
      </c>
      <c r="R1239" s="166">
        <v>477.35999999998899</v>
      </c>
      <c r="S1239" s="166">
        <v>8.5332000000014308</v>
      </c>
    </row>
    <row r="1240" spans="15:19">
      <c r="O1240" s="166">
        <v>476.85999999998899</v>
      </c>
      <c r="P1240" s="169" t="e">
        <f t="shared" si="54"/>
        <v>#NAME?</v>
      </c>
      <c r="Q1240" s="177">
        <v>476.85999999998899</v>
      </c>
      <c r="R1240" s="166">
        <v>477.36999999998898</v>
      </c>
      <c r="S1240" s="166">
        <v>8.531900000001432</v>
      </c>
    </row>
    <row r="1241" spans="15:19">
      <c r="O1241" s="166">
        <v>476.86999999998898</v>
      </c>
      <c r="P1241" s="169" t="e">
        <f t="shared" si="54"/>
        <v>#NAME?</v>
      </c>
      <c r="Q1241" s="177">
        <v>476.86999999998898</v>
      </c>
      <c r="R1241" s="166">
        <v>477.37999999998902</v>
      </c>
      <c r="S1241" s="166">
        <v>8.5306000000014262</v>
      </c>
    </row>
    <row r="1242" spans="15:19">
      <c r="O1242" s="166">
        <v>476.87999999998902</v>
      </c>
      <c r="P1242" s="169" t="e">
        <f t="shared" si="54"/>
        <v>#NAME?</v>
      </c>
      <c r="Q1242" s="177">
        <v>476.87999999998902</v>
      </c>
      <c r="R1242" s="166">
        <v>477.38999999998902</v>
      </c>
      <c r="S1242" s="166">
        <v>8.5293000000014274</v>
      </c>
    </row>
    <row r="1243" spans="15:19">
      <c r="O1243" s="166">
        <v>476.88999999998902</v>
      </c>
      <c r="P1243" s="169" t="e">
        <f t="shared" si="54"/>
        <v>#NAME?</v>
      </c>
      <c r="Q1243" s="177">
        <v>476.88999999998902</v>
      </c>
      <c r="R1243" s="166">
        <v>477.39999999998901</v>
      </c>
      <c r="S1243" s="166">
        <v>8.5280000000014287</v>
      </c>
    </row>
    <row r="1244" spans="15:19">
      <c r="O1244" s="166">
        <v>476.89999999998901</v>
      </c>
      <c r="P1244" s="169" t="e">
        <f t="shared" si="54"/>
        <v>#NAME?</v>
      </c>
      <c r="Q1244" s="177">
        <v>476.89999999998901</v>
      </c>
      <c r="R1244" s="166">
        <v>477.409999999989</v>
      </c>
      <c r="S1244" s="166">
        <v>8.5267000000014299</v>
      </c>
    </row>
    <row r="1245" spans="15:19">
      <c r="O1245" s="166">
        <v>476.909999999989</v>
      </c>
      <c r="P1245" s="169" t="e">
        <f t="shared" si="54"/>
        <v>#NAME?</v>
      </c>
      <c r="Q1245" s="177">
        <v>476.909999999989</v>
      </c>
      <c r="R1245" s="166">
        <v>477.41999999998899</v>
      </c>
      <c r="S1245" s="166">
        <v>8.5254000000014312</v>
      </c>
    </row>
    <row r="1246" spans="15:19">
      <c r="O1246" s="166">
        <v>476.91999999998899</v>
      </c>
      <c r="P1246" s="169" t="e">
        <f t="shared" si="54"/>
        <v>#NAME?</v>
      </c>
      <c r="Q1246" s="177">
        <v>476.91999999998899</v>
      </c>
      <c r="R1246" s="166">
        <v>477.42999999998898</v>
      </c>
      <c r="S1246" s="166">
        <v>8.5241000000014324</v>
      </c>
    </row>
    <row r="1247" spans="15:19">
      <c r="O1247" s="166">
        <v>476.92999999998898</v>
      </c>
      <c r="P1247" s="169" t="e">
        <f t="shared" si="54"/>
        <v>#NAME?</v>
      </c>
      <c r="Q1247" s="177">
        <v>476.92999999998898</v>
      </c>
      <c r="R1247" s="166">
        <v>477.43999999998903</v>
      </c>
      <c r="S1247" s="166">
        <v>8.5228000000014266</v>
      </c>
    </row>
    <row r="1248" spans="15:19">
      <c r="O1248" s="166">
        <v>476.93999999998903</v>
      </c>
      <c r="P1248" s="169" t="e">
        <f t="shared" si="54"/>
        <v>#NAME?</v>
      </c>
      <c r="Q1248" s="177">
        <v>476.93999999998903</v>
      </c>
      <c r="R1248" s="166">
        <v>477.44999999998902</v>
      </c>
      <c r="S1248" s="166">
        <v>8.5215000000014278</v>
      </c>
    </row>
    <row r="1249" spans="15:19">
      <c r="O1249" s="166">
        <v>476.94999999998902</v>
      </c>
      <c r="P1249" s="169" t="e">
        <f t="shared" si="54"/>
        <v>#NAME?</v>
      </c>
      <c r="Q1249" s="177">
        <v>476.94999999998902</v>
      </c>
      <c r="R1249" s="166">
        <v>477.45999999998901</v>
      </c>
      <c r="S1249" s="166">
        <v>8.5202000000014291</v>
      </c>
    </row>
    <row r="1250" spans="15:19">
      <c r="O1250" s="166">
        <v>476.95999999998901</v>
      </c>
      <c r="P1250" s="169" t="e">
        <f t="shared" si="54"/>
        <v>#NAME?</v>
      </c>
      <c r="Q1250" s="177">
        <v>476.95999999998901</v>
      </c>
      <c r="R1250" s="166">
        <v>477.469999999989</v>
      </c>
      <c r="S1250" s="166">
        <v>8.5189000000014303</v>
      </c>
    </row>
    <row r="1251" spans="15:19">
      <c r="O1251" s="166">
        <v>476.969999999989</v>
      </c>
      <c r="P1251" s="169" t="e">
        <f t="shared" si="54"/>
        <v>#NAME?</v>
      </c>
      <c r="Q1251" s="177">
        <v>476.969999999989</v>
      </c>
      <c r="R1251" s="166">
        <v>477.47999999998899</v>
      </c>
      <c r="S1251" s="166">
        <v>8.5176000000014316</v>
      </c>
    </row>
    <row r="1252" spans="15:19">
      <c r="O1252" s="166">
        <v>476.97999999998899</v>
      </c>
      <c r="P1252" s="169" t="e">
        <f t="shared" si="54"/>
        <v>#NAME?</v>
      </c>
      <c r="Q1252" s="177">
        <v>476.97999999998899</v>
      </c>
      <c r="R1252" s="166">
        <v>477.48999999998898</v>
      </c>
      <c r="S1252" s="166">
        <v>8.5163000000014328</v>
      </c>
    </row>
    <row r="1253" spans="15:19">
      <c r="O1253" s="166">
        <v>476.98999999998898</v>
      </c>
      <c r="P1253" s="169" t="e">
        <f t="shared" si="54"/>
        <v>#NAME?</v>
      </c>
      <c r="Q1253" s="177">
        <v>476.98999999998898</v>
      </c>
      <c r="R1253" s="166">
        <v>477.49999999998897</v>
      </c>
      <c r="S1253" s="166">
        <v>8.5150000000014341</v>
      </c>
    </row>
    <row r="1254" spans="15:19">
      <c r="O1254" s="166">
        <v>476.99999999998897</v>
      </c>
      <c r="P1254" s="169" t="e">
        <f t="shared" si="54"/>
        <v>#NAME?</v>
      </c>
      <c r="Q1254" s="177">
        <v>476.99999999998897</v>
      </c>
      <c r="R1254" s="166">
        <v>477.50999999998902</v>
      </c>
      <c r="S1254" s="166">
        <v>8.5137000000014265</v>
      </c>
    </row>
    <row r="1255" spans="15:19">
      <c r="O1255" s="166">
        <v>477.00999999998902</v>
      </c>
      <c r="P1255" s="169" t="e">
        <f t="shared" si="54"/>
        <v>#NAME?</v>
      </c>
      <c r="Q1255" s="177">
        <v>477.00999999998902</v>
      </c>
      <c r="R1255" s="166">
        <v>477.51999999998901</v>
      </c>
      <c r="S1255" s="166">
        <v>8.5124000000014277</v>
      </c>
    </row>
    <row r="1256" spans="15:19">
      <c r="O1256" s="166">
        <v>477.01999999998901</v>
      </c>
      <c r="P1256" s="169" t="e">
        <f t="shared" si="54"/>
        <v>#NAME?</v>
      </c>
      <c r="Q1256" s="177">
        <v>477.01999999998901</v>
      </c>
      <c r="R1256" s="166">
        <v>477.529999999989</v>
      </c>
      <c r="S1256" s="166">
        <v>8.511100000001429</v>
      </c>
    </row>
    <row r="1257" spans="15:19">
      <c r="O1257" s="166">
        <v>477.029999999989</v>
      </c>
      <c r="P1257" s="169" t="e">
        <f t="shared" si="54"/>
        <v>#NAME?</v>
      </c>
      <c r="Q1257" s="177">
        <v>477.029999999989</v>
      </c>
      <c r="R1257" s="166">
        <v>477.53999999998899</v>
      </c>
      <c r="S1257" s="166">
        <v>8.5098000000014302</v>
      </c>
    </row>
    <row r="1258" spans="15:19">
      <c r="O1258" s="166">
        <v>477.03999999998899</v>
      </c>
      <c r="P1258" s="169" t="e">
        <f t="shared" si="54"/>
        <v>#NAME?</v>
      </c>
      <c r="Q1258" s="177">
        <v>477.03999999998899</v>
      </c>
      <c r="R1258" s="166">
        <v>477.54999999998898</v>
      </c>
      <c r="S1258" s="166">
        <v>8.5085000000014315</v>
      </c>
    </row>
    <row r="1259" spans="15:19">
      <c r="O1259" s="166">
        <v>477.04999999998898</v>
      </c>
      <c r="P1259" s="169" t="e">
        <f t="shared" si="54"/>
        <v>#NAME?</v>
      </c>
      <c r="Q1259" s="177">
        <v>477.04999999998898</v>
      </c>
      <c r="R1259" s="166">
        <v>477.55999999998897</v>
      </c>
      <c r="S1259" s="166">
        <v>8.5072000000014327</v>
      </c>
    </row>
    <row r="1260" spans="15:19">
      <c r="O1260" s="166">
        <v>477.05999999998897</v>
      </c>
      <c r="P1260" s="169" t="e">
        <f t="shared" si="54"/>
        <v>#NAME?</v>
      </c>
      <c r="Q1260" s="177">
        <v>477.05999999998897</v>
      </c>
      <c r="R1260" s="166">
        <v>477.56999999998902</v>
      </c>
      <c r="S1260" s="166">
        <v>8.5059000000014269</v>
      </c>
    </row>
    <row r="1261" spans="15:19">
      <c r="O1261" s="166">
        <v>477.06999999998902</v>
      </c>
      <c r="P1261" s="169" t="e">
        <f t="shared" si="54"/>
        <v>#NAME?</v>
      </c>
      <c r="Q1261" s="177">
        <v>477.06999999998902</v>
      </c>
      <c r="R1261" s="166">
        <v>477.57999999998901</v>
      </c>
      <c r="S1261" s="166">
        <v>8.5046000000014281</v>
      </c>
    </row>
    <row r="1262" spans="15:19">
      <c r="O1262" s="166">
        <v>477.07999999998901</v>
      </c>
      <c r="P1262" s="169" t="e">
        <f t="shared" si="54"/>
        <v>#NAME?</v>
      </c>
      <c r="Q1262" s="177">
        <v>477.07999999998901</v>
      </c>
      <c r="R1262" s="166">
        <v>477.589999999989</v>
      </c>
      <c r="S1262" s="166">
        <v>8.5033000000014294</v>
      </c>
    </row>
    <row r="1263" spans="15:19">
      <c r="O1263" s="166">
        <v>477.08999999998798</v>
      </c>
      <c r="P1263" s="169" t="e">
        <f t="shared" si="54"/>
        <v>#NAME?</v>
      </c>
      <c r="Q1263" s="177">
        <v>477.08999999998798</v>
      </c>
      <c r="R1263" s="166">
        <v>477.59999999998797</v>
      </c>
      <c r="S1263" s="166">
        <v>8.5020000000015639</v>
      </c>
    </row>
    <row r="1264" spans="15:19">
      <c r="O1264" s="166">
        <v>477.09999999998797</v>
      </c>
      <c r="P1264" s="169" t="e">
        <f t="shared" si="54"/>
        <v>#NAME?</v>
      </c>
      <c r="Q1264" s="177">
        <v>477.09999999998797</v>
      </c>
      <c r="R1264" s="166">
        <v>477.60999999998802</v>
      </c>
      <c r="S1264" s="166">
        <v>8.5007000000015562</v>
      </c>
    </row>
    <row r="1265" spans="15:19">
      <c r="O1265" s="166">
        <v>477.10999999998802</v>
      </c>
      <c r="P1265" s="169" t="e">
        <f t="shared" si="54"/>
        <v>#NAME?</v>
      </c>
      <c r="Q1265" s="177">
        <v>477.10999999998802</v>
      </c>
      <c r="R1265" s="166">
        <v>477.61999999998801</v>
      </c>
      <c r="S1265" s="166">
        <v>8.4994000000015575</v>
      </c>
    </row>
    <row r="1266" spans="15:19">
      <c r="O1266" s="166">
        <v>477.11999999998898</v>
      </c>
      <c r="P1266" s="169" t="e">
        <f t="shared" si="54"/>
        <v>#NAME?</v>
      </c>
      <c r="Q1266" s="177">
        <v>477.11999999998898</v>
      </c>
      <c r="R1266" s="166">
        <v>477.62999999998902</v>
      </c>
      <c r="S1266" s="166">
        <v>8.4981000000014255</v>
      </c>
    </row>
    <row r="1267" spans="15:19">
      <c r="O1267" s="166">
        <v>477.12999999998902</v>
      </c>
      <c r="P1267" s="169" t="e">
        <f t="shared" si="54"/>
        <v>#NAME?</v>
      </c>
      <c r="Q1267" s="177">
        <v>477.12999999998902</v>
      </c>
      <c r="R1267" s="166">
        <v>477.63999999998902</v>
      </c>
      <c r="S1267" s="166">
        <v>8.4968000000014268</v>
      </c>
    </row>
    <row r="1268" spans="15:19">
      <c r="O1268" s="166">
        <v>477.13999999998902</v>
      </c>
      <c r="P1268" s="169" t="e">
        <f t="shared" si="54"/>
        <v>#NAME?</v>
      </c>
      <c r="Q1268" s="177">
        <v>477.13999999998902</v>
      </c>
      <c r="R1268" s="166">
        <v>477.64999999998798</v>
      </c>
      <c r="S1268" s="166">
        <v>8.4955000000015612</v>
      </c>
    </row>
    <row r="1269" spans="15:19">
      <c r="O1269" s="166">
        <v>477.14999999998798</v>
      </c>
      <c r="P1269" s="169" t="e">
        <f t="shared" si="54"/>
        <v>#NAME?</v>
      </c>
      <c r="Q1269" s="177">
        <v>477.14999999998798</v>
      </c>
      <c r="R1269" s="166">
        <v>477.65999999998797</v>
      </c>
      <c r="S1269" s="166">
        <v>8.4942000000015625</v>
      </c>
    </row>
    <row r="1270" spans="15:19">
      <c r="O1270" s="166">
        <v>477.15999999998797</v>
      </c>
      <c r="P1270" s="169" t="e">
        <f t="shared" si="54"/>
        <v>#NAME?</v>
      </c>
      <c r="Q1270" s="177">
        <v>477.15999999998797</v>
      </c>
      <c r="R1270" s="166">
        <v>477.66999999998802</v>
      </c>
      <c r="S1270" s="166">
        <v>8.4929000000015566</v>
      </c>
    </row>
    <row r="1271" spans="15:19">
      <c r="O1271" s="166">
        <v>477.16999999998802</v>
      </c>
      <c r="P1271" s="169" t="e">
        <f t="shared" si="54"/>
        <v>#NAME?</v>
      </c>
      <c r="Q1271" s="177">
        <v>477.16999999998802</v>
      </c>
      <c r="R1271" s="166">
        <v>477.67999999998801</v>
      </c>
      <c r="S1271" s="166">
        <v>8.4916000000015579</v>
      </c>
    </row>
    <row r="1272" spans="15:19">
      <c r="O1272" s="166">
        <v>477.17999999998898</v>
      </c>
      <c r="P1272" s="169" t="e">
        <f t="shared" si="54"/>
        <v>#NAME?</v>
      </c>
      <c r="Q1272" s="177">
        <v>477.17999999998898</v>
      </c>
      <c r="R1272" s="166">
        <v>477.68999999998903</v>
      </c>
      <c r="S1272" s="166">
        <v>8.4903000000014259</v>
      </c>
    </row>
    <row r="1273" spans="15:19">
      <c r="O1273" s="166">
        <v>477.18999999998903</v>
      </c>
      <c r="P1273" s="169" t="e">
        <f t="shared" si="54"/>
        <v>#NAME?</v>
      </c>
      <c r="Q1273" s="177">
        <v>477.18999999998903</v>
      </c>
      <c r="R1273" s="166">
        <v>477.69999999998902</v>
      </c>
      <c r="S1273" s="166">
        <v>8.4890000000014272</v>
      </c>
    </row>
    <row r="1274" spans="15:19">
      <c r="O1274" s="166">
        <v>477.19999999998799</v>
      </c>
      <c r="P1274" s="169" t="e">
        <f t="shared" si="54"/>
        <v>#NAME?</v>
      </c>
      <c r="Q1274" s="177">
        <v>477.19999999998799</v>
      </c>
      <c r="R1274" s="166">
        <v>477.70999999998799</v>
      </c>
      <c r="S1274" s="166">
        <v>8.4877000000015617</v>
      </c>
    </row>
    <row r="1275" spans="15:19">
      <c r="O1275" s="166">
        <v>477.20999999998799</v>
      </c>
      <c r="P1275" s="169" t="e">
        <f t="shared" si="54"/>
        <v>#NAME?</v>
      </c>
      <c r="Q1275" s="177">
        <v>477.20999999998799</v>
      </c>
      <c r="R1275" s="166">
        <v>477.71999999998798</v>
      </c>
      <c r="S1275" s="166">
        <v>8.4864000000015629</v>
      </c>
    </row>
    <row r="1276" spans="15:19">
      <c r="O1276" s="166">
        <v>477.21999999998798</v>
      </c>
      <c r="P1276" s="169" t="e">
        <f t="shared" si="54"/>
        <v>#NAME?</v>
      </c>
      <c r="Q1276" s="177">
        <v>477.21999999998798</v>
      </c>
      <c r="R1276" s="166">
        <v>477.72999999998802</v>
      </c>
      <c r="S1276" s="166">
        <v>8.4851000000015571</v>
      </c>
    </row>
    <row r="1277" spans="15:19">
      <c r="O1277" s="166">
        <v>477.22999999998802</v>
      </c>
      <c r="P1277" s="169" t="e">
        <f t="shared" si="54"/>
        <v>#NAME?</v>
      </c>
      <c r="Q1277" s="177">
        <v>477.22999999998802</v>
      </c>
      <c r="R1277" s="166">
        <v>477.73999999998802</v>
      </c>
      <c r="S1277" s="166">
        <v>8.4838000000015583</v>
      </c>
    </row>
    <row r="1278" spans="15:19">
      <c r="O1278" s="166">
        <v>477.23999999998802</v>
      </c>
      <c r="P1278" s="169" t="e">
        <f t="shared" si="54"/>
        <v>#NAME?</v>
      </c>
      <c r="Q1278" s="177">
        <v>477.23999999998802</v>
      </c>
      <c r="R1278" s="166">
        <v>477.74999999998801</v>
      </c>
      <c r="S1278" s="166">
        <v>8.4825000000015596</v>
      </c>
    </row>
    <row r="1279" spans="15:19">
      <c r="O1279" s="166">
        <v>477.24999999998801</v>
      </c>
      <c r="P1279" s="169" t="e">
        <f t="shared" si="54"/>
        <v>#NAME?</v>
      </c>
      <c r="Q1279" s="177">
        <v>477.24999999998801</v>
      </c>
      <c r="R1279" s="166">
        <v>477.759999999988</v>
      </c>
      <c r="S1279" s="166">
        <v>8.481200000001559</v>
      </c>
    </row>
    <row r="1280" spans="15:19">
      <c r="O1280" s="166">
        <v>477.259999999988</v>
      </c>
      <c r="P1280" s="169" t="e">
        <f t="shared" si="54"/>
        <v>#NAME?</v>
      </c>
      <c r="Q1280" s="177">
        <v>477.259999999988</v>
      </c>
      <c r="R1280" s="166">
        <v>477.76999999998799</v>
      </c>
      <c r="S1280" s="166">
        <v>8.4799000000015603</v>
      </c>
    </row>
    <row r="1281" spans="15:19">
      <c r="O1281" s="166">
        <v>477.26999999998799</v>
      </c>
      <c r="P1281" s="169" t="e">
        <f t="shared" si="54"/>
        <v>#NAME?</v>
      </c>
      <c r="Q1281" s="177">
        <v>477.26999999998799</v>
      </c>
      <c r="R1281" s="166">
        <v>477.77999999998798</v>
      </c>
      <c r="S1281" s="166">
        <v>8.4786000000015616</v>
      </c>
    </row>
    <row r="1282" spans="15:19">
      <c r="O1282" s="166">
        <v>477.27999999998798</v>
      </c>
      <c r="P1282" s="169" t="e">
        <f t="shared" si="54"/>
        <v>#NAME?</v>
      </c>
      <c r="Q1282" s="177">
        <v>477.27999999998798</v>
      </c>
      <c r="R1282" s="166">
        <v>477.78999999998803</v>
      </c>
      <c r="S1282" s="166">
        <v>8.4773000000015557</v>
      </c>
    </row>
    <row r="1283" spans="15:19">
      <c r="O1283" s="166">
        <v>477.28999999998803</v>
      </c>
      <c r="P1283" s="169" t="e">
        <f t="shared" si="54"/>
        <v>#NAME?</v>
      </c>
      <c r="Q1283" s="177">
        <v>477.28999999998803</v>
      </c>
      <c r="R1283" s="166">
        <v>477.79999999998802</v>
      </c>
      <c r="S1283" s="166">
        <v>8.476000000001557</v>
      </c>
    </row>
    <row r="1284" spans="15:19">
      <c r="O1284" s="166">
        <v>477.29999999998802</v>
      </c>
      <c r="P1284" s="169" t="e">
        <f t="shared" ref="P1284:P1347" si="55">VLOOKUP(O1284,THONGSOHO_BTS,2,1)+(VLOOKUP(O1284+5,THONGSOHO_BTS,2,1)-VLOOKUP(O1284,THONGSOHO_BTS,2,1))/5*(O1284-VLOOKUP(O1284,THONGSOHO_BTS,1,1))-264.29</f>
        <v>#NAME?</v>
      </c>
      <c r="Q1284" s="177">
        <v>477.29999999998802</v>
      </c>
      <c r="R1284" s="166">
        <v>477.80999999998801</v>
      </c>
      <c r="S1284" s="166">
        <v>8.4747000000015582</v>
      </c>
    </row>
    <row r="1285" spans="15:19">
      <c r="O1285" s="166">
        <v>477.30999999998801</v>
      </c>
      <c r="P1285" s="169" t="e">
        <f t="shared" si="55"/>
        <v>#NAME?</v>
      </c>
      <c r="Q1285" s="177">
        <v>477.30999999998801</v>
      </c>
      <c r="R1285" s="166">
        <v>477.819999999988</v>
      </c>
      <c r="S1285" s="166">
        <v>8.4734000000015595</v>
      </c>
    </row>
    <row r="1286" spans="15:19">
      <c r="O1286" s="166">
        <v>477.319999999988</v>
      </c>
      <c r="P1286" s="169" t="e">
        <f t="shared" si="55"/>
        <v>#NAME?</v>
      </c>
      <c r="Q1286" s="177">
        <v>477.319999999988</v>
      </c>
      <c r="R1286" s="166">
        <v>477.82999999998799</v>
      </c>
      <c r="S1286" s="166">
        <v>8.4721000000015607</v>
      </c>
    </row>
    <row r="1287" spans="15:19">
      <c r="O1287" s="166">
        <v>477.32999999998799</v>
      </c>
      <c r="P1287" s="169" t="e">
        <f t="shared" si="55"/>
        <v>#NAME?</v>
      </c>
      <c r="Q1287" s="177">
        <v>477.32999999998799</v>
      </c>
      <c r="R1287" s="166">
        <v>477.83999999998798</v>
      </c>
      <c r="S1287" s="166">
        <v>8.470800000001562</v>
      </c>
    </row>
    <row r="1288" spans="15:19">
      <c r="O1288" s="166">
        <v>477.33999999998798</v>
      </c>
      <c r="P1288" s="169" t="e">
        <f t="shared" si="55"/>
        <v>#NAME?</v>
      </c>
      <c r="Q1288" s="177">
        <v>477.33999999998798</v>
      </c>
      <c r="R1288" s="166">
        <v>477.84999999998797</v>
      </c>
      <c r="S1288" s="166">
        <v>8.4695000000015632</v>
      </c>
    </row>
    <row r="1289" spans="15:19">
      <c r="O1289" s="166">
        <v>477.34999999998797</v>
      </c>
      <c r="P1289" s="169" t="e">
        <f t="shared" si="55"/>
        <v>#NAME?</v>
      </c>
      <c r="Q1289" s="177">
        <v>477.34999999998797</v>
      </c>
      <c r="R1289" s="166">
        <v>477.85999999998802</v>
      </c>
      <c r="S1289" s="166">
        <v>8.4682000000015574</v>
      </c>
    </row>
    <row r="1290" spans="15:19">
      <c r="O1290" s="166">
        <v>477.35999999998802</v>
      </c>
      <c r="P1290" s="169" t="e">
        <f t="shared" si="55"/>
        <v>#NAME?</v>
      </c>
      <c r="Q1290" s="177">
        <v>477.35999999998802</v>
      </c>
      <c r="R1290" s="166">
        <v>477.86999999998801</v>
      </c>
      <c r="S1290" s="166">
        <v>8.4669000000015586</v>
      </c>
    </row>
    <row r="1291" spans="15:19">
      <c r="O1291" s="166">
        <v>477.36999999998801</v>
      </c>
      <c r="P1291" s="169" t="e">
        <f t="shared" si="55"/>
        <v>#NAME?</v>
      </c>
      <c r="Q1291" s="177">
        <v>477.36999999998801</v>
      </c>
      <c r="R1291" s="166">
        <v>477.879999999988</v>
      </c>
      <c r="S1291" s="166">
        <v>8.4656000000015599</v>
      </c>
    </row>
    <row r="1292" spans="15:19">
      <c r="O1292" s="166">
        <v>477.379999999988</v>
      </c>
      <c r="P1292" s="169" t="e">
        <f t="shared" si="55"/>
        <v>#NAME?</v>
      </c>
      <c r="Q1292" s="177">
        <v>477.379999999988</v>
      </c>
      <c r="R1292" s="166">
        <v>477.88999999998799</v>
      </c>
      <c r="S1292" s="166">
        <v>8.4643000000015611</v>
      </c>
    </row>
    <row r="1293" spans="15:19">
      <c r="O1293" s="166">
        <v>477.38999999998799</v>
      </c>
      <c r="P1293" s="169" t="e">
        <f t="shared" si="55"/>
        <v>#NAME?</v>
      </c>
      <c r="Q1293" s="177">
        <v>477.38999999998799</v>
      </c>
      <c r="R1293" s="166">
        <v>477.89999999998798</v>
      </c>
      <c r="S1293" s="166">
        <v>8.4630000000015624</v>
      </c>
    </row>
    <row r="1294" spans="15:19">
      <c r="O1294" s="166">
        <v>477.39999999998798</v>
      </c>
      <c r="P1294" s="169" t="e">
        <f t="shared" si="55"/>
        <v>#NAME?</v>
      </c>
      <c r="Q1294" s="177">
        <v>477.39999999998798</v>
      </c>
      <c r="R1294" s="166">
        <v>477.90999999998797</v>
      </c>
      <c r="S1294" s="166">
        <v>8.4617000000015619</v>
      </c>
    </row>
    <row r="1295" spans="15:19">
      <c r="O1295" s="166">
        <v>477.40999999998797</v>
      </c>
      <c r="P1295" s="169" t="e">
        <f t="shared" si="55"/>
        <v>#NAME?</v>
      </c>
      <c r="Q1295" s="177">
        <v>477.40999999998797</v>
      </c>
      <c r="R1295" s="166">
        <v>477.91999999998802</v>
      </c>
      <c r="S1295" s="166">
        <v>8.460400000001556</v>
      </c>
    </row>
    <row r="1296" spans="15:19">
      <c r="O1296" s="166">
        <v>477.41999999998802</v>
      </c>
      <c r="P1296" s="169" t="e">
        <f t="shared" si="55"/>
        <v>#NAME?</v>
      </c>
      <c r="Q1296" s="177">
        <v>477.41999999998802</v>
      </c>
      <c r="R1296" s="166">
        <v>477.92999999998801</v>
      </c>
      <c r="S1296" s="166">
        <v>8.4591000000015573</v>
      </c>
    </row>
    <row r="1297" spans="15:19">
      <c r="O1297" s="166">
        <v>477.42999999998801</v>
      </c>
      <c r="P1297" s="169" t="e">
        <f t="shared" si="55"/>
        <v>#NAME?</v>
      </c>
      <c r="Q1297" s="177">
        <v>477.42999999998801</v>
      </c>
      <c r="R1297" s="166">
        <v>477.939999999988</v>
      </c>
      <c r="S1297" s="166">
        <v>8.4578000000015585</v>
      </c>
    </row>
    <row r="1298" spans="15:19">
      <c r="O1298" s="166">
        <v>477.439999999988</v>
      </c>
      <c r="P1298" s="169" t="e">
        <f t="shared" si="55"/>
        <v>#NAME?</v>
      </c>
      <c r="Q1298" s="177">
        <v>477.439999999988</v>
      </c>
      <c r="R1298" s="166">
        <v>477.94999999998799</v>
      </c>
      <c r="S1298" s="166">
        <v>8.4565000000015598</v>
      </c>
    </row>
    <row r="1299" spans="15:19">
      <c r="O1299" s="166">
        <v>477.44999999998799</v>
      </c>
      <c r="P1299" s="169" t="e">
        <f t="shared" si="55"/>
        <v>#NAME?</v>
      </c>
      <c r="Q1299" s="177">
        <v>477.44999999998799</v>
      </c>
      <c r="R1299" s="166">
        <v>477.95999999998799</v>
      </c>
      <c r="S1299" s="166">
        <v>8.455200000001561</v>
      </c>
    </row>
    <row r="1300" spans="15:19">
      <c r="O1300" s="166">
        <v>477.45999999998799</v>
      </c>
      <c r="P1300" s="169" t="e">
        <f t="shared" si="55"/>
        <v>#NAME?</v>
      </c>
      <c r="Q1300" s="177">
        <v>477.45999999998799</v>
      </c>
      <c r="R1300" s="166">
        <v>477.96999999998798</v>
      </c>
      <c r="S1300" s="166">
        <v>8.4539000000015623</v>
      </c>
    </row>
    <row r="1301" spans="15:19">
      <c r="O1301" s="166">
        <v>477.46999999998798</v>
      </c>
      <c r="P1301" s="169" t="e">
        <f t="shared" si="55"/>
        <v>#NAME?</v>
      </c>
      <c r="Q1301" s="177">
        <v>477.46999999998798</v>
      </c>
      <c r="R1301" s="166">
        <v>477.97999999998802</v>
      </c>
      <c r="S1301" s="166">
        <v>8.4526000000015564</v>
      </c>
    </row>
    <row r="1302" spans="15:19">
      <c r="O1302" s="166">
        <v>477.47999999998802</v>
      </c>
      <c r="P1302" s="169" t="e">
        <f t="shared" si="55"/>
        <v>#NAME?</v>
      </c>
      <c r="Q1302" s="177">
        <v>477.47999999998802</v>
      </c>
      <c r="R1302" s="166">
        <v>477.98999999998802</v>
      </c>
      <c r="S1302" s="166">
        <v>8.4513000000015577</v>
      </c>
    </row>
    <row r="1303" spans="15:19">
      <c r="O1303" s="166">
        <v>477.48999999998802</v>
      </c>
      <c r="P1303" s="169" t="e">
        <f t="shared" si="55"/>
        <v>#NAME?</v>
      </c>
      <c r="Q1303" s="177">
        <v>477.48999999998802</v>
      </c>
      <c r="R1303" s="166">
        <v>477.99999999998801</v>
      </c>
      <c r="S1303" s="166">
        <v>8.4500000000015589</v>
      </c>
    </row>
    <row r="1304" spans="15:19">
      <c r="O1304" s="166">
        <v>477.49999999998801</v>
      </c>
      <c r="P1304" s="169" t="e">
        <f t="shared" si="55"/>
        <v>#NAME?</v>
      </c>
      <c r="Q1304" s="177">
        <v>477.49999999998801</v>
      </c>
      <c r="R1304" s="166">
        <v>478.009999999988</v>
      </c>
      <c r="S1304" s="166">
        <v>8.4487000000015602</v>
      </c>
    </row>
    <row r="1305" spans="15:19">
      <c r="O1305" s="166">
        <v>477.509999999988</v>
      </c>
      <c r="P1305" s="169" t="e">
        <f t="shared" si="55"/>
        <v>#NAME?</v>
      </c>
      <c r="Q1305" s="177">
        <v>477.509999999988</v>
      </c>
      <c r="R1305" s="166">
        <v>478.01999999998799</v>
      </c>
      <c r="S1305" s="166">
        <v>8.4474000000015614</v>
      </c>
    </row>
    <row r="1306" spans="15:19">
      <c r="O1306" s="166">
        <v>477.51999999998799</v>
      </c>
      <c r="P1306" s="169" t="e">
        <f t="shared" si="55"/>
        <v>#NAME?</v>
      </c>
      <c r="Q1306" s="177">
        <v>477.51999999998799</v>
      </c>
      <c r="R1306" s="166">
        <v>478.02999999998798</v>
      </c>
      <c r="S1306" s="166">
        <v>8.4461000000015627</v>
      </c>
    </row>
    <row r="1307" spans="15:19">
      <c r="O1307" s="166">
        <v>477.52999999998798</v>
      </c>
      <c r="P1307" s="169" t="e">
        <f t="shared" si="55"/>
        <v>#NAME?</v>
      </c>
      <c r="Q1307" s="177">
        <v>477.52999999998798</v>
      </c>
      <c r="R1307" s="166">
        <v>478.03999999998803</v>
      </c>
      <c r="S1307" s="166">
        <v>8.4448000000015551</v>
      </c>
    </row>
    <row r="1308" spans="15:19">
      <c r="O1308" s="166">
        <v>477.53999999998803</v>
      </c>
      <c r="P1308" s="169" t="e">
        <f t="shared" si="55"/>
        <v>#NAME?</v>
      </c>
      <c r="Q1308" s="177">
        <v>477.53999999998803</v>
      </c>
      <c r="R1308" s="166">
        <v>478.04999999998802</v>
      </c>
      <c r="S1308" s="166">
        <v>8.4435000000015563</v>
      </c>
    </row>
    <row r="1309" spans="15:19">
      <c r="O1309" s="166">
        <v>477.54999999998802</v>
      </c>
      <c r="P1309" s="169" t="e">
        <f t="shared" si="55"/>
        <v>#NAME?</v>
      </c>
      <c r="Q1309" s="177">
        <v>477.54999999998802</v>
      </c>
      <c r="R1309" s="166">
        <v>478.05999999998801</v>
      </c>
      <c r="S1309" s="166">
        <v>8.4422000000015576</v>
      </c>
    </row>
    <row r="1310" spans="15:19">
      <c r="O1310" s="166">
        <v>477.55999999998801</v>
      </c>
      <c r="P1310" s="169" t="e">
        <f t="shared" si="55"/>
        <v>#NAME?</v>
      </c>
      <c r="Q1310" s="177">
        <v>477.55999999998801</v>
      </c>
      <c r="R1310" s="166">
        <v>478.069999999988</v>
      </c>
      <c r="S1310" s="166">
        <v>8.4409000000015588</v>
      </c>
    </row>
    <row r="1311" spans="15:19">
      <c r="O1311" s="166">
        <v>477.569999999988</v>
      </c>
      <c r="P1311" s="169" t="e">
        <f t="shared" si="55"/>
        <v>#NAME?</v>
      </c>
      <c r="Q1311" s="177">
        <v>477.569999999988</v>
      </c>
      <c r="R1311" s="166">
        <v>478.07999999998799</v>
      </c>
      <c r="S1311" s="166">
        <v>8.4396000000015601</v>
      </c>
    </row>
    <row r="1312" spans="15:19">
      <c r="O1312" s="166">
        <v>477.57999999998799</v>
      </c>
      <c r="P1312" s="169" t="e">
        <f t="shared" si="55"/>
        <v>#NAME?</v>
      </c>
      <c r="Q1312" s="177">
        <v>477.57999999998799</v>
      </c>
      <c r="R1312" s="166">
        <v>478.08999999998798</v>
      </c>
      <c r="S1312" s="166">
        <v>8.4383000000015613</v>
      </c>
    </row>
    <row r="1313" spans="15:19">
      <c r="O1313" s="166">
        <v>477.58999999998798</v>
      </c>
      <c r="P1313" s="169" t="e">
        <f t="shared" si="55"/>
        <v>#NAME?</v>
      </c>
      <c r="Q1313" s="177">
        <v>477.58999999998798</v>
      </c>
      <c r="R1313" s="166">
        <v>478.09999999998797</v>
      </c>
      <c r="S1313" s="166">
        <v>8.4370000000015626</v>
      </c>
    </row>
    <row r="1314" spans="15:19">
      <c r="O1314" s="166">
        <v>477.59999999998797</v>
      </c>
      <c r="P1314" s="169" t="e">
        <f t="shared" si="55"/>
        <v>#NAME?</v>
      </c>
      <c r="Q1314" s="177">
        <v>477.59999999998797</v>
      </c>
      <c r="R1314" s="166">
        <v>478.10999999998802</v>
      </c>
      <c r="S1314" s="166">
        <v>8.4357000000015567</v>
      </c>
    </row>
    <row r="1315" spans="15:19">
      <c r="O1315" s="166">
        <v>477.60999999998802</v>
      </c>
      <c r="P1315" s="169" t="e">
        <f t="shared" si="55"/>
        <v>#NAME?</v>
      </c>
      <c r="Q1315" s="177">
        <v>477.60999999998802</v>
      </c>
      <c r="R1315" s="166">
        <v>478.11999999998801</v>
      </c>
      <c r="S1315" s="166">
        <v>8.434400000001558</v>
      </c>
    </row>
    <row r="1316" spans="15:19">
      <c r="O1316" s="166">
        <v>477.61999999998801</v>
      </c>
      <c r="P1316" s="169" t="e">
        <f t="shared" si="55"/>
        <v>#NAME?</v>
      </c>
      <c r="Q1316" s="177">
        <v>477.61999999998801</v>
      </c>
      <c r="R1316" s="166">
        <v>478.129999999988</v>
      </c>
      <c r="S1316" s="166">
        <v>8.4331000000015592</v>
      </c>
    </row>
    <row r="1317" spans="15:19">
      <c r="O1317" s="166">
        <v>477.629999999988</v>
      </c>
      <c r="P1317" s="169" t="e">
        <f t="shared" si="55"/>
        <v>#NAME?</v>
      </c>
      <c r="Q1317" s="177">
        <v>477.629999999988</v>
      </c>
      <c r="R1317" s="166">
        <v>478.13999999998799</v>
      </c>
      <c r="S1317" s="166">
        <v>8.4318000000015605</v>
      </c>
    </row>
    <row r="1318" spans="15:19">
      <c r="O1318" s="166">
        <v>477.63999999998799</v>
      </c>
      <c r="P1318" s="169" t="e">
        <f t="shared" si="55"/>
        <v>#NAME?</v>
      </c>
      <c r="Q1318" s="177">
        <v>477.63999999998799</v>
      </c>
      <c r="R1318" s="166">
        <v>478.14999999998798</v>
      </c>
      <c r="S1318" s="166">
        <v>8.4305000000015617</v>
      </c>
    </row>
    <row r="1319" spans="15:19">
      <c r="O1319" s="166">
        <v>477.64999999998798</v>
      </c>
      <c r="P1319" s="169" t="e">
        <f t="shared" si="55"/>
        <v>#NAME?</v>
      </c>
      <c r="Q1319" s="177">
        <v>477.64999999998798</v>
      </c>
      <c r="R1319" s="166">
        <v>478.15999999998797</v>
      </c>
      <c r="S1319" s="166">
        <v>8.429200000001563</v>
      </c>
    </row>
    <row r="1320" spans="15:19">
      <c r="O1320" s="166">
        <v>477.65999999998797</v>
      </c>
      <c r="P1320" s="169" t="e">
        <f t="shared" si="55"/>
        <v>#NAME?</v>
      </c>
      <c r="Q1320" s="177">
        <v>477.65999999998797</v>
      </c>
      <c r="R1320" s="166">
        <v>478.16999999998802</v>
      </c>
      <c r="S1320" s="166">
        <v>8.4279000000015571</v>
      </c>
    </row>
    <row r="1321" spans="15:19">
      <c r="O1321" s="166">
        <v>477.66999999998802</v>
      </c>
      <c r="P1321" s="169" t="e">
        <f t="shared" si="55"/>
        <v>#NAME?</v>
      </c>
      <c r="Q1321" s="177">
        <v>477.66999999998802</v>
      </c>
      <c r="R1321" s="166">
        <v>478.17999999998801</v>
      </c>
      <c r="S1321" s="166">
        <v>8.4266000000015584</v>
      </c>
    </row>
    <row r="1322" spans="15:19">
      <c r="O1322" s="166">
        <v>477.67999999998801</v>
      </c>
      <c r="P1322" s="169" t="e">
        <f t="shared" si="55"/>
        <v>#NAME?</v>
      </c>
      <c r="Q1322" s="177">
        <v>477.67999999998801</v>
      </c>
      <c r="R1322" s="166">
        <v>478.189999999988</v>
      </c>
      <c r="S1322" s="166">
        <v>8.4253000000015597</v>
      </c>
    </row>
    <row r="1323" spans="15:19">
      <c r="O1323" s="166">
        <v>477.689999999988</v>
      </c>
      <c r="P1323" s="169" t="e">
        <f t="shared" si="55"/>
        <v>#NAME?</v>
      </c>
      <c r="Q1323" s="177">
        <v>477.689999999988</v>
      </c>
      <c r="R1323" s="166">
        <v>478.19999999998799</v>
      </c>
      <c r="S1323" s="166">
        <v>8.4240000000015609</v>
      </c>
    </row>
    <row r="1324" spans="15:19">
      <c r="O1324" s="166">
        <v>477.69999999998799</v>
      </c>
      <c r="P1324" s="169" t="e">
        <f t="shared" si="55"/>
        <v>#NAME?</v>
      </c>
      <c r="Q1324" s="177">
        <v>477.69999999998799</v>
      </c>
      <c r="R1324" s="166">
        <v>478.20999999998799</v>
      </c>
      <c r="S1324" s="166">
        <v>8.4227000000015622</v>
      </c>
    </row>
    <row r="1325" spans="15:19">
      <c r="O1325" s="166">
        <v>477.70999999998799</v>
      </c>
      <c r="P1325" s="169" t="e">
        <f t="shared" si="55"/>
        <v>#NAME?</v>
      </c>
      <c r="Q1325" s="177">
        <v>477.70999999998799</v>
      </c>
      <c r="R1325" s="166">
        <v>478.21999999998798</v>
      </c>
      <c r="S1325" s="166">
        <v>8.4214000000015634</v>
      </c>
    </row>
    <row r="1326" spans="15:19">
      <c r="O1326" s="166">
        <v>477.71999999998798</v>
      </c>
      <c r="P1326" s="169" t="e">
        <f t="shared" si="55"/>
        <v>#NAME?</v>
      </c>
      <c r="Q1326" s="177">
        <v>477.71999999998798</v>
      </c>
      <c r="R1326" s="166">
        <v>478.22999999998802</v>
      </c>
      <c r="S1326" s="166">
        <v>8.4201000000015558</v>
      </c>
    </row>
    <row r="1327" spans="15:19">
      <c r="O1327" s="166">
        <v>477.72999999998802</v>
      </c>
      <c r="P1327" s="169" t="e">
        <f t="shared" si="55"/>
        <v>#NAME?</v>
      </c>
      <c r="Q1327" s="177">
        <v>477.72999999998802</v>
      </c>
      <c r="R1327" s="166">
        <v>478.23999999998802</v>
      </c>
      <c r="S1327" s="166">
        <v>8.418800000001557</v>
      </c>
    </row>
    <row r="1328" spans="15:19">
      <c r="O1328" s="166">
        <v>477.73999999998802</v>
      </c>
      <c r="P1328" s="169" t="e">
        <f t="shared" si="55"/>
        <v>#NAME?</v>
      </c>
      <c r="Q1328" s="177">
        <v>477.73999999998802</v>
      </c>
      <c r="R1328" s="166">
        <v>478.24999999998801</v>
      </c>
      <c r="S1328" s="166">
        <v>8.4175000000015583</v>
      </c>
    </row>
    <row r="1329" spans="15:19">
      <c r="O1329" s="166">
        <v>477.74999999998801</v>
      </c>
      <c r="P1329" s="169" t="e">
        <f t="shared" si="55"/>
        <v>#NAME?</v>
      </c>
      <c r="Q1329" s="177">
        <v>477.74999999998801</v>
      </c>
      <c r="R1329" s="166">
        <v>478.259999999988</v>
      </c>
      <c r="S1329" s="166">
        <v>8.4162000000015595</v>
      </c>
    </row>
    <row r="1330" spans="15:19">
      <c r="O1330" s="166">
        <v>477.759999999988</v>
      </c>
      <c r="P1330" s="169" t="e">
        <f t="shared" si="55"/>
        <v>#NAME?</v>
      </c>
      <c r="Q1330" s="177">
        <v>477.759999999988</v>
      </c>
      <c r="R1330" s="166">
        <v>478.26999999998799</v>
      </c>
      <c r="S1330" s="166">
        <v>8.4149000000015608</v>
      </c>
    </row>
    <row r="1331" spans="15:19">
      <c r="O1331" s="166">
        <v>477.76999999998799</v>
      </c>
      <c r="P1331" s="169" t="e">
        <f t="shared" si="55"/>
        <v>#NAME?</v>
      </c>
      <c r="Q1331" s="177">
        <v>477.76999999998799</v>
      </c>
      <c r="R1331" s="166">
        <v>478.27999999998798</v>
      </c>
      <c r="S1331" s="166">
        <v>8.4136000000015621</v>
      </c>
    </row>
    <row r="1332" spans="15:19">
      <c r="O1332" s="166">
        <v>477.77999999998798</v>
      </c>
      <c r="P1332" s="169" t="e">
        <f t="shared" si="55"/>
        <v>#NAME?</v>
      </c>
      <c r="Q1332" s="177">
        <v>477.77999999998798</v>
      </c>
      <c r="R1332" s="166">
        <v>478.28999999998803</v>
      </c>
      <c r="S1332" s="166">
        <v>8.4123000000015562</v>
      </c>
    </row>
    <row r="1333" spans="15:19">
      <c r="O1333" s="166">
        <v>477.78999999998803</v>
      </c>
      <c r="P1333" s="169" t="e">
        <f t="shared" si="55"/>
        <v>#NAME?</v>
      </c>
      <c r="Q1333" s="177">
        <v>477.78999999998803</v>
      </c>
      <c r="R1333" s="166">
        <v>478.29999999998802</v>
      </c>
      <c r="S1333" s="166">
        <v>8.4110000000015575</v>
      </c>
    </row>
    <row r="1334" spans="15:19">
      <c r="O1334" s="166">
        <v>477.79999999998802</v>
      </c>
      <c r="P1334" s="169" t="e">
        <f t="shared" si="55"/>
        <v>#NAME?</v>
      </c>
      <c r="Q1334" s="177">
        <v>477.79999999998802</v>
      </c>
      <c r="R1334" s="166">
        <v>478.30999999998801</v>
      </c>
      <c r="S1334" s="166">
        <v>8.4097000000015587</v>
      </c>
    </row>
    <row r="1335" spans="15:19">
      <c r="O1335" s="166">
        <v>477.80999999998801</v>
      </c>
      <c r="P1335" s="169" t="e">
        <f t="shared" si="55"/>
        <v>#NAME?</v>
      </c>
      <c r="Q1335" s="177">
        <v>477.80999999998801</v>
      </c>
      <c r="R1335" s="166">
        <v>478.319999999988</v>
      </c>
      <c r="S1335" s="166">
        <v>8.40840000000156</v>
      </c>
    </row>
    <row r="1336" spans="15:19">
      <c r="O1336" s="166">
        <v>477.819999999988</v>
      </c>
      <c r="P1336" s="169" t="e">
        <f t="shared" si="55"/>
        <v>#NAME?</v>
      </c>
      <c r="Q1336" s="177">
        <v>477.819999999988</v>
      </c>
      <c r="R1336" s="166">
        <v>478.32999999998799</v>
      </c>
      <c r="S1336" s="166">
        <v>8.4071000000015612</v>
      </c>
    </row>
    <row r="1337" spans="15:19">
      <c r="O1337" s="166">
        <v>477.82999999998799</v>
      </c>
      <c r="P1337" s="169" t="e">
        <f t="shared" si="55"/>
        <v>#NAME?</v>
      </c>
      <c r="Q1337" s="177">
        <v>477.82999999998799</v>
      </c>
      <c r="R1337" s="166">
        <v>478.33999999998798</v>
      </c>
      <c r="S1337" s="166">
        <v>8.4058000000015625</v>
      </c>
    </row>
    <row r="1338" spans="15:19">
      <c r="O1338" s="166">
        <v>477.83999999998798</v>
      </c>
      <c r="P1338" s="169" t="e">
        <f t="shared" si="55"/>
        <v>#NAME?</v>
      </c>
      <c r="Q1338" s="177">
        <v>477.83999999998798</v>
      </c>
      <c r="R1338" s="166">
        <v>478.34999999998797</v>
      </c>
      <c r="S1338" s="166">
        <v>8.4045000000015637</v>
      </c>
    </row>
    <row r="1339" spans="15:19">
      <c r="O1339" s="166">
        <v>477.84999999998797</v>
      </c>
      <c r="P1339" s="169" t="e">
        <f t="shared" si="55"/>
        <v>#NAME?</v>
      </c>
      <c r="Q1339" s="177">
        <v>477.84999999998797</v>
      </c>
      <c r="R1339" s="166">
        <v>478.35999999998802</v>
      </c>
      <c r="S1339" s="166">
        <v>8.4032000000015579</v>
      </c>
    </row>
    <row r="1340" spans="15:19">
      <c r="O1340" s="166">
        <v>477.85999999998802</v>
      </c>
      <c r="P1340" s="169" t="e">
        <f t="shared" si="55"/>
        <v>#NAME?</v>
      </c>
      <c r="Q1340" s="177">
        <v>477.85999999998802</v>
      </c>
      <c r="R1340" s="166">
        <v>478.36999999998801</v>
      </c>
      <c r="S1340" s="166">
        <v>8.4019000000015591</v>
      </c>
    </row>
    <row r="1341" spans="15:19">
      <c r="O1341" s="166">
        <v>477.86999999998801</v>
      </c>
      <c r="P1341" s="169" t="e">
        <f t="shared" si="55"/>
        <v>#NAME?</v>
      </c>
      <c r="Q1341" s="177">
        <v>477.86999999998801</v>
      </c>
      <c r="R1341" s="166">
        <v>478.379999999988</v>
      </c>
      <c r="S1341" s="166">
        <v>8.4006000000015586</v>
      </c>
    </row>
    <row r="1342" spans="15:19">
      <c r="O1342" s="166">
        <v>477.879999999988</v>
      </c>
      <c r="P1342" s="169" t="e">
        <f t="shared" si="55"/>
        <v>#NAME?</v>
      </c>
      <c r="Q1342" s="177">
        <v>477.879999999988</v>
      </c>
      <c r="R1342" s="166">
        <v>478.38999999998799</v>
      </c>
      <c r="S1342" s="166">
        <v>8.3993000000015599</v>
      </c>
    </row>
    <row r="1343" spans="15:19">
      <c r="O1343" s="166">
        <v>477.88999999998799</v>
      </c>
      <c r="P1343" s="169" t="e">
        <f t="shared" si="55"/>
        <v>#NAME?</v>
      </c>
      <c r="Q1343" s="177">
        <v>477.88999999998799</v>
      </c>
      <c r="R1343" s="166">
        <v>478.39999999998798</v>
      </c>
      <c r="S1343" s="166">
        <v>8.3980000000015611</v>
      </c>
    </row>
    <row r="1344" spans="15:19">
      <c r="O1344" s="166">
        <v>477.89999999998798</v>
      </c>
      <c r="P1344" s="169" t="e">
        <f t="shared" si="55"/>
        <v>#NAME?</v>
      </c>
      <c r="Q1344" s="177">
        <v>477.89999999998798</v>
      </c>
      <c r="R1344" s="166">
        <v>478.40999999998797</v>
      </c>
      <c r="S1344" s="166">
        <v>8.3967000000015624</v>
      </c>
    </row>
    <row r="1345" spans="15:19">
      <c r="O1345" s="166">
        <v>477.90999999998797</v>
      </c>
      <c r="P1345" s="169" t="e">
        <f t="shared" si="55"/>
        <v>#NAME?</v>
      </c>
      <c r="Q1345" s="177">
        <v>477.90999999998797</v>
      </c>
      <c r="R1345" s="166">
        <v>478.41999999998802</v>
      </c>
      <c r="S1345" s="166">
        <v>8.3954000000015565</v>
      </c>
    </row>
    <row r="1346" spans="15:19">
      <c r="O1346" s="166">
        <v>477.91999999998802</v>
      </c>
      <c r="P1346" s="169" t="e">
        <f t="shared" si="55"/>
        <v>#NAME?</v>
      </c>
      <c r="Q1346" s="177">
        <v>477.91999999998802</v>
      </c>
      <c r="R1346" s="166">
        <v>478.42999999998801</v>
      </c>
      <c r="S1346" s="166">
        <v>8.3941000000015578</v>
      </c>
    </row>
    <row r="1347" spans="15:19">
      <c r="O1347" s="166">
        <v>477.92999999998801</v>
      </c>
      <c r="P1347" s="169" t="e">
        <f t="shared" si="55"/>
        <v>#NAME?</v>
      </c>
      <c r="Q1347" s="177">
        <v>477.92999999998801</v>
      </c>
      <c r="R1347" s="166">
        <v>478.439999999988</v>
      </c>
      <c r="S1347" s="166">
        <v>8.392800000001559</v>
      </c>
    </row>
    <row r="1348" spans="15:19">
      <c r="O1348" s="166">
        <v>477.939999999988</v>
      </c>
      <c r="P1348" s="169" t="e">
        <f t="shared" ref="P1348:P1411" si="56">VLOOKUP(O1348,THONGSOHO_BTS,2,1)+(VLOOKUP(O1348+5,THONGSOHO_BTS,2,1)-VLOOKUP(O1348,THONGSOHO_BTS,2,1))/5*(O1348-VLOOKUP(O1348,THONGSOHO_BTS,1,1))-264.29</f>
        <v>#NAME?</v>
      </c>
      <c r="Q1348" s="177">
        <v>477.939999999988</v>
      </c>
      <c r="R1348" s="166">
        <v>478.44999999998799</v>
      </c>
      <c r="S1348" s="166">
        <v>8.3915000000015603</v>
      </c>
    </row>
    <row r="1349" spans="15:19">
      <c r="O1349" s="166">
        <v>477.94999999998799</v>
      </c>
      <c r="P1349" s="169" t="e">
        <f t="shared" si="56"/>
        <v>#NAME?</v>
      </c>
      <c r="Q1349" s="177">
        <v>477.94999999998799</v>
      </c>
      <c r="R1349" s="166">
        <v>478.45999999998799</v>
      </c>
      <c r="S1349" s="166">
        <v>8.3902000000015615</v>
      </c>
    </row>
    <row r="1350" spans="15:19">
      <c r="O1350" s="166">
        <v>477.95999999998799</v>
      </c>
      <c r="P1350" s="169" t="e">
        <f t="shared" si="56"/>
        <v>#NAME?</v>
      </c>
      <c r="Q1350" s="177">
        <v>477.95999999998799</v>
      </c>
      <c r="R1350" s="166">
        <v>478.46999999998798</v>
      </c>
      <c r="S1350" s="166">
        <v>8.3889000000015628</v>
      </c>
    </row>
    <row r="1351" spans="15:19">
      <c r="O1351" s="166">
        <v>477.96999999998798</v>
      </c>
      <c r="P1351" s="169" t="e">
        <f t="shared" si="56"/>
        <v>#NAME?</v>
      </c>
      <c r="Q1351" s="177">
        <v>477.96999999998798</v>
      </c>
      <c r="R1351" s="166">
        <v>478.47999999998802</v>
      </c>
      <c r="S1351" s="166">
        <v>8.3876000000015569</v>
      </c>
    </row>
    <row r="1352" spans="15:19">
      <c r="O1352" s="166">
        <v>477.97999999998802</v>
      </c>
      <c r="P1352" s="169" t="e">
        <f t="shared" si="56"/>
        <v>#NAME?</v>
      </c>
      <c r="Q1352" s="177">
        <v>477.97999999998802</v>
      </c>
      <c r="R1352" s="166">
        <v>478.48999999998802</v>
      </c>
      <c r="S1352" s="166">
        <v>8.3863000000015582</v>
      </c>
    </row>
    <row r="1353" spans="15:19">
      <c r="O1353" s="166">
        <v>477.98999999998802</v>
      </c>
      <c r="P1353" s="169" t="e">
        <f t="shared" si="56"/>
        <v>#NAME?</v>
      </c>
      <c r="Q1353" s="177">
        <v>477.98999999998802</v>
      </c>
      <c r="R1353" s="166">
        <v>478.49999999998801</v>
      </c>
      <c r="S1353" s="166">
        <v>8.3850000000015594</v>
      </c>
    </row>
    <row r="1354" spans="15:19">
      <c r="O1354" s="166">
        <v>477.99999999998801</v>
      </c>
      <c r="P1354" s="169" t="e">
        <f t="shared" si="56"/>
        <v>#NAME?</v>
      </c>
      <c r="Q1354" s="177">
        <v>477.99999999998801</v>
      </c>
      <c r="R1354" s="166">
        <v>478.509999999988</v>
      </c>
      <c r="S1354" s="166">
        <v>8.3837000000015607</v>
      </c>
    </row>
    <row r="1355" spans="15:19">
      <c r="O1355" s="166">
        <v>478.009999999988</v>
      </c>
      <c r="P1355" s="169" t="e">
        <f t="shared" si="56"/>
        <v>#NAME?</v>
      </c>
      <c r="Q1355" s="177">
        <v>478.009999999988</v>
      </c>
      <c r="R1355" s="166">
        <v>478.51999999998799</v>
      </c>
      <c r="S1355" s="166">
        <v>8.3824000000015619</v>
      </c>
    </row>
    <row r="1356" spans="15:19">
      <c r="O1356" s="166">
        <v>478.01999999998799</v>
      </c>
      <c r="P1356" s="169" t="e">
        <f t="shared" si="56"/>
        <v>#NAME?</v>
      </c>
      <c r="Q1356" s="177">
        <v>478.01999999998799</v>
      </c>
      <c r="R1356" s="166">
        <v>478.52999999998798</v>
      </c>
      <c r="S1356" s="166">
        <v>8.3811000000015632</v>
      </c>
    </row>
    <row r="1357" spans="15:19">
      <c r="O1357" s="166">
        <v>478.02999999998798</v>
      </c>
      <c r="P1357" s="169" t="e">
        <f t="shared" si="56"/>
        <v>#NAME?</v>
      </c>
      <c r="Q1357" s="177">
        <v>478.02999999998798</v>
      </c>
      <c r="R1357" s="166">
        <v>478.53999999998803</v>
      </c>
      <c r="S1357" s="166">
        <v>8.3798000000015556</v>
      </c>
    </row>
    <row r="1358" spans="15:19">
      <c r="O1358" s="166">
        <v>478.03999999998803</v>
      </c>
      <c r="P1358" s="169" t="e">
        <f t="shared" si="56"/>
        <v>#NAME?</v>
      </c>
      <c r="Q1358" s="177">
        <v>478.03999999998803</v>
      </c>
      <c r="R1358" s="166">
        <v>478.54999999998802</v>
      </c>
      <c r="S1358" s="166">
        <v>8.3785000000015568</v>
      </c>
    </row>
    <row r="1359" spans="15:19">
      <c r="O1359" s="166">
        <v>478.04999999998802</v>
      </c>
      <c r="P1359" s="169" t="e">
        <f t="shared" si="56"/>
        <v>#NAME?</v>
      </c>
      <c r="Q1359" s="177">
        <v>478.04999999998802</v>
      </c>
      <c r="R1359" s="166">
        <v>478.55999999998801</v>
      </c>
      <c r="S1359" s="166">
        <v>8.3772000000015581</v>
      </c>
    </row>
    <row r="1360" spans="15:19">
      <c r="O1360" s="166">
        <v>478.05999999998801</v>
      </c>
      <c r="P1360" s="169" t="e">
        <f t="shared" si="56"/>
        <v>#NAME?</v>
      </c>
      <c r="Q1360" s="177">
        <v>478.05999999998801</v>
      </c>
      <c r="R1360" s="166">
        <v>478.569999999988</v>
      </c>
      <c r="S1360" s="166">
        <v>8.3759000000015593</v>
      </c>
    </row>
    <row r="1361" spans="15:19">
      <c r="O1361" s="166">
        <v>478.069999999988</v>
      </c>
      <c r="P1361" s="169" t="e">
        <f t="shared" si="56"/>
        <v>#NAME?</v>
      </c>
      <c r="Q1361" s="177">
        <v>478.069999999988</v>
      </c>
      <c r="R1361" s="166">
        <v>478.57999999998799</v>
      </c>
      <c r="S1361" s="166">
        <v>8.3746000000015606</v>
      </c>
    </row>
    <row r="1362" spans="15:19">
      <c r="O1362" s="166">
        <v>478.07999999998799</v>
      </c>
      <c r="P1362" s="169" t="e">
        <f t="shared" si="56"/>
        <v>#NAME?</v>
      </c>
      <c r="Q1362" s="177">
        <v>478.07999999998799</v>
      </c>
      <c r="R1362" s="166">
        <v>478.58999999998798</v>
      </c>
      <c r="S1362" s="166">
        <v>8.3733000000015618</v>
      </c>
    </row>
    <row r="1363" spans="15:19">
      <c r="O1363" s="166">
        <v>478.08999999998798</v>
      </c>
      <c r="P1363" s="169" t="e">
        <f t="shared" si="56"/>
        <v>#NAME?</v>
      </c>
      <c r="Q1363" s="177">
        <v>478.08999999998798</v>
      </c>
      <c r="R1363" s="166">
        <v>478.59999999998797</v>
      </c>
      <c r="S1363" s="166">
        <v>8.3720000000015631</v>
      </c>
    </row>
    <row r="1364" spans="15:19">
      <c r="O1364" s="166">
        <v>478.09999999998797</v>
      </c>
      <c r="P1364" s="169" t="e">
        <f t="shared" si="56"/>
        <v>#NAME?</v>
      </c>
      <c r="Q1364" s="177">
        <v>478.09999999998797</v>
      </c>
      <c r="R1364" s="166">
        <v>478.60999999998802</v>
      </c>
      <c r="S1364" s="166">
        <v>8.3707000000015572</v>
      </c>
    </row>
    <row r="1365" spans="15:19">
      <c r="O1365" s="166">
        <v>478.10999999998802</v>
      </c>
      <c r="P1365" s="169" t="e">
        <f t="shared" si="56"/>
        <v>#NAME?</v>
      </c>
      <c r="Q1365" s="177">
        <v>478.10999999998802</v>
      </c>
      <c r="R1365" s="166">
        <v>478.61999999998801</v>
      </c>
      <c r="S1365" s="166">
        <v>8.3694000000015585</v>
      </c>
    </row>
    <row r="1366" spans="15:19">
      <c r="O1366" s="166">
        <v>478.11999999998801</v>
      </c>
      <c r="P1366" s="169" t="e">
        <f t="shared" si="56"/>
        <v>#NAME?</v>
      </c>
      <c r="Q1366" s="177">
        <v>478.11999999998801</v>
      </c>
      <c r="R1366" s="166">
        <v>478.629999999988</v>
      </c>
      <c r="S1366" s="166">
        <v>8.3681000000015597</v>
      </c>
    </row>
    <row r="1367" spans="15:19">
      <c r="O1367" s="166">
        <v>478.129999999988</v>
      </c>
      <c r="P1367" s="169" t="e">
        <f t="shared" si="56"/>
        <v>#NAME?</v>
      </c>
      <c r="Q1367" s="177">
        <v>478.129999999988</v>
      </c>
      <c r="R1367" s="166">
        <v>478.63999999998799</v>
      </c>
      <c r="S1367" s="166">
        <v>8.366800000001561</v>
      </c>
    </row>
    <row r="1368" spans="15:19">
      <c r="O1368" s="166">
        <v>478.13999999998799</v>
      </c>
      <c r="P1368" s="169" t="e">
        <f t="shared" si="56"/>
        <v>#NAME?</v>
      </c>
      <c r="Q1368" s="177">
        <v>478.13999999998799</v>
      </c>
      <c r="R1368" s="166">
        <v>478.64999999998798</v>
      </c>
      <c r="S1368" s="166">
        <v>8.3655000000015622</v>
      </c>
    </row>
    <row r="1369" spans="15:19">
      <c r="O1369" s="166">
        <v>478.14999999998798</v>
      </c>
      <c r="P1369" s="169" t="e">
        <f t="shared" si="56"/>
        <v>#NAME?</v>
      </c>
      <c r="Q1369" s="177">
        <v>478.14999999998798</v>
      </c>
      <c r="R1369" s="166">
        <v>478.65999999998797</v>
      </c>
      <c r="S1369" s="166">
        <v>8.3642000000015635</v>
      </c>
    </row>
    <row r="1370" spans="15:19">
      <c r="O1370" s="166">
        <v>478.15999999998797</v>
      </c>
      <c r="P1370" s="169" t="e">
        <f t="shared" si="56"/>
        <v>#NAME?</v>
      </c>
      <c r="Q1370" s="177">
        <v>478.15999999998797</v>
      </c>
      <c r="R1370" s="166">
        <v>478.66999999998802</v>
      </c>
      <c r="S1370" s="166">
        <v>8.3629000000015576</v>
      </c>
    </row>
    <row r="1371" spans="15:19">
      <c r="O1371" s="166">
        <v>478.16999999998802</v>
      </c>
      <c r="P1371" s="169" t="e">
        <f t="shared" si="56"/>
        <v>#NAME?</v>
      </c>
      <c r="Q1371" s="177">
        <v>478.16999999998802</v>
      </c>
      <c r="R1371" s="166">
        <v>478.67999999998801</v>
      </c>
      <c r="S1371" s="166">
        <v>8.3616000000015589</v>
      </c>
    </row>
    <row r="1372" spans="15:19">
      <c r="O1372" s="166">
        <v>478.17999999998801</v>
      </c>
      <c r="P1372" s="169" t="e">
        <f t="shared" si="56"/>
        <v>#NAME?</v>
      </c>
      <c r="Q1372" s="177">
        <v>478.17999999998801</v>
      </c>
      <c r="R1372" s="166">
        <v>478.689999999988</v>
      </c>
      <c r="S1372" s="166">
        <v>8.3603000000015602</v>
      </c>
    </row>
    <row r="1373" spans="15:19">
      <c r="O1373" s="166">
        <v>478.18999999998698</v>
      </c>
      <c r="P1373" s="169" t="e">
        <f t="shared" si="56"/>
        <v>#NAME?</v>
      </c>
      <c r="Q1373" s="177">
        <v>478.18999999998698</v>
      </c>
      <c r="R1373" s="166">
        <v>478.69999999998703</v>
      </c>
      <c r="S1373" s="166">
        <v>8.3590000000016857</v>
      </c>
    </row>
    <row r="1374" spans="15:19">
      <c r="O1374" s="166">
        <v>478.19999999998703</v>
      </c>
      <c r="P1374" s="169" t="e">
        <f t="shared" si="56"/>
        <v>#NAME?</v>
      </c>
      <c r="Q1374" s="177">
        <v>478.19999999998703</v>
      </c>
      <c r="R1374" s="166">
        <v>478.70999999998702</v>
      </c>
      <c r="S1374" s="166">
        <v>8.357700000001687</v>
      </c>
    </row>
    <row r="1375" spans="15:19">
      <c r="O1375" s="166">
        <v>478.20999999998702</v>
      </c>
      <c r="P1375" s="169" t="e">
        <f t="shared" si="56"/>
        <v>#NAME?</v>
      </c>
      <c r="Q1375" s="177">
        <v>478.20999999998702</v>
      </c>
      <c r="R1375" s="166">
        <v>478.71999999998701</v>
      </c>
      <c r="S1375" s="166">
        <v>8.3564000000016883</v>
      </c>
    </row>
    <row r="1376" spans="15:19">
      <c r="O1376" s="166">
        <v>478.21999999998798</v>
      </c>
      <c r="P1376" s="169" t="e">
        <f t="shared" si="56"/>
        <v>#NAME?</v>
      </c>
      <c r="Q1376" s="177">
        <v>478.21999999998798</v>
      </c>
      <c r="R1376" s="166">
        <v>478.72999999998802</v>
      </c>
      <c r="S1376" s="166">
        <v>8.3551000000015563</v>
      </c>
    </row>
    <row r="1377" spans="15:19">
      <c r="O1377" s="166">
        <v>478.22999999998802</v>
      </c>
      <c r="P1377" s="169" t="e">
        <f t="shared" si="56"/>
        <v>#NAME?</v>
      </c>
      <c r="Q1377" s="177">
        <v>478.22999999998802</v>
      </c>
      <c r="R1377" s="166">
        <v>478.73999999998802</v>
      </c>
      <c r="S1377" s="166">
        <v>8.3538000000015575</v>
      </c>
    </row>
    <row r="1378" spans="15:19">
      <c r="O1378" s="166">
        <v>478.23999999998802</v>
      </c>
      <c r="P1378" s="169" t="e">
        <f t="shared" si="56"/>
        <v>#NAME?</v>
      </c>
      <c r="Q1378" s="177">
        <v>478.23999999998802</v>
      </c>
      <c r="R1378" s="166">
        <v>478.74999999998698</v>
      </c>
      <c r="S1378" s="166">
        <v>8.352500000001692</v>
      </c>
    </row>
    <row r="1379" spans="15:19">
      <c r="O1379" s="166">
        <v>478.24999999998698</v>
      </c>
      <c r="P1379" s="169" t="e">
        <f t="shared" si="56"/>
        <v>#NAME?</v>
      </c>
      <c r="Q1379" s="177">
        <v>478.24999999998698</v>
      </c>
      <c r="R1379" s="166">
        <v>478.75999999998697</v>
      </c>
      <c r="S1379" s="166">
        <v>8.3512000000016933</v>
      </c>
    </row>
    <row r="1380" spans="15:19">
      <c r="O1380" s="166">
        <v>478.25999999998697</v>
      </c>
      <c r="P1380" s="169" t="e">
        <f t="shared" si="56"/>
        <v>#NAME?</v>
      </c>
      <c r="Q1380" s="177">
        <v>478.25999999998697</v>
      </c>
      <c r="R1380" s="166">
        <v>478.76999999998702</v>
      </c>
      <c r="S1380" s="166">
        <v>8.3499000000016874</v>
      </c>
    </row>
    <row r="1381" spans="15:19">
      <c r="O1381" s="166">
        <v>478.26999999998702</v>
      </c>
      <c r="P1381" s="169" t="e">
        <f t="shared" si="56"/>
        <v>#NAME?</v>
      </c>
      <c r="Q1381" s="177">
        <v>478.26999999998702</v>
      </c>
      <c r="R1381" s="166">
        <v>478.77999999998701</v>
      </c>
      <c r="S1381" s="166">
        <v>8.3486000000016887</v>
      </c>
    </row>
    <row r="1382" spans="15:19">
      <c r="O1382" s="166">
        <v>478.27999999998798</v>
      </c>
      <c r="P1382" s="169" t="e">
        <f t="shared" si="56"/>
        <v>#NAME?</v>
      </c>
      <c r="Q1382" s="177">
        <v>478.27999999998798</v>
      </c>
      <c r="R1382" s="166">
        <v>478.78999999998803</v>
      </c>
      <c r="S1382" s="166">
        <v>8.3473000000015567</v>
      </c>
    </row>
    <row r="1383" spans="15:19">
      <c r="O1383" s="166">
        <v>478.28999999998803</v>
      </c>
      <c r="P1383" s="169" t="e">
        <f t="shared" si="56"/>
        <v>#NAME?</v>
      </c>
      <c r="Q1383" s="177">
        <v>478.28999999998803</v>
      </c>
      <c r="R1383" s="166">
        <v>478.79999999998802</v>
      </c>
      <c r="S1383" s="166">
        <v>8.346000000001558</v>
      </c>
    </row>
    <row r="1384" spans="15:19">
      <c r="O1384" s="166">
        <v>478.29999999998699</v>
      </c>
      <c r="P1384" s="169" t="e">
        <f t="shared" si="56"/>
        <v>#NAME?</v>
      </c>
      <c r="Q1384" s="177">
        <v>478.29999999998699</v>
      </c>
      <c r="R1384" s="166">
        <v>478.80999999998699</v>
      </c>
      <c r="S1384" s="166">
        <v>8.3447000000016924</v>
      </c>
    </row>
    <row r="1385" spans="15:19">
      <c r="O1385" s="166">
        <v>478.30999999998699</v>
      </c>
      <c r="P1385" s="169" t="e">
        <f t="shared" si="56"/>
        <v>#NAME?</v>
      </c>
      <c r="Q1385" s="177">
        <v>478.30999999998699</v>
      </c>
      <c r="R1385" s="166">
        <v>478.81999999998698</v>
      </c>
      <c r="S1385" s="166">
        <v>8.3434000000016937</v>
      </c>
    </row>
    <row r="1386" spans="15:19">
      <c r="O1386" s="166">
        <v>478.31999999998698</v>
      </c>
      <c r="P1386" s="169" t="e">
        <f t="shared" si="56"/>
        <v>#NAME?</v>
      </c>
      <c r="Q1386" s="177">
        <v>478.31999999998698</v>
      </c>
      <c r="R1386" s="166">
        <v>478.82999999998702</v>
      </c>
      <c r="S1386" s="166">
        <v>8.3421000000016878</v>
      </c>
    </row>
    <row r="1387" spans="15:19">
      <c r="O1387" s="166">
        <v>478.32999999998702</v>
      </c>
      <c r="P1387" s="169" t="e">
        <f t="shared" si="56"/>
        <v>#NAME?</v>
      </c>
      <c r="Q1387" s="177">
        <v>478.32999999998702</v>
      </c>
      <c r="R1387" s="166">
        <v>478.83999999998701</v>
      </c>
      <c r="S1387" s="166">
        <v>8.3408000000016891</v>
      </c>
    </row>
    <row r="1388" spans="15:19">
      <c r="O1388" s="166">
        <v>478.33999999998701</v>
      </c>
      <c r="P1388" s="169" t="e">
        <f t="shared" si="56"/>
        <v>#NAME?</v>
      </c>
      <c r="Q1388" s="177">
        <v>478.33999999998701</v>
      </c>
      <c r="R1388" s="166">
        <v>478.84999999998701</v>
      </c>
      <c r="S1388" s="166">
        <v>8.3395000000016886</v>
      </c>
    </row>
    <row r="1389" spans="15:19">
      <c r="O1389" s="166">
        <v>478.34999999998701</v>
      </c>
      <c r="P1389" s="169" t="e">
        <f t="shared" si="56"/>
        <v>#NAME?</v>
      </c>
      <c r="Q1389" s="177">
        <v>478.34999999998701</v>
      </c>
      <c r="R1389" s="166">
        <v>478.859999999987</v>
      </c>
      <c r="S1389" s="166">
        <v>8.3382000000016898</v>
      </c>
    </row>
    <row r="1390" spans="15:19">
      <c r="O1390" s="166">
        <v>478.359999999987</v>
      </c>
      <c r="P1390" s="169" t="e">
        <f t="shared" si="56"/>
        <v>#NAME?</v>
      </c>
      <c r="Q1390" s="177">
        <v>478.359999999987</v>
      </c>
      <c r="R1390" s="166">
        <v>478.86999999998699</v>
      </c>
      <c r="S1390" s="166">
        <v>8.3369000000016911</v>
      </c>
    </row>
    <row r="1391" spans="15:19">
      <c r="O1391" s="166">
        <v>478.36999999998699</v>
      </c>
      <c r="P1391" s="169" t="e">
        <f t="shared" si="56"/>
        <v>#NAME?</v>
      </c>
      <c r="Q1391" s="177">
        <v>478.36999999998699</v>
      </c>
      <c r="R1391" s="166">
        <v>478.87999999998698</v>
      </c>
      <c r="S1391" s="166">
        <v>8.3356000000016923</v>
      </c>
    </row>
    <row r="1392" spans="15:19">
      <c r="O1392" s="166">
        <v>478.37999999998698</v>
      </c>
      <c r="P1392" s="169" t="e">
        <f t="shared" si="56"/>
        <v>#NAME?</v>
      </c>
      <c r="Q1392" s="177">
        <v>478.37999999998698</v>
      </c>
      <c r="R1392" s="166">
        <v>478.88999999998703</v>
      </c>
      <c r="S1392" s="166">
        <v>8.3343000000016865</v>
      </c>
    </row>
    <row r="1393" spans="15:19">
      <c r="O1393" s="166">
        <v>478.38999999998703</v>
      </c>
      <c r="P1393" s="169" t="e">
        <f t="shared" si="56"/>
        <v>#NAME?</v>
      </c>
      <c r="Q1393" s="177">
        <v>478.38999999998703</v>
      </c>
      <c r="R1393" s="166">
        <v>478.89999999998702</v>
      </c>
      <c r="S1393" s="166">
        <v>8.3330000000016877</v>
      </c>
    </row>
    <row r="1394" spans="15:19">
      <c r="O1394" s="166">
        <v>478.39999999998702</v>
      </c>
      <c r="P1394" s="169" t="e">
        <f t="shared" si="56"/>
        <v>#NAME?</v>
      </c>
      <c r="Q1394" s="177">
        <v>478.39999999998702</v>
      </c>
      <c r="R1394" s="166">
        <v>478.90999999998701</v>
      </c>
      <c r="S1394" s="166">
        <v>8.331700000001689</v>
      </c>
    </row>
    <row r="1395" spans="15:19">
      <c r="O1395" s="166">
        <v>478.40999999998701</v>
      </c>
      <c r="P1395" s="169" t="e">
        <f t="shared" si="56"/>
        <v>#NAME?</v>
      </c>
      <c r="Q1395" s="177">
        <v>478.40999999998701</v>
      </c>
      <c r="R1395" s="166">
        <v>478.919999999987</v>
      </c>
      <c r="S1395" s="166">
        <v>8.3304000000016902</v>
      </c>
    </row>
    <row r="1396" spans="15:19">
      <c r="O1396" s="166">
        <v>478.419999999987</v>
      </c>
      <c r="P1396" s="169" t="e">
        <f t="shared" si="56"/>
        <v>#NAME?</v>
      </c>
      <c r="Q1396" s="177">
        <v>478.419999999987</v>
      </c>
      <c r="R1396" s="166">
        <v>478.92999999998699</v>
      </c>
      <c r="S1396" s="166">
        <v>8.3291000000016915</v>
      </c>
    </row>
    <row r="1397" spans="15:19">
      <c r="O1397" s="166">
        <v>478.42999999998699</v>
      </c>
      <c r="P1397" s="169" t="e">
        <f t="shared" si="56"/>
        <v>#NAME?</v>
      </c>
      <c r="Q1397" s="177">
        <v>478.42999999998699</v>
      </c>
      <c r="R1397" s="166">
        <v>478.93999999998698</v>
      </c>
      <c r="S1397" s="166">
        <v>8.3278000000016927</v>
      </c>
    </row>
    <row r="1398" spans="15:19">
      <c r="O1398" s="166">
        <v>478.43999999998698</v>
      </c>
      <c r="P1398" s="169" t="e">
        <f t="shared" si="56"/>
        <v>#NAME?</v>
      </c>
      <c r="Q1398" s="177">
        <v>478.43999999998698</v>
      </c>
      <c r="R1398" s="166">
        <v>478.94999999998703</v>
      </c>
      <c r="S1398" s="166">
        <v>8.3265000000016869</v>
      </c>
    </row>
    <row r="1399" spans="15:19">
      <c r="O1399" s="166">
        <v>478.44999999998703</v>
      </c>
      <c r="P1399" s="169" t="e">
        <f t="shared" si="56"/>
        <v>#NAME?</v>
      </c>
      <c r="Q1399" s="177">
        <v>478.44999999998703</v>
      </c>
      <c r="R1399" s="166">
        <v>478.95999999998702</v>
      </c>
      <c r="S1399" s="166">
        <v>8.3252000000016881</v>
      </c>
    </row>
    <row r="1400" spans="15:19">
      <c r="O1400" s="166">
        <v>478.45999999998702</v>
      </c>
      <c r="P1400" s="169" t="e">
        <f t="shared" si="56"/>
        <v>#NAME?</v>
      </c>
      <c r="Q1400" s="177">
        <v>478.45999999998702</v>
      </c>
      <c r="R1400" s="166">
        <v>478.96999999998701</v>
      </c>
      <c r="S1400" s="166">
        <v>8.3239000000016894</v>
      </c>
    </row>
    <row r="1401" spans="15:19">
      <c r="O1401" s="166">
        <v>478.46999999998701</v>
      </c>
      <c r="P1401" s="169" t="e">
        <f t="shared" si="56"/>
        <v>#NAME?</v>
      </c>
      <c r="Q1401" s="177">
        <v>478.46999999998701</v>
      </c>
      <c r="R1401" s="166">
        <v>478.979999999987</v>
      </c>
      <c r="S1401" s="166">
        <v>8.3226000000016906</v>
      </c>
    </row>
    <row r="1402" spans="15:19">
      <c r="O1402" s="166">
        <v>478.479999999987</v>
      </c>
      <c r="P1402" s="169" t="e">
        <f t="shared" si="56"/>
        <v>#NAME?</v>
      </c>
      <c r="Q1402" s="177">
        <v>478.479999999987</v>
      </c>
      <c r="R1402" s="166">
        <v>478.98999999998699</v>
      </c>
      <c r="S1402" s="166">
        <v>8.3213000000016919</v>
      </c>
    </row>
    <row r="1403" spans="15:19">
      <c r="O1403" s="166">
        <v>478.48999999998699</v>
      </c>
      <c r="P1403" s="169" t="e">
        <f t="shared" si="56"/>
        <v>#NAME?</v>
      </c>
      <c r="Q1403" s="177">
        <v>478.48999999998699</v>
      </c>
      <c r="R1403" s="166">
        <v>478.99999999998698</v>
      </c>
      <c r="S1403" s="166">
        <v>8.3200000000016932</v>
      </c>
    </row>
    <row r="1404" spans="15:19">
      <c r="O1404" s="166">
        <v>478.49999999998698</v>
      </c>
      <c r="P1404" s="169" t="e">
        <f t="shared" si="56"/>
        <v>#NAME?</v>
      </c>
      <c r="Q1404" s="177">
        <v>478.49999999998698</v>
      </c>
      <c r="R1404" s="166">
        <v>479.00999999998697</v>
      </c>
      <c r="S1404" s="166">
        <v>8.3172000000036483</v>
      </c>
    </row>
    <row r="1405" spans="15:19">
      <c r="O1405" s="166">
        <v>478.50999999998697</v>
      </c>
      <c r="P1405" s="169" t="e">
        <f t="shared" si="56"/>
        <v>#NAME?</v>
      </c>
      <c r="Q1405" s="177">
        <v>478.50999999998697</v>
      </c>
      <c r="R1405" s="166">
        <v>479.01999999998702</v>
      </c>
      <c r="S1405" s="166">
        <v>8.3144000000036336</v>
      </c>
    </row>
    <row r="1406" spans="15:19">
      <c r="O1406" s="166">
        <v>478.51999999998702</v>
      </c>
      <c r="P1406" s="169" t="e">
        <f t="shared" si="56"/>
        <v>#NAME?</v>
      </c>
      <c r="Q1406" s="177">
        <v>478.51999999998702</v>
      </c>
      <c r="R1406" s="166">
        <v>479.02999999998701</v>
      </c>
      <c r="S1406" s="166">
        <v>8.3116000000036365</v>
      </c>
    </row>
    <row r="1407" spans="15:19">
      <c r="O1407" s="166">
        <v>478.52999999998701</v>
      </c>
      <c r="P1407" s="169" t="e">
        <f t="shared" si="56"/>
        <v>#NAME?</v>
      </c>
      <c r="Q1407" s="177">
        <v>478.52999999998701</v>
      </c>
      <c r="R1407" s="166">
        <v>479.039999999987</v>
      </c>
      <c r="S1407" s="166">
        <v>8.3088000000036395</v>
      </c>
    </row>
    <row r="1408" spans="15:19">
      <c r="O1408" s="166">
        <v>478.539999999987</v>
      </c>
      <c r="P1408" s="169" t="e">
        <f t="shared" si="56"/>
        <v>#NAME?</v>
      </c>
      <c r="Q1408" s="177">
        <v>478.539999999987</v>
      </c>
      <c r="R1408" s="166">
        <v>479.04999999998699</v>
      </c>
      <c r="S1408" s="166">
        <v>8.3060000000036425</v>
      </c>
    </row>
    <row r="1409" spans="15:19">
      <c r="O1409" s="166">
        <v>478.54999999998699</v>
      </c>
      <c r="P1409" s="169" t="e">
        <f t="shared" si="56"/>
        <v>#NAME?</v>
      </c>
      <c r="Q1409" s="177">
        <v>478.54999999998699</v>
      </c>
      <c r="R1409" s="166">
        <v>479.05999999998699</v>
      </c>
      <c r="S1409" s="166">
        <v>8.3032000000036437</v>
      </c>
    </row>
    <row r="1410" spans="15:19">
      <c r="O1410" s="166">
        <v>478.55999999998699</v>
      </c>
      <c r="P1410" s="169" t="e">
        <f t="shared" si="56"/>
        <v>#NAME?</v>
      </c>
      <c r="Q1410" s="177">
        <v>478.55999999998699</v>
      </c>
      <c r="R1410" s="166">
        <v>479.06999999998698</v>
      </c>
      <c r="S1410" s="166">
        <v>8.3004000000036466</v>
      </c>
    </row>
    <row r="1411" spans="15:19">
      <c r="O1411" s="166">
        <v>478.56999999998698</v>
      </c>
      <c r="P1411" s="169" t="e">
        <f t="shared" si="56"/>
        <v>#NAME?</v>
      </c>
      <c r="Q1411" s="177">
        <v>478.56999999998698</v>
      </c>
      <c r="R1411" s="166">
        <v>479.07999999998702</v>
      </c>
      <c r="S1411" s="166">
        <v>8.2976000000036336</v>
      </c>
    </row>
    <row r="1412" spans="15:19">
      <c r="O1412" s="166">
        <v>478.57999999998702</v>
      </c>
      <c r="P1412" s="169" t="e">
        <f t="shared" ref="P1412:P1475" si="57">VLOOKUP(O1412,THONGSOHO_BTS,2,1)+(VLOOKUP(O1412+5,THONGSOHO_BTS,2,1)-VLOOKUP(O1412,THONGSOHO_BTS,2,1))/5*(O1412-VLOOKUP(O1412,THONGSOHO_BTS,1,1))-264.29</f>
        <v>#NAME?</v>
      </c>
      <c r="Q1412" s="177">
        <v>478.57999999998702</v>
      </c>
      <c r="R1412" s="166">
        <v>479.08999999998701</v>
      </c>
      <c r="S1412" s="166">
        <v>8.2948000000036366</v>
      </c>
    </row>
    <row r="1413" spans="15:19">
      <c r="O1413" s="166">
        <v>478.58999999998701</v>
      </c>
      <c r="P1413" s="169" t="e">
        <f t="shared" si="57"/>
        <v>#NAME?</v>
      </c>
      <c r="Q1413" s="177">
        <v>478.58999999998701</v>
      </c>
      <c r="R1413" s="166">
        <v>479.09999999998701</v>
      </c>
      <c r="S1413" s="166">
        <v>8.2920000000036378</v>
      </c>
    </row>
    <row r="1414" spans="15:19">
      <c r="O1414" s="166">
        <v>478.59999999998701</v>
      </c>
      <c r="P1414" s="169" t="e">
        <f t="shared" si="57"/>
        <v>#NAME?</v>
      </c>
      <c r="Q1414" s="177">
        <v>478.59999999998701</v>
      </c>
      <c r="R1414" s="166">
        <v>479.109999999987</v>
      </c>
      <c r="S1414" s="166">
        <v>8.2892000000036408</v>
      </c>
    </row>
    <row r="1415" spans="15:19">
      <c r="O1415" s="166">
        <v>478.609999999987</v>
      </c>
      <c r="P1415" s="169" t="e">
        <f t="shared" si="57"/>
        <v>#NAME?</v>
      </c>
      <c r="Q1415" s="177">
        <v>478.609999999987</v>
      </c>
      <c r="R1415" s="166">
        <v>479.11999999998699</v>
      </c>
      <c r="S1415" s="166">
        <v>8.2864000000036437</v>
      </c>
    </row>
    <row r="1416" spans="15:19">
      <c r="O1416" s="166">
        <v>478.61999999998699</v>
      </c>
      <c r="P1416" s="169" t="e">
        <f t="shared" si="57"/>
        <v>#NAME?</v>
      </c>
      <c r="Q1416" s="177">
        <v>478.61999999998699</v>
      </c>
      <c r="R1416" s="166">
        <v>479.12999999998698</v>
      </c>
      <c r="S1416" s="166">
        <v>8.2836000000036467</v>
      </c>
    </row>
    <row r="1417" spans="15:19">
      <c r="O1417" s="166">
        <v>478.62999999998698</v>
      </c>
      <c r="P1417" s="169" t="e">
        <f t="shared" si="57"/>
        <v>#NAME?</v>
      </c>
      <c r="Q1417" s="177">
        <v>478.62999999998698</v>
      </c>
      <c r="R1417" s="166">
        <v>479.13999999998703</v>
      </c>
      <c r="S1417" s="166">
        <v>8.2808000000036337</v>
      </c>
    </row>
    <row r="1418" spans="15:19">
      <c r="O1418" s="166">
        <v>478.63999999998703</v>
      </c>
      <c r="P1418" s="169" t="e">
        <f t="shared" si="57"/>
        <v>#NAME?</v>
      </c>
      <c r="Q1418" s="177">
        <v>478.63999999998703</v>
      </c>
      <c r="R1418" s="166">
        <v>479.14999999998702</v>
      </c>
      <c r="S1418" s="166">
        <v>8.2780000000036349</v>
      </c>
    </row>
    <row r="1419" spans="15:19">
      <c r="O1419" s="166">
        <v>478.64999999998702</v>
      </c>
      <c r="P1419" s="169" t="e">
        <f t="shared" si="57"/>
        <v>#NAME?</v>
      </c>
      <c r="Q1419" s="177">
        <v>478.64999999998702</v>
      </c>
      <c r="R1419" s="166">
        <v>479.15999999998701</v>
      </c>
      <c r="S1419" s="166">
        <v>8.2752000000036379</v>
      </c>
    </row>
    <row r="1420" spans="15:19">
      <c r="O1420" s="166">
        <v>478.65999999998701</v>
      </c>
      <c r="P1420" s="169" t="e">
        <f t="shared" si="57"/>
        <v>#NAME?</v>
      </c>
      <c r="Q1420" s="177">
        <v>478.65999999998701</v>
      </c>
      <c r="R1420" s="166">
        <v>479.169999999987</v>
      </c>
      <c r="S1420" s="166">
        <v>8.2724000000036408</v>
      </c>
    </row>
    <row r="1421" spans="15:19">
      <c r="O1421" s="166">
        <v>478.669999999987</v>
      </c>
      <c r="P1421" s="169" t="e">
        <f t="shared" si="57"/>
        <v>#NAME?</v>
      </c>
      <c r="Q1421" s="177">
        <v>478.669999999987</v>
      </c>
      <c r="R1421" s="166">
        <v>479.17999999998699</v>
      </c>
      <c r="S1421" s="166">
        <v>8.2696000000036438</v>
      </c>
    </row>
    <row r="1422" spans="15:19">
      <c r="O1422" s="166">
        <v>478.67999999998699</v>
      </c>
      <c r="P1422" s="169" t="e">
        <f t="shared" si="57"/>
        <v>#NAME?</v>
      </c>
      <c r="Q1422" s="177">
        <v>478.67999999998699</v>
      </c>
      <c r="R1422" s="166">
        <v>479.18999999998698</v>
      </c>
      <c r="S1422" s="166">
        <v>8.266800000003645</v>
      </c>
    </row>
    <row r="1423" spans="15:19">
      <c r="O1423" s="166">
        <v>478.68999999998698</v>
      </c>
      <c r="P1423" s="169" t="e">
        <f t="shared" si="57"/>
        <v>#NAME?</v>
      </c>
      <c r="Q1423" s="177">
        <v>478.68999999998698</v>
      </c>
      <c r="R1423" s="166">
        <v>479.19999999998703</v>
      </c>
      <c r="S1423" s="166">
        <v>8.264000000003632</v>
      </c>
    </row>
    <row r="1424" spans="15:19">
      <c r="O1424" s="166">
        <v>478.69999999998703</v>
      </c>
      <c r="P1424" s="169" t="e">
        <f t="shared" si="57"/>
        <v>#NAME?</v>
      </c>
      <c r="Q1424" s="177">
        <v>478.69999999998703</v>
      </c>
      <c r="R1424" s="166">
        <v>479.20999999998702</v>
      </c>
      <c r="S1424" s="166">
        <v>8.261200000003635</v>
      </c>
    </row>
    <row r="1425" spans="15:19">
      <c r="O1425" s="166">
        <v>478.70999999998702</v>
      </c>
      <c r="P1425" s="169" t="e">
        <f t="shared" si="57"/>
        <v>#NAME?</v>
      </c>
      <c r="Q1425" s="177">
        <v>478.70999999998702</v>
      </c>
      <c r="R1425" s="166">
        <v>479.21999999998701</v>
      </c>
      <c r="S1425" s="166">
        <v>8.2584000000036379</v>
      </c>
    </row>
    <row r="1426" spans="15:19">
      <c r="O1426" s="166">
        <v>478.71999999998701</v>
      </c>
      <c r="P1426" s="169" t="e">
        <f t="shared" si="57"/>
        <v>#NAME?</v>
      </c>
      <c r="Q1426" s="177">
        <v>478.71999999998701</v>
      </c>
      <c r="R1426" s="166">
        <v>479.229999999987</v>
      </c>
      <c r="S1426" s="166">
        <v>8.2556000000036391</v>
      </c>
    </row>
    <row r="1427" spans="15:19">
      <c r="O1427" s="166">
        <v>478.729999999987</v>
      </c>
      <c r="P1427" s="169" t="e">
        <f t="shared" si="57"/>
        <v>#NAME?</v>
      </c>
      <c r="Q1427" s="177">
        <v>478.729999999987</v>
      </c>
      <c r="R1427" s="166">
        <v>479.23999999998699</v>
      </c>
      <c r="S1427" s="166">
        <v>8.2528000000036421</v>
      </c>
    </row>
    <row r="1428" spans="15:19">
      <c r="O1428" s="166">
        <v>478.73999999998699</v>
      </c>
      <c r="P1428" s="169" t="e">
        <f t="shared" si="57"/>
        <v>#NAME?</v>
      </c>
      <c r="Q1428" s="177">
        <v>478.73999999998699</v>
      </c>
      <c r="R1428" s="166">
        <v>479.24999999998698</v>
      </c>
      <c r="S1428" s="166">
        <v>8.2500000000036451</v>
      </c>
    </row>
    <row r="1429" spans="15:19">
      <c r="O1429" s="166">
        <v>478.74999999998698</v>
      </c>
      <c r="P1429" s="169" t="e">
        <f t="shared" si="57"/>
        <v>#NAME?</v>
      </c>
      <c r="Q1429" s="177">
        <v>478.74999999998698</v>
      </c>
      <c r="R1429" s="166">
        <v>479.25999999998697</v>
      </c>
      <c r="S1429" s="166">
        <v>8.2472000000036481</v>
      </c>
    </row>
    <row r="1430" spans="15:19">
      <c r="O1430" s="166">
        <v>478.75999999998697</v>
      </c>
      <c r="P1430" s="169" t="e">
        <f t="shared" si="57"/>
        <v>#NAME?</v>
      </c>
      <c r="Q1430" s="177">
        <v>478.75999999998697</v>
      </c>
      <c r="R1430" s="166">
        <v>479.26999999998702</v>
      </c>
      <c r="S1430" s="166">
        <v>8.2444000000036333</v>
      </c>
    </row>
    <row r="1431" spans="15:19">
      <c r="O1431" s="166">
        <v>478.76999999998702</v>
      </c>
      <c r="P1431" s="169" t="e">
        <f t="shared" si="57"/>
        <v>#NAME?</v>
      </c>
      <c r="Q1431" s="177">
        <v>478.76999999998702</v>
      </c>
      <c r="R1431" s="166">
        <v>479.27999999998701</v>
      </c>
      <c r="S1431" s="166">
        <v>8.2416000000036362</v>
      </c>
    </row>
    <row r="1432" spans="15:19">
      <c r="O1432" s="166">
        <v>478.77999999998701</v>
      </c>
      <c r="P1432" s="169" t="e">
        <f t="shared" si="57"/>
        <v>#NAME?</v>
      </c>
      <c r="Q1432" s="177">
        <v>478.77999999998701</v>
      </c>
      <c r="R1432" s="166">
        <v>479.289999999987</v>
      </c>
      <c r="S1432" s="166">
        <v>8.2388000000036392</v>
      </c>
    </row>
    <row r="1433" spans="15:19">
      <c r="O1433" s="166">
        <v>478.789999999987</v>
      </c>
      <c r="P1433" s="169" t="e">
        <f t="shared" si="57"/>
        <v>#NAME?</v>
      </c>
      <c r="Q1433" s="177">
        <v>478.789999999987</v>
      </c>
      <c r="R1433" s="166">
        <v>479.29999999998699</v>
      </c>
      <c r="S1433" s="166">
        <v>8.2360000000036422</v>
      </c>
    </row>
    <row r="1434" spans="15:19">
      <c r="O1434" s="166">
        <v>478.79999999998699</v>
      </c>
      <c r="P1434" s="169" t="e">
        <f t="shared" si="57"/>
        <v>#NAME?</v>
      </c>
      <c r="Q1434" s="177">
        <v>478.79999999998699</v>
      </c>
      <c r="R1434" s="166">
        <v>479.30999999998699</v>
      </c>
      <c r="S1434" s="166">
        <v>8.2332000000036434</v>
      </c>
    </row>
    <row r="1435" spans="15:19">
      <c r="O1435" s="166">
        <v>478.80999999998699</v>
      </c>
      <c r="P1435" s="169" t="e">
        <f t="shared" si="57"/>
        <v>#NAME?</v>
      </c>
      <c r="Q1435" s="177">
        <v>478.80999999998699</v>
      </c>
      <c r="R1435" s="166">
        <v>479.31999999998698</v>
      </c>
      <c r="S1435" s="166">
        <v>8.2304000000036464</v>
      </c>
    </row>
    <row r="1436" spans="15:19">
      <c r="O1436" s="166">
        <v>478.81999999998698</v>
      </c>
      <c r="P1436" s="169" t="e">
        <f t="shared" si="57"/>
        <v>#NAME?</v>
      </c>
      <c r="Q1436" s="177">
        <v>478.81999999998698</v>
      </c>
      <c r="R1436" s="166">
        <v>479.32999999998702</v>
      </c>
      <c r="S1436" s="166">
        <v>8.2276000000036333</v>
      </c>
    </row>
    <row r="1437" spans="15:19">
      <c r="O1437" s="166">
        <v>478.82999999998702</v>
      </c>
      <c r="P1437" s="169" t="e">
        <f t="shared" si="57"/>
        <v>#NAME?</v>
      </c>
      <c r="Q1437" s="177">
        <v>478.82999999998702</v>
      </c>
      <c r="R1437" s="166">
        <v>479.33999999998701</v>
      </c>
      <c r="S1437" s="166">
        <v>8.2248000000036363</v>
      </c>
    </row>
    <row r="1438" spans="15:19">
      <c r="O1438" s="166">
        <v>478.83999999998701</v>
      </c>
      <c r="P1438" s="169" t="e">
        <f t="shared" si="57"/>
        <v>#NAME?</v>
      </c>
      <c r="Q1438" s="177">
        <v>478.83999999998701</v>
      </c>
      <c r="R1438" s="166">
        <v>479.34999999998701</v>
      </c>
      <c r="S1438" s="166">
        <v>8.2220000000036375</v>
      </c>
    </row>
    <row r="1439" spans="15:19">
      <c r="O1439" s="166">
        <v>478.84999999998701</v>
      </c>
      <c r="P1439" s="169" t="e">
        <f t="shared" si="57"/>
        <v>#NAME?</v>
      </c>
      <c r="Q1439" s="177">
        <v>478.84999999998701</v>
      </c>
      <c r="R1439" s="166">
        <v>479.359999999987</v>
      </c>
      <c r="S1439" s="166">
        <v>8.2192000000036405</v>
      </c>
    </row>
    <row r="1440" spans="15:19">
      <c r="O1440" s="166">
        <v>478.859999999987</v>
      </c>
      <c r="P1440" s="169" t="e">
        <f t="shared" si="57"/>
        <v>#NAME?</v>
      </c>
      <c r="Q1440" s="177">
        <v>478.859999999987</v>
      </c>
      <c r="R1440" s="166">
        <v>479.36999999998699</v>
      </c>
      <c r="S1440" s="166">
        <v>8.2164000000036435</v>
      </c>
    </row>
    <row r="1441" spans="15:19">
      <c r="O1441" s="166">
        <v>478.86999999998699</v>
      </c>
      <c r="P1441" s="169" t="e">
        <f t="shared" si="57"/>
        <v>#NAME?</v>
      </c>
      <c r="Q1441" s="177">
        <v>478.86999999998699</v>
      </c>
      <c r="R1441" s="166">
        <v>479.37999999998698</v>
      </c>
      <c r="S1441" s="166">
        <v>8.2136000000036464</v>
      </c>
    </row>
    <row r="1442" spans="15:19">
      <c r="O1442" s="166">
        <v>478.87999999998698</v>
      </c>
      <c r="P1442" s="169" t="e">
        <f t="shared" si="57"/>
        <v>#NAME?</v>
      </c>
      <c r="Q1442" s="177">
        <v>478.87999999998698</v>
      </c>
      <c r="R1442" s="166">
        <v>479.38999999998703</v>
      </c>
      <c r="S1442" s="166">
        <v>8.2108000000036334</v>
      </c>
    </row>
    <row r="1443" spans="15:19">
      <c r="O1443" s="166">
        <v>478.88999999998703</v>
      </c>
      <c r="P1443" s="169" t="e">
        <f t="shared" si="57"/>
        <v>#NAME?</v>
      </c>
      <c r="Q1443" s="177">
        <v>478.88999999998703</v>
      </c>
      <c r="R1443" s="166">
        <v>479.39999999998702</v>
      </c>
      <c r="S1443" s="166">
        <v>8.2080000000036346</v>
      </c>
    </row>
    <row r="1444" spans="15:19">
      <c r="O1444" s="166">
        <v>478.89999999998702</v>
      </c>
      <c r="P1444" s="169" t="e">
        <f t="shared" si="57"/>
        <v>#NAME?</v>
      </c>
      <c r="Q1444" s="177">
        <v>478.89999999998702</v>
      </c>
      <c r="R1444" s="166">
        <v>479.40999999998701</v>
      </c>
      <c r="S1444" s="166">
        <v>8.2052000000036376</v>
      </c>
    </row>
    <row r="1445" spans="15:19">
      <c r="O1445" s="166">
        <v>478.90999999998701</v>
      </c>
      <c r="P1445" s="169" t="e">
        <f t="shared" si="57"/>
        <v>#NAME?</v>
      </c>
      <c r="Q1445" s="177">
        <v>478.90999999998701</v>
      </c>
      <c r="R1445" s="166">
        <v>479.419999999987</v>
      </c>
      <c r="S1445" s="166">
        <v>8.2024000000036406</v>
      </c>
    </row>
    <row r="1446" spans="15:19">
      <c r="O1446" s="166">
        <v>478.919999999987</v>
      </c>
      <c r="P1446" s="169" t="e">
        <f t="shared" si="57"/>
        <v>#NAME?</v>
      </c>
      <c r="Q1446" s="177">
        <v>478.919999999987</v>
      </c>
      <c r="R1446" s="166">
        <v>479.42999999998699</v>
      </c>
      <c r="S1446" s="166">
        <v>8.1996000000036435</v>
      </c>
    </row>
    <row r="1447" spans="15:19">
      <c r="O1447" s="166">
        <v>478.92999999998699</v>
      </c>
      <c r="P1447" s="169" t="e">
        <f t="shared" si="57"/>
        <v>#NAME?</v>
      </c>
      <c r="Q1447" s="177">
        <v>478.92999999998699</v>
      </c>
      <c r="R1447" s="166">
        <v>479.43999999998698</v>
      </c>
      <c r="S1447" s="166">
        <v>8.1968000000036447</v>
      </c>
    </row>
    <row r="1448" spans="15:19">
      <c r="O1448" s="166">
        <v>478.93999999998698</v>
      </c>
      <c r="P1448" s="169" t="e">
        <f t="shared" si="57"/>
        <v>#NAME?</v>
      </c>
      <c r="Q1448" s="177">
        <v>478.93999999998698</v>
      </c>
      <c r="R1448" s="166">
        <v>479.44999999998703</v>
      </c>
      <c r="S1448" s="166">
        <v>8.1940000000036317</v>
      </c>
    </row>
    <row r="1449" spans="15:19">
      <c r="O1449" s="166">
        <v>478.94999999998703</v>
      </c>
      <c r="P1449" s="169" t="e">
        <f t="shared" si="57"/>
        <v>#NAME?</v>
      </c>
      <c r="Q1449" s="177">
        <v>478.94999999998703</v>
      </c>
      <c r="R1449" s="166">
        <v>479.45999999998702</v>
      </c>
      <c r="S1449" s="166">
        <v>8.1912000000036347</v>
      </c>
    </row>
    <row r="1450" spans="15:19">
      <c r="O1450" s="166">
        <v>478.95999999998702</v>
      </c>
      <c r="P1450" s="169" t="e">
        <f t="shared" si="57"/>
        <v>#NAME?</v>
      </c>
      <c r="Q1450" s="177">
        <v>478.95999999998702</v>
      </c>
      <c r="R1450" s="166">
        <v>479.46999999998701</v>
      </c>
      <c r="S1450" s="166">
        <v>8.1884000000036377</v>
      </c>
    </row>
    <row r="1451" spans="15:19">
      <c r="O1451" s="166">
        <v>478.96999999998701</v>
      </c>
      <c r="P1451" s="169" t="e">
        <f t="shared" si="57"/>
        <v>#NAME?</v>
      </c>
      <c r="Q1451" s="177">
        <v>478.96999999998701</v>
      </c>
      <c r="R1451" s="166">
        <v>479.479999999987</v>
      </c>
      <c r="S1451" s="166">
        <v>8.1856000000036389</v>
      </c>
    </row>
    <row r="1452" spans="15:19">
      <c r="O1452" s="166">
        <v>478.979999999987</v>
      </c>
      <c r="P1452" s="169" t="e">
        <f t="shared" si="57"/>
        <v>#NAME?</v>
      </c>
      <c r="Q1452" s="177">
        <v>478.979999999987</v>
      </c>
      <c r="R1452" s="166">
        <v>479.48999999998699</v>
      </c>
      <c r="S1452" s="166">
        <v>8.1828000000036418</v>
      </c>
    </row>
    <row r="1453" spans="15:19">
      <c r="O1453" s="166">
        <v>478.98999999998699</v>
      </c>
      <c r="P1453" s="169" t="e">
        <f t="shared" si="57"/>
        <v>#NAME?</v>
      </c>
      <c r="Q1453" s="177">
        <v>478.98999999998699</v>
      </c>
      <c r="R1453" s="166">
        <v>479.49999999998698</v>
      </c>
      <c r="S1453" s="166">
        <v>8.1800000000036448</v>
      </c>
    </row>
    <row r="1454" spans="15:19">
      <c r="O1454" s="166">
        <v>478.99999999998698</v>
      </c>
      <c r="P1454" s="169" t="e">
        <f t="shared" si="57"/>
        <v>#NAME?</v>
      </c>
      <c r="Q1454" s="177">
        <v>478.99999999998698</v>
      </c>
      <c r="R1454" s="166">
        <v>479.50999999998697</v>
      </c>
      <c r="S1454" s="166">
        <v>8.1772000000036478</v>
      </c>
    </row>
    <row r="1455" spans="15:19">
      <c r="O1455" s="166">
        <v>479.00999999998697</v>
      </c>
      <c r="P1455" s="169" t="e">
        <f t="shared" si="57"/>
        <v>#NAME?</v>
      </c>
      <c r="Q1455" s="177">
        <v>479.00999999998697</v>
      </c>
      <c r="R1455" s="166">
        <v>479.51999999998702</v>
      </c>
      <c r="S1455" s="166">
        <v>8.174400000003633</v>
      </c>
    </row>
    <row r="1456" spans="15:19">
      <c r="O1456" s="166">
        <v>479.01999999998702</v>
      </c>
      <c r="P1456" s="169" t="e">
        <f t="shared" si="57"/>
        <v>#NAME?</v>
      </c>
      <c r="Q1456" s="177">
        <v>479.01999999998702</v>
      </c>
      <c r="R1456" s="166">
        <v>479.52999999998701</v>
      </c>
      <c r="S1456" s="166">
        <v>8.171600000003636</v>
      </c>
    </row>
    <row r="1457" spans="15:19">
      <c r="O1457" s="166">
        <v>479.02999999998701</v>
      </c>
      <c r="P1457" s="169" t="e">
        <f t="shared" si="57"/>
        <v>#NAME?</v>
      </c>
      <c r="Q1457" s="177">
        <v>479.02999999998701</v>
      </c>
      <c r="R1457" s="166">
        <v>479.539999999987</v>
      </c>
      <c r="S1457" s="166">
        <v>8.1688000000036389</v>
      </c>
    </row>
    <row r="1458" spans="15:19">
      <c r="O1458" s="166">
        <v>479.039999999987</v>
      </c>
      <c r="P1458" s="169" t="e">
        <f t="shared" si="57"/>
        <v>#NAME?</v>
      </c>
      <c r="Q1458" s="177">
        <v>479.039999999987</v>
      </c>
      <c r="R1458" s="166">
        <v>479.54999999998699</v>
      </c>
      <c r="S1458" s="166">
        <v>8.1660000000036419</v>
      </c>
    </row>
    <row r="1459" spans="15:19">
      <c r="O1459" s="166">
        <v>479.04999999998699</v>
      </c>
      <c r="P1459" s="169" t="e">
        <f t="shared" si="57"/>
        <v>#NAME?</v>
      </c>
      <c r="Q1459" s="177">
        <v>479.04999999998699</v>
      </c>
      <c r="R1459" s="166">
        <v>479.55999999998699</v>
      </c>
      <c r="S1459" s="166">
        <v>8.1632000000036431</v>
      </c>
    </row>
    <row r="1460" spans="15:19">
      <c r="O1460" s="166">
        <v>479.05999999998699</v>
      </c>
      <c r="P1460" s="169" t="e">
        <f t="shared" si="57"/>
        <v>#NAME?</v>
      </c>
      <c r="Q1460" s="177">
        <v>479.05999999998699</v>
      </c>
      <c r="R1460" s="166">
        <v>479.56999999998698</v>
      </c>
      <c r="S1460" s="166">
        <v>8.1604000000036461</v>
      </c>
    </row>
    <row r="1461" spans="15:19">
      <c r="O1461" s="166">
        <v>479.06999999998698</v>
      </c>
      <c r="P1461" s="169" t="e">
        <f t="shared" si="57"/>
        <v>#NAME?</v>
      </c>
      <c r="Q1461" s="177">
        <v>479.06999999998698</v>
      </c>
      <c r="R1461" s="166">
        <v>479.57999999998702</v>
      </c>
      <c r="S1461" s="166">
        <v>8.1576000000036331</v>
      </c>
    </row>
    <row r="1462" spans="15:19">
      <c r="O1462" s="166">
        <v>479.07999999998702</v>
      </c>
      <c r="P1462" s="169" t="e">
        <f t="shared" si="57"/>
        <v>#NAME?</v>
      </c>
      <c r="Q1462" s="177">
        <v>479.07999999998702</v>
      </c>
      <c r="R1462" s="166">
        <v>479.58999999998701</v>
      </c>
      <c r="S1462" s="166">
        <v>8.154800000003636</v>
      </c>
    </row>
    <row r="1463" spans="15:19">
      <c r="O1463" s="166">
        <v>479.08999999998701</v>
      </c>
      <c r="P1463" s="169" t="e">
        <f t="shared" si="57"/>
        <v>#NAME?</v>
      </c>
      <c r="Q1463" s="177">
        <v>479.08999999998701</v>
      </c>
      <c r="R1463" s="166">
        <v>479.59999999998701</v>
      </c>
      <c r="S1463" s="166">
        <v>8.1520000000036372</v>
      </c>
    </row>
    <row r="1464" spans="15:19">
      <c r="O1464" s="166">
        <v>479.09999999998701</v>
      </c>
      <c r="P1464" s="169" t="e">
        <f t="shared" si="57"/>
        <v>#NAME?</v>
      </c>
      <c r="Q1464" s="177">
        <v>479.09999999998701</v>
      </c>
      <c r="R1464" s="166">
        <v>479.609999999987</v>
      </c>
      <c r="S1464" s="166">
        <v>8.1492000000036402</v>
      </c>
    </row>
    <row r="1465" spans="15:19">
      <c r="O1465" s="166">
        <v>479.109999999987</v>
      </c>
      <c r="P1465" s="169" t="e">
        <f t="shared" si="57"/>
        <v>#NAME?</v>
      </c>
      <c r="Q1465" s="177">
        <v>479.109999999987</v>
      </c>
      <c r="R1465" s="166">
        <v>479.61999999998699</v>
      </c>
      <c r="S1465" s="166">
        <v>8.1464000000036432</v>
      </c>
    </row>
    <row r="1466" spans="15:19">
      <c r="O1466" s="166">
        <v>479.11999999998699</v>
      </c>
      <c r="P1466" s="169" t="e">
        <f t="shared" si="57"/>
        <v>#NAME?</v>
      </c>
      <c r="Q1466" s="177">
        <v>479.11999999998699</v>
      </c>
      <c r="R1466" s="166">
        <v>479.62999999998698</v>
      </c>
      <c r="S1466" s="166">
        <v>8.1436000000036461</v>
      </c>
    </row>
    <row r="1467" spans="15:19">
      <c r="O1467" s="166">
        <v>479.12999999998698</v>
      </c>
      <c r="P1467" s="169" t="e">
        <f t="shared" si="57"/>
        <v>#NAME?</v>
      </c>
      <c r="Q1467" s="177">
        <v>479.12999999998698</v>
      </c>
      <c r="R1467" s="166">
        <v>479.63999999998703</v>
      </c>
      <c r="S1467" s="166">
        <v>8.1408000000036331</v>
      </c>
    </row>
    <row r="1468" spans="15:19">
      <c r="O1468" s="166">
        <v>479.13999999998703</v>
      </c>
      <c r="P1468" s="169" t="e">
        <f t="shared" si="57"/>
        <v>#NAME?</v>
      </c>
      <c r="Q1468" s="177">
        <v>479.13999999998703</v>
      </c>
      <c r="R1468" s="166">
        <v>479.64999999998702</v>
      </c>
      <c r="S1468" s="166">
        <v>8.1380000000036343</v>
      </c>
    </row>
    <row r="1469" spans="15:19">
      <c r="O1469" s="166">
        <v>479.14999999998702</v>
      </c>
      <c r="P1469" s="169" t="e">
        <f t="shared" si="57"/>
        <v>#NAME?</v>
      </c>
      <c r="Q1469" s="177">
        <v>479.14999999998702</v>
      </c>
      <c r="R1469" s="166">
        <v>479.65999999998701</v>
      </c>
      <c r="S1469" s="166">
        <v>8.1352000000036373</v>
      </c>
    </row>
    <row r="1470" spans="15:19">
      <c r="O1470" s="166">
        <v>479.15999999998701</v>
      </c>
      <c r="P1470" s="169" t="e">
        <f t="shared" si="57"/>
        <v>#NAME?</v>
      </c>
      <c r="Q1470" s="177">
        <v>479.15999999998701</v>
      </c>
      <c r="R1470" s="166">
        <v>479.669999999987</v>
      </c>
      <c r="S1470" s="166">
        <v>8.1324000000036403</v>
      </c>
    </row>
    <row r="1471" spans="15:19">
      <c r="O1471" s="166">
        <v>479.169999999987</v>
      </c>
      <c r="P1471" s="169" t="e">
        <f t="shared" si="57"/>
        <v>#NAME?</v>
      </c>
      <c r="Q1471" s="177">
        <v>479.169999999987</v>
      </c>
      <c r="R1471" s="166">
        <v>479.67999999998699</v>
      </c>
      <c r="S1471" s="166">
        <v>8.1296000000036432</v>
      </c>
    </row>
    <row r="1472" spans="15:19">
      <c r="O1472" s="166">
        <v>479.17999999998699</v>
      </c>
      <c r="P1472" s="169" t="e">
        <f t="shared" si="57"/>
        <v>#NAME?</v>
      </c>
      <c r="Q1472" s="177">
        <v>479.17999999998699</v>
      </c>
      <c r="R1472" s="166">
        <v>479.68999999998698</v>
      </c>
      <c r="S1472" s="166">
        <v>8.1268000000036444</v>
      </c>
    </row>
    <row r="1473" spans="15:19">
      <c r="O1473" s="166">
        <v>479.18999999998698</v>
      </c>
      <c r="P1473" s="169" t="e">
        <f t="shared" si="57"/>
        <v>#NAME?</v>
      </c>
      <c r="Q1473" s="177">
        <v>479.18999999998698</v>
      </c>
      <c r="R1473" s="166">
        <v>479.69999999998703</v>
      </c>
      <c r="S1473" s="166">
        <v>8.1240000000036314</v>
      </c>
    </row>
    <row r="1474" spans="15:19">
      <c r="O1474" s="166">
        <v>479.19999999998703</v>
      </c>
      <c r="P1474" s="169" t="e">
        <f t="shared" si="57"/>
        <v>#NAME?</v>
      </c>
      <c r="Q1474" s="177">
        <v>479.19999999998703</v>
      </c>
      <c r="R1474" s="166">
        <v>479.70999999998702</v>
      </c>
      <c r="S1474" s="166">
        <v>8.1212000000036344</v>
      </c>
    </row>
    <row r="1475" spans="15:19">
      <c r="O1475" s="166">
        <v>479.20999999998702</v>
      </c>
      <c r="P1475" s="169" t="e">
        <f t="shared" si="57"/>
        <v>#NAME?</v>
      </c>
      <c r="Q1475" s="177">
        <v>479.20999999998702</v>
      </c>
      <c r="R1475" s="166">
        <v>479.71999999998701</v>
      </c>
      <c r="S1475" s="166">
        <v>8.1184000000036374</v>
      </c>
    </row>
    <row r="1476" spans="15:19">
      <c r="O1476" s="166">
        <v>479.21999999998701</v>
      </c>
      <c r="P1476" s="169" t="e">
        <f t="shared" ref="P1476:P1539" si="58">VLOOKUP(O1476,THONGSOHO_BTS,2,1)+(VLOOKUP(O1476+5,THONGSOHO_BTS,2,1)-VLOOKUP(O1476,THONGSOHO_BTS,2,1))/5*(O1476-VLOOKUP(O1476,THONGSOHO_BTS,1,1))-264.29</f>
        <v>#NAME?</v>
      </c>
      <c r="Q1476" s="177">
        <v>479.21999999998701</v>
      </c>
      <c r="R1476" s="166">
        <v>479.729999999987</v>
      </c>
      <c r="S1476" s="166">
        <v>8.1156000000036386</v>
      </c>
    </row>
    <row r="1477" spans="15:19">
      <c r="O1477" s="166">
        <v>479.229999999987</v>
      </c>
      <c r="P1477" s="169" t="e">
        <f t="shared" si="58"/>
        <v>#NAME?</v>
      </c>
      <c r="Q1477" s="177">
        <v>479.229999999987</v>
      </c>
      <c r="R1477" s="166">
        <v>479.73999999998699</v>
      </c>
      <c r="S1477" s="166">
        <v>8.1128000000036415</v>
      </c>
    </row>
    <row r="1478" spans="15:19">
      <c r="O1478" s="166">
        <v>479.23999999998699</v>
      </c>
      <c r="P1478" s="169" t="e">
        <f t="shared" si="58"/>
        <v>#NAME?</v>
      </c>
      <c r="Q1478" s="177">
        <v>479.23999999998699</v>
      </c>
      <c r="R1478" s="166">
        <v>479.74999999998698</v>
      </c>
      <c r="S1478" s="166">
        <v>8.1100000000036445</v>
      </c>
    </row>
    <row r="1479" spans="15:19">
      <c r="O1479" s="166">
        <v>479.24999999998698</v>
      </c>
      <c r="P1479" s="169" t="e">
        <f t="shared" si="58"/>
        <v>#NAME?</v>
      </c>
      <c r="Q1479" s="177">
        <v>479.24999999998698</v>
      </c>
      <c r="R1479" s="166">
        <v>479.75999999998697</v>
      </c>
      <c r="S1479" s="166">
        <v>8.1072000000036475</v>
      </c>
    </row>
    <row r="1480" spans="15:19">
      <c r="O1480" s="166">
        <v>479.25999999998697</v>
      </c>
      <c r="P1480" s="169" t="e">
        <f t="shared" si="58"/>
        <v>#NAME?</v>
      </c>
      <c r="Q1480" s="177">
        <v>479.25999999998697</v>
      </c>
      <c r="R1480" s="166">
        <v>479.76999999998702</v>
      </c>
      <c r="S1480" s="166">
        <v>8.1044000000036327</v>
      </c>
    </row>
    <row r="1481" spans="15:19">
      <c r="O1481" s="166">
        <v>479.26999999998702</v>
      </c>
      <c r="P1481" s="169" t="e">
        <f t="shared" si="58"/>
        <v>#NAME?</v>
      </c>
      <c r="Q1481" s="177">
        <v>479.26999999998702</v>
      </c>
      <c r="R1481" s="166">
        <v>479.77999999998701</v>
      </c>
      <c r="S1481" s="166">
        <v>8.1016000000036357</v>
      </c>
    </row>
    <row r="1482" spans="15:19">
      <c r="O1482" s="166">
        <v>479.27999999998701</v>
      </c>
      <c r="P1482" s="169" t="e">
        <f t="shared" si="58"/>
        <v>#NAME?</v>
      </c>
      <c r="Q1482" s="177">
        <v>479.27999999998701</v>
      </c>
      <c r="R1482" s="166">
        <v>479.789999999987</v>
      </c>
      <c r="S1482" s="166">
        <v>8.0988000000036386</v>
      </c>
    </row>
    <row r="1483" spans="15:19">
      <c r="O1483" s="166">
        <v>479.28999999998598</v>
      </c>
      <c r="P1483" s="169" t="e">
        <f t="shared" si="58"/>
        <v>#NAME?</v>
      </c>
      <c r="Q1483" s="177">
        <v>479.28999999998598</v>
      </c>
      <c r="R1483" s="166">
        <v>479.79999999998603</v>
      </c>
      <c r="S1483" s="166">
        <v>8.0960000000039116</v>
      </c>
    </row>
    <row r="1484" spans="15:19">
      <c r="O1484" s="166">
        <v>479.29999999998603</v>
      </c>
      <c r="P1484" s="169" t="e">
        <f t="shared" si="58"/>
        <v>#NAME?</v>
      </c>
      <c r="Q1484" s="177">
        <v>479.29999999998603</v>
      </c>
      <c r="R1484" s="166">
        <v>479.80999999998602</v>
      </c>
      <c r="S1484" s="166">
        <v>8.0932000000039146</v>
      </c>
    </row>
    <row r="1485" spans="15:19">
      <c r="O1485" s="166">
        <v>479.30999999998602</v>
      </c>
      <c r="P1485" s="169" t="e">
        <f t="shared" si="58"/>
        <v>#NAME?</v>
      </c>
      <c r="Q1485" s="177">
        <v>479.30999999998602</v>
      </c>
      <c r="R1485" s="166">
        <v>479.81999999998601</v>
      </c>
      <c r="S1485" s="166">
        <v>8.0904000000039158</v>
      </c>
    </row>
    <row r="1486" spans="15:19">
      <c r="O1486" s="166">
        <v>479.31999999998698</v>
      </c>
      <c r="P1486" s="169" t="e">
        <f t="shared" si="58"/>
        <v>#NAME?</v>
      </c>
      <c r="Q1486" s="177">
        <v>479.31999999998698</v>
      </c>
      <c r="R1486" s="166">
        <v>479.82999999998702</v>
      </c>
      <c r="S1486" s="166">
        <v>8.0876000000036328</v>
      </c>
    </row>
    <row r="1487" spans="15:19">
      <c r="O1487" s="166">
        <v>479.32999999998702</v>
      </c>
      <c r="P1487" s="169" t="e">
        <f t="shared" si="58"/>
        <v>#NAME?</v>
      </c>
      <c r="Q1487" s="177">
        <v>479.32999999998702</v>
      </c>
      <c r="R1487" s="166">
        <v>479.83999999998701</v>
      </c>
      <c r="S1487" s="166">
        <v>8.0848000000036357</v>
      </c>
    </row>
    <row r="1488" spans="15:19">
      <c r="O1488" s="166">
        <v>479.33999999998701</v>
      </c>
      <c r="P1488" s="169" t="e">
        <f t="shared" si="58"/>
        <v>#NAME?</v>
      </c>
      <c r="Q1488" s="177">
        <v>479.33999999998701</v>
      </c>
      <c r="R1488" s="166">
        <v>479.84999999998598</v>
      </c>
      <c r="S1488" s="166">
        <v>8.0820000000039247</v>
      </c>
    </row>
    <row r="1489" spans="15:19">
      <c r="O1489" s="166">
        <v>479.34999999998598</v>
      </c>
      <c r="P1489" s="169" t="e">
        <f t="shared" si="58"/>
        <v>#NAME?</v>
      </c>
      <c r="Q1489" s="177">
        <v>479.34999999998598</v>
      </c>
      <c r="R1489" s="166">
        <v>479.85999999998597</v>
      </c>
      <c r="S1489" s="166">
        <v>8.0792000000039259</v>
      </c>
    </row>
    <row r="1490" spans="15:19">
      <c r="O1490" s="166">
        <v>479.35999999998597</v>
      </c>
      <c r="P1490" s="169" t="e">
        <f t="shared" si="58"/>
        <v>#NAME?</v>
      </c>
      <c r="Q1490" s="177">
        <v>479.35999999998597</v>
      </c>
      <c r="R1490" s="166">
        <v>479.86999999998602</v>
      </c>
      <c r="S1490" s="166">
        <v>8.0764000000039129</v>
      </c>
    </row>
    <row r="1491" spans="15:19">
      <c r="O1491" s="166">
        <v>479.36999999998602</v>
      </c>
      <c r="P1491" s="169" t="e">
        <f t="shared" si="58"/>
        <v>#NAME?</v>
      </c>
      <c r="Q1491" s="177">
        <v>479.36999999998602</v>
      </c>
      <c r="R1491" s="166">
        <v>479.87999999998601</v>
      </c>
      <c r="S1491" s="166">
        <v>8.0736000000039159</v>
      </c>
    </row>
    <row r="1492" spans="15:19">
      <c r="O1492" s="166">
        <v>479.37999999998698</v>
      </c>
      <c r="P1492" s="169" t="e">
        <f t="shared" si="58"/>
        <v>#NAME?</v>
      </c>
      <c r="Q1492" s="177">
        <v>479.37999999998698</v>
      </c>
      <c r="R1492" s="166">
        <v>479.88999999998703</v>
      </c>
      <c r="S1492" s="166">
        <v>8.0708000000036328</v>
      </c>
    </row>
    <row r="1493" spans="15:19">
      <c r="O1493" s="166">
        <v>479.38999999998703</v>
      </c>
      <c r="P1493" s="169" t="e">
        <f t="shared" si="58"/>
        <v>#NAME?</v>
      </c>
      <c r="Q1493" s="177">
        <v>479.38999999998703</v>
      </c>
      <c r="R1493" s="166">
        <v>479.89999999998702</v>
      </c>
      <c r="S1493" s="166">
        <v>8.068000000003634</v>
      </c>
    </row>
    <row r="1494" spans="15:19">
      <c r="O1494" s="166">
        <v>479.39999999998599</v>
      </c>
      <c r="P1494" s="169" t="e">
        <f t="shared" si="58"/>
        <v>#NAME?</v>
      </c>
      <c r="Q1494" s="177">
        <v>479.39999999998599</v>
      </c>
      <c r="R1494" s="166">
        <v>479.90999999998598</v>
      </c>
      <c r="S1494" s="166">
        <v>8.065200000003923</v>
      </c>
    </row>
    <row r="1495" spans="15:19">
      <c r="O1495" s="166">
        <v>479.40999999998598</v>
      </c>
      <c r="P1495" s="169" t="e">
        <f t="shared" si="58"/>
        <v>#NAME?</v>
      </c>
      <c r="Q1495" s="177">
        <v>479.40999999998598</v>
      </c>
      <c r="R1495" s="166">
        <v>479.91999999998598</v>
      </c>
      <c r="S1495" s="166">
        <v>8.062400000003926</v>
      </c>
    </row>
    <row r="1496" spans="15:19">
      <c r="O1496" s="166">
        <v>479.41999999998598</v>
      </c>
      <c r="P1496" s="169" t="e">
        <f t="shared" si="58"/>
        <v>#NAME?</v>
      </c>
      <c r="Q1496" s="177">
        <v>479.41999999998598</v>
      </c>
      <c r="R1496" s="166">
        <v>479.92999999998602</v>
      </c>
      <c r="S1496" s="166">
        <v>8.059600000003913</v>
      </c>
    </row>
    <row r="1497" spans="15:19">
      <c r="O1497" s="166">
        <v>479.42999999998602</v>
      </c>
      <c r="P1497" s="169" t="e">
        <f t="shared" si="58"/>
        <v>#NAME?</v>
      </c>
      <c r="Q1497" s="177">
        <v>479.42999999998602</v>
      </c>
      <c r="R1497" s="166">
        <v>479.93999999998601</v>
      </c>
      <c r="S1497" s="166">
        <v>8.0568000000039159</v>
      </c>
    </row>
    <row r="1498" spans="15:19">
      <c r="O1498" s="166">
        <v>479.43999999998601</v>
      </c>
      <c r="P1498" s="169" t="e">
        <f t="shared" si="58"/>
        <v>#NAME?</v>
      </c>
      <c r="Q1498" s="177">
        <v>479.43999999998601</v>
      </c>
      <c r="R1498" s="166">
        <v>479.94999999998601</v>
      </c>
      <c r="S1498" s="166">
        <v>8.0540000000039171</v>
      </c>
    </row>
    <row r="1499" spans="15:19">
      <c r="O1499" s="166">
        <v>479.44999999998601</v>
      </c>
      <c r="P1499" s="169" t="e">
        <f t="shared" si="58"/>
        <v>#NAME?</v>
      </c>
      <c r="Q1499" s="177">
        <v>479.44999999998601</v>
      </c>
      <c r="R1499" s="166">
        <v>479.959999999986</v>
      </c>
      <c r="S1499" s="166">
        <v>8.0512000000039201</v>
      </c>
    </row>
    <row r="1500" spans="15:19">
      <c r="O1500" s="166">
        <v>479.459999999986</v>
      </c>
      <c r="P1500" s="169" t="e">
        <f t="shared" si="58"/>
        <v>#NAME?</v>
      </c>
      <c r="Q1500" s="177">
        <v>479.459999999986</v>
      </c>
      <c r="R1500" s="166">
        <v>479.96999999998599</v>
      </c>
      <c r="S1500" s="166">
        <v>8.0484000000039231</v>
      </c>
    </row>
    <row r="1501" spans="15:19">
      <c r="O1501" s="166">
        <v>479.46999999998599</v>
      </c>
      <c r="P1501" s="169" t="e">
        <f t="shared" si="58"/>
        <v>#NAME?</v>
      </c>
      <c r="Q1501" s="177">
        <v>479.46999999998599</v>
      </c>
      <c r="R1501" s="166">
        <v>479.97999999998598</v>
      </c>
      <c r="S1501" s="166">
        <v>8.0456000000039261</v>
      </c>
    </row>
    <row r="1502" spans="15:19">
      <c r="O1502" s="166">
        <v>479.47999999998598</v>
      </c>
      <c r="P1502" s="169" t="e">
        <f t="shared" si="58"/>
        <v>#NAME?</v>
      </c>
      <c r="Q1502" s="177">
        <v>479.47999999998598</v>
      </c>
      <c r="R1502" s="166">
        <v>479.98999999998603</v>
      </c>
      <c r="S1502" s="166">
        <v>8.0428000000039113</v>
      </c>
    </row>
    <row r="1503" spans="15:19">
      <c r="O1503" s="166">
        <v>479.48999999998603</v>
      </c>
      <c r="P1503" s="169" t="e">
        <f t="shared" si="58"/>
        <v>#NAME?</v>
      </c>
      <c r="Q1503" s="177">
        <v>479.48999999998603</v>
      </c>
      <c r="R1503" s="166">
        <v>479.99999999998602</v>
      </c>
      <c r="S1503" s="166">
        <v>8.0400000000039142</v>
      </c>
    </row>
    <row r="1504" spans="15:19">
      <c r="O1504" s="166">
        <v>479.49999999998602</v>
      </c>
      <c r="P1504" s="169" t="e">
        <f t="shared" si="58"/>
        <v>#NAME?</v>
      </c>
      <c r="Q1504" s="177">
        <v>479.49999999998602</v>
      </c>
      <c r="R1504" s="166">
        <v>480.00999999998601</v>
      </c>
      <c r="S1504" s="166">
        <v>8.0385000000020987</v>
      </c>
    </row>
    <row r="1505" spans="15:19">
      <c r="O1505" s="166">
        <v>479.50999999998601</v>
      </c>
      <c r="P1505" s="169" t="e">
        <f t="shared" si="58"/>
        <v>#NAME?</v>
      </c>
      <c r="Q1505" s="177">
        <v>479.50999999998601</v>
      </c>
      <c r="R1505" s="166">
        <v>480.019999999986</v>
      </c>
      <c r="S1505" s="166">
        <v>8.0370000000020987</v>
      </c>
    </row>
    <row r="1506" spans="15:19">
      <c r="O1506" s="166">
        <v>479.519999999986</v>
      </c>
      <c r="P1506" s="169" t="e">
        <f t="shared" si="58"/>
        <v>#NAME?</v>
      </c>
      <c r="Q1506" s="177">
        <v>479.519999999986</v>
      </c>
      <c r="R1506" s="166">
        <v>480.02999999998599</v>
      </c>
      <c r="S1506" s="166">
        <v>8.0355000000021004</v>
      </c>
    </row>
    <row r="1507" spans="15:19">
      <c r="O1507" s="166">
        <v>479.52999999998599</v>
      </c>
      <c r="P1507" s="169" t="e">
        <f t="shared" si="58"/>
        <v>#NAME?</v>
      </c>
      <c r="Q1507" s="177">
        <v>479.52999999998599</v>
      </c>
      <c r="R1507" s="166">
        <v>480.03999999998598</v>
      </c>
      <c r="S1507" s="166">
        <v>8.0340000000021021</v>
      </c>
    </row>
    <row r="1508" spans="15:19">
      <c r="O1508" s="166">
        <v>479.53999999998598</v>
      </c>
      <c r="P1508" s="169" t="e">
        <f t="shared" si="58"/>
        <v>#NAME?</v>
      </c>
      <c r="Q1508" s="177">
        <v>479.53999999998598</v>
      </c>
      <c r="R1508" s="166">
        <v>480.04999999998603</v>
      </c>
      <c r="S1508" s="166">
        <v>8.032500000002095</v>
      </c>
    </row>
    <row r="1509" spans="15:19">
      <c r="O1509" s="166">
        <v>479.54999999998603</v>
      </c>
      <c r="P1509" s="169" t="e">
        <f t="shared" si="58"/>
        <v>#NAME?</v>
      </c>
      <c r="Q1509" s="177">
        <v>479.54999999998603</v>
      </c>
      <c r="R1509" s="166">
        <v>480.05999999998602</v>
      </c>
      <c r="S1509" s="166">
        <v>8.0310000000020967</v>
      </c>
    </row>
    <row r="1510" spans="15:19">
      <c r="O1510" s="166">
        <v>479.55999999998602</v>
      </c>
      <c r="P1510" s="169" t="e">
        <f t="shared" si="58"/>
        <v>#NAME?</v>
      </c>
      <c r="Q1510" s="177">
        <v>479.55999999998602</v>
      </c>
      <c r="R1510" s="166">
        <v>480.06999999998601</v>
      </c>
      <c r="S1510" s="166">
        <v>8.0295000000020984</v>
      </c>
    </row>
    <row r="1511" spans="15:19">
      <c r="O1511" s="166">
        <v>479.56999999998601</v>
      </c>
      <c r="P1511" s="169" t="e">
        <f t="shared" si="58"/>
        <v>#NAME?</v>
      </c>
      <c r="Q1511" s="177">
        <v>479.56999999998601</v>
      </c>
      <c r="R1511" s="166">
        <v>480.079999999986</v>
      </c>
      <c r="S1511" s="166">
        <v>8.0280000000020983</v>
      </c>
    </row>
    <row r="1512" spans="15:19">
      <c r="O1512" s="166">
        <v>479.579999999986</v>
      </c>
      <c r="P1512" s="169" t="e">
        <f t="shared" si="58"/>
        <v>#NAME?</v>
      </c>
      <c r="Q1512" s="177">
        <v>479.579999999986</v>
      </c>
      <c r="R1512" s="166">
        <v>480.08999999998599</v>
      </c>
      <c r="S1512" s="166">
        <v>8.0265000000021001</v>
      </c>
    </row>
    <row r="1513" spans="15:19">
      <c r="O1513" s="166">
        <v>479.58999999998599</v>
      </c>
      <c r="P1513" s="169" t="e">
        <f t="shared" si="58"/>
        <v>#NAME?</v>
      </c>
      <c r="Q1513" s="177">
        <v>479.58999999998599</v>
      </c>
      <c r="R1513" s="166">
        <v>480.09999999998598</v>
      </c>
      <c r="S1513" s="166">
        <v>8.0250000000021018</v>
      </c>
    </row>
    <row r="1514" spans="15:19">
      <c r="O1514" s="166">
        <v>479.59999999998598</v>
      </c>
      <c r="P1514" s="169" t="e">
        <f t="shared" si="58"/>
        <v>#NAME?</v>
      </c>
      <c r="Q1514" s="177">
        <v>479.59999999998598</v>
      </c>
      <c r="R1514" s="166">
        <v>480.10999999998597</v>
      </c>
      <c r="S1514" s="166">
        <v>8.0235000000021035</v>
      </c>
    </row>
    <row r="1515" spans="15:19">
      <c r="O1515" s="166">
        <v>479.60999999998597</v>
      </c>
      <c r="P1515" s="169" t="e">
        <f t="shared" si="58"/>
        <v>#NAME?</v>
      </c>
      <c r="Q1515" s="177">
        <v>479.60999999998597</v>
      </c>
      <c r="R1515" s="166">
        <v>480.11999999998602</v>
      </c>
      <c r="S1515" s="166">
        <v>8.0220000000020963</v>
      </c>
    </row>
    <row r="1516" spans="15:19">
      <c r="O1516" s="166">
        <v>479.61999999998602</v>
      </c>
      <c r="P1516" s="169" t="e">
        <f t="shared" si="58"/>
        <v>#NAME?</v>
      </c>
      <c r="Q1516" s="177">
        <v>479.61999999998602</v>
      </c>
      <c r="R1516" s="166">
        <v>480.12999999998601</v>
      </c>
      <c r="S1516" s="166">
        <v>8.0205000000020981</v>
      </c>
    </row>
    <row r="1517" spans="15:19">
      <c r="O1517" s="166">
        <v>479.62999999998601</v>
      </c>
      <c r="P1517" s="169" t="e">
        <f t="shared" si="58"/>
        <v>#NAME?</v>
      </c>
      <c r="Q1517" s="177">
        <v>479.62999999998601</v>
      </c>
      <c r="R1517" s="166">
        <v>480.139999999986</v>
      </c>
      <c r="S1517" s="166">
        <v>8.019000000002098</v>
      </c>
    </row>
    <row r="1518" spans="15:19">
      <c r="O1518" s="166">
        <v>479.639999999986</v>
      </c>
      <c r="P1518" s="169" t="e">
        <f t="shared" si="58"/>
        <v>#NAME?</v>
      </c>
      <c r="Q1518" s="177">
        <v>479.639999999986</v>
      </c>
      <c r="R1518" s="166">
        <v>480.14999999998599</v>
      </c>
      <c r="S1518" s="166">
        <v>8.0175000000020997</v>
      </c>
    </row>
    <row r="1519" spans="15:19">
      <c r="O1519" s="166">
        <v>479.64999999998599</v>
      </c>
      <c r="P1519" s="169" t="e">
        <f t="shared" si="58"/>
        <v>#NAME?</v>
      </c>
      <c r="Q1519" s="177">
        <v>479.64999999998599</v>
      </c>
      <c r="R1519" s="166">
        <v>480.15999999998598</v>
      </c>
      <c r="S1519" s="166">
        <v>8.0160000000021014</v>
      </c>
    </row>
    <row r="1520" spans="15:19">
      <c r="O1520" s="166">
        <v>479.65999999998598</v>
      </c>
      <c r="P1520" s="169" t="e">
        <f t="shared" si="58"/>
        <v>#NAME?</v>
      </c>
      <c r="Q1520" s="177">
        <v>479.65999999998598</v>
      </c>
      <c r="R1520" s="166">
        <v>480.16999999998598</v>
      </c>
      <c r="S1520" s="166">
        <v>8.0145000000021032</v>
      </c>
    </row>
    <row r="1521" spans="15:19">
      <c r="O1521" s="166">
        <v>479.66999999998598</v>
      </c>
      <c r="P1521" s="169" t="e">
        <f t="shared" si="58"/>
        <v>#NAME?</v>
      </c>
      <c r="Q1521" s="177">
        <v>479.66999999998598</v>
      </c>
      <c r="R1521" s="166">
        <v>480.17999999998602</v>
      </c>
      <c r="S1521" s="166">
        <v>8.013000000002096</v>
      </c>
    </row>
    <row r="1522" spans="15:19">
      <c r="O1522" s="166">
        <v>479.67999999998602</v>
      </c>
      <c r="P1522" s="169" t="e">
        <f t="shared" si="58"/>
        <v>#NAME?</v>
      </c>
      <c r="Q1522" s="177">
        <v>479.67999999998602</v>
      </c>
      <c r="R1522" s="166">
        <v>480.18999999998601</v>
      </c>
      <c r="S1522" s="166">
        <v>8.0115000000020977</v>
      </c>
    </row>
    <row r="1523" spans="15:19">
      <c r="O1523" s="166">
        <v>479.68999999998601</v>
      </c>
      <c r="P1523" s="169" t="e">
        <f t="shared" si="58"/>
        <v>#NAME?</v>
      </c>
      <c r="Q1523" s="177">
        <v>479.68999999998601</v>
      </c>
      <c r="R1523" s="166">
        <v>480.19999999998601</v>
      </c>
      <c r="S1523" s="166">
        <v>8.0100000000020977</v>
      </c>
    </row>
    <row r="1524" spans="15:19">
      <c r="O1524" s="166">
        <v>479.69999999998601</v>
      </c>
      <c r="P1524" s="169" t="e">
        <f t="shared" si="58"/>
        <v>#NAME?</v>
      </c>
      <c r="Q1524" s="177">
        <v>479.69999999998601</v>
      </c>
      <c r="R1524" s="166">
        <v>480.209999999986</v>
      </c>
      <c r="S1524" s="166">
        <v>8.0085000000020994</v>
      </c>
    </row>
    <row r="1525" spans="15:19">
      <c r="O1525" s="166">
        <v>479.709999999986</v>
      </c>
      <c r="P1525" s="169" t="e">
        <f t="shared" si="58"/>
        <v>#NAME?</v>
      </c>
      <c r="Q1525" s="177">
        <v>479.709999999986</v>
      </c>
      <c r="R1525" s="166">
        <v>480.21999999998599</v>
      </c>
      <c r="S1525" s="166">
        <v>8.0070000000021011</v>
      </c>
    </row>
    <row r="1526" spans="15:19">
      <c r="O1526" s="166">
        <v>479.71999999998599</v>
      </c>
      <c r="P1526" s="169" t="e">
        <f t="shared" si="58"/>
        <v>#NAME?</v>
      </c>
      <c r="Q1526" s="177">
        <v>479.71999999998599</v>
      </c>
      <c r="R1526" s="166">
        <v>480.22999999998598</v>
      </c>
      <c r="S1526" s="166">
        <v>8.0055000000021028</v>
      </c>
    </row>
    <row r="1527" spans="15:19">
      <c r="O1527" s="166">
        <v>479.72999999998598</v>
      </c>
      <c r="P1527" s="169" t="e">
        <f t="shared" si="58"/>
        <v>#NAME?</v>
      </c>
      <c r="Q1527" s="177">
        <v>479.72999999998598</v>
      </c>
      <c r="R1527" s="166">
        <v>480.23999999998603</v>
      </c>
      <c r="S1527" s="166">
        <v>8.0040000000020957</v>
      </c>
    </row>
    <row r="1528" spans="15:19">
      <c r="O1528" s="166">
        <v>479.73999999998603</v>
      </c>
      <c r="P1528" s="169" t="e">
        <f t="shared" si="58"/>
        <v>#NAME?</v>
      </c>
      <c r="Q1528" s="177">
        <v>479.73999999998603</v>
      </c>
      <c r="R1528" s="166">
        <v>480.24999999998602</v>
      </c>
      <c r="S1528" s="166">
        <v>8.0025000000020974</v>
      </c>
    </row>
    <row r="1529" spans="15:19">
      <c r="O1529" s="166">
        <v>479.74999999998602</v>
      </c>
      <c r="P1529" s="169" t="e">
        <f t="shared" si="58"/>
        <v>#NAME?</v>
      </c>
      <c r="Q1529" s="177">
        <v>479.74999999998602</v>
      </c>
      <c r="R1529" s="166">
        <v>480.25999999998601</v>
      </c>
      <c r="S1529" s="166">
        <v>8.0010000000020973</v>
      </c>
    </row>
    <row r="1530" spans="15:19">
      <c r="O1530" s="166">
        <v>479.75999999998601</v>
      </c>
      <c r="P1530" s="169" t="e">
        <f t="shared" si="58"/>
        <v>#NAME?</v>
      </c>
      <c r="Q1530" s="177">
        <v>479.75999999998601</v>
      </c>
      <c r="R1530" s="166">
        <v>480.269999999986</v>
      </c>
      <c r="S1530" s="166">
        <v>7.9995000000020999</v>
      </c>
    </row>
    <row r="1531" spans="15:19">
      <c r="O1531" s="166">
        <v>479.769999999986</v>
      </c>
      <c r="P1531" s="169" t="e">
        <f t="shared" si="58"/>
        <v>#NAME?</v>
      </c>
      <c r="Q1531" s="177">
        <v>479.769999999986</v>
      </c>
      <c r="R1531" s="166">
        <v>480.27999999998599</v>
      </c>
      <c r="S1531" s="166">
        <v>7.9980000000021008</v>
      </c>
    </row>
    <row r="1532" spans="15:19">
      <c r="O1532" s="166">
        <v>479.77999999998599</v>
      </c>
      <c r="P1532" s="169" t="e">
        <f t="shared" si="58"/>
        <v>#NAME?</v>
      </c>
      <c r="Q1532" s="177">
        <v>479.77999999998599</v>
      </c>
      <c r="R1532" s="166">
        <v>480.28999999998598</v>
      </c>
      <c r="S1532" s="166">
        <v>7.9965000000021025</v>
      </c>
    </row>
    <row r="1533" spans="15:19">
      <c r="O1533" s="166">
        <v>479.78999999998598</v>
      </c>
      <c r="P1533" s="169" t="e">
        <f t="shared" si="58"/>
        <v>#NAME?</v>
      </c>
      <c r="Q1533" s="177">
        <v>479.78999999998598</v>
      </c>
      <c r="R1533" s="166">
        <v>480.29999999998603</v>
      </c>
      <c r="S1533" s="166">
        <v>7.9950000000020953</v>
      </c>
    </row>
    <row r="1534" spans="15:19">
      <c r="O1534" s="166">
        <v>479.79999999998603</v>
      </c>
      <c r="P1534" s="169" t="e">
        <f t="shared" si="58"/>
        <v>#NAME?</v>
      </c>
      <c r="Q1534" s="177">
        <v>479.79999999998603</v>
      </c>
      <c r="R1534" s="166">
        <v>480.30999999998602</v>
      </c>
      <c r="S1534" s="166">
        <v>7.9935000000020962</v>
      </c>
    </row>
    <row r="1535" spans="15:19">
      <c r="O1535" s="166">
        <v>479.80999999998602</v>
      </c>
      <c r="P1535" s="169" t="e">
        <f t="shared" si="58"/>
        <v>#NAME?</v>
      </c>
      <c r="Q1535" s="177">
        <v>479.80999999998602</v>
      </c>
      <c r="R1535" s="166">
        <v>480.31999999998601</v>
      </c>
      <c r="S1535" s="166">
        <v>7.9920000000020979</v>
      </c>
    </row>
    <row r="1536" spans="15:19">
      <c r="O1536" s="166">
        <v>479.81999999998601</v>
      </c>
      <c r="P1536" s="169" t="e">
        <f t="shared" si="58"/>
        <v>#NAME?</v>
      </c>
      <c r="Q1536" s="177">
        <v>479.81999999998601</v>
      </c>
      <c r="R1536" s="166">
        <v>480.329999999986</v>
      </c>
      <c r="S1536" s="166">
        <v>7.9905000000020996</v>
      </c>
    </row>
    <row r="1537" spans="15:19">
      <c r="O1537" s="166">
        <v>479.829999999986</v>
      </c>
      <c r="P1537" s="169" t="e">
        <f t="shared" si="58"/>
        <v>#NAME?</v>
      </c>
      <c r="Q1537" s="177">
        <v>479.829999999986</v>
      </c>
      <c r="R1537" s="166">
        <v>480.33999999998599</v>
      </c>
      <c r="S1537" s="166">
        <v>7.9890000000021004</v>
      </c>
    </row>
    <row r="1538" spans="15:19">
      <c r="O1538" s="166">
        <v>479.83999999998599</v>
      </c>
      <c r="P1538" s="169" t="e">
        <f t="shared" si="58"/>
        <v>#NAME?</v>
      </c>
      <c r="Q1538" s="177">
        <v>479.83999999998599</v>
      </c>
      <c r="R1538" s="166">
        <v>480.34999999998598</v>
      </c>
      <c r="S1538" s="166">
        <v>7.9875000000021021</v>
      </c>
    </row>
    <row r="1539" spans="15:19">
      <c r="O1539" s="166">
        <v>479.84999999998598</v>
      </c>
      <c r="P1539" s="169" t="e">
        <f t="shared" si="58"/>
        <v>#NAME?</v>
      </c>
      <c r="Q1539" s="177">
        <v>479.84999999998598</v>
      </c>
      <c r="R1539" s="166">
        <v>480.35999999998597</v>
      </c>
      <c r="S1539" s="166">
        <v>7.986000000002103</v>
      </c>
    </row>
    <row r="1540" spans="15:19">
      <c r="O1540" s="166">
        <v>479.85999999998597</v>
      </c>
      <c r="P1540" s="169" t="e">
        <f t="shared" ref="P1540:P1603" si="59">VLOOKUP(O1540,THONGSOHO_BTS,2,1)+(VLOOKUP(O1540+5,THONGSOHO_BTS,2,1)-VLOOKUP(O1540,THONGSOHO_BTS,2,1))/5*(O1540-VLOOKUP(O1540,THONGSOHO_BTS,1,1))-264.29</f>
        <v>#NAME?</v>
      </c>
      <c r="Q1540" s="177">
        <v>479.85999999998597</v>
      </c>
      <c r="R1540" s="166">
        <v>480.36999999998602</v>
      </c>
      <c r="S1540" s="166">
        <v>7.9845000000020958</v>
      </c>
    </row>
    <row r="1541" spans="15:19">
      <c r="O1541" s="166">
        <v>479.86999999998602</v>
      </c>
      <c r="P1541" s="169" t="e">
        <f t="shared" si="59"/>
        <v>#NAME?</v>
      </c>
      <c r="Q1541" s="177">
        <v>479.86999999998602</v>
      </c>
      <c r="R1541" s="166">
        <v>480.37999999998601</v>
      </c>
      <c r="S1541" s="166">
        <v>7.9830000000020975</v>
      </c>
    </row>
    <row r="1542" spans="15:19">
      <c r="O1542" s="166">
        <v>479.87999999998601</v>
      </c>
      <c r="P1542" s="169" t="e">
        <f t="shared" si="59"/>
        <v>#NAME?</v>
      </c>
      <c r="Q1542" s="177">
        <v>479.87999999998601</v>
      </c>
      <c r="R1542" s="166">
        <v>480.389999999986</v>
      </c>
      <c r="S1542" s="166">
        <v>7.9815000000020992</v>
      </c>
    </row>
    <row r="1543" spans="15:19">
      <c r="O1543" s="166">
        <v>479.889999999986</v>
      </c>
      <c r="P1543" s="169" t="e">
        <f t="shared" si="59"/>
        <v>#NAME?</v>
      </c>
      <c r="Q1543" s="177">
        <v>479.889999999986</v>
      </c>
      <c r="R1543" s="166">
        <v>480.39999999998599</v>
      </c>
      <c r="S1543" s="166">
        <v>7.9800000000021001</v>
      </c>
    </row>
    <row r="1544" spans="15:19">
      <c r="O1544" s="166">
        <v>479.89999999998599</v>
      </c>
      <c r="P1544" s="169" t="e">
        <f t="shared" si="59"/>
        <v>#NAME?</v>
      </c>
      <c r="Q1544" s="177">
        <v>479.89999999998599</v>
      </c>
      <c r="R1544" s="166">
        <v>480.40999999998598</v>
      </c>
      <c r="S1544" s="166">
        <v>7.9785000000021018</v>
      </c>
    </row>
    <row r="1545" spans="15:19">
      <c r="O1545" s="166">
        <v>479.90999999998598</v>
      </c>
      <c r="P1545" s="169" t="e">
        <f t="shared" si="59"/>
        <v>#NAME?</v>
      </c>
      <c r="Q1545" s="177">
        <v>479.90999999998598</v>
      </c>
      <c r="R1545" s="166">
        <v>480.41999999998598</v>
      </c>
      <c r="S1545" s="166">
        <v>7.9770000000021026</v>
      </c>
    </row>
    <row r="1546" spans="15:19">
      <c r="O1546" s="166">
        <v>479.91999999998598</v>
      </c>
      <c r="P1546" s="169" t="e">
        <f t="shared" si="59"/>
        <v>#NAME?</v>
      </c>
      <c r="Q1546" s="177">
        <v>479.91999999998598</v>
      </c>
      <c r="R1546" s="166">
        <v>480.42999999998602</v>
      </c>
      <c r="S1546" s="166">
        <v>7.9755000000020955</v>
      </c>
    </row>
    <row r="1547" spans="15:19">
      <c r="O1547" s="166">
        <v>479.92999999998602</v>
      </c>
      <c r="P1547" s="169" t="e">
        <f t="shared" si="59"/>
        <v>#NAME?</v>
      </c>
      <c r="Q1547" s="177">
        <v>479.92999999998602</v>
      </c>
      <c r="R1547" s="166">
        <v>480.43999999998601</v>
      </c>
      <c r="S1547" s="166">
        <v>7.9740000000020972</v>
      </c>
    </row>
    <row r="1548" spans="15:19">
      <c r="O1548" s="166">
        <v>479.93999999998601</v>
      </c>
      <c r="P1548" s="169" t="e">
        <f t="shared" si="59"/>
        <v>#NAME?</v>
      </c>
      <c r="Q1548" s="177">
        <v>479.93999999998601</v>
      </c>
      <c r="R1548" s="166">
        <v>480.44999999998601</v>
      </c>
      <c r="S1548" s="166">
        <v>7.9725000000020989</v>
      </c>
    </row>
    <row r="1549" spans="15:19">
      <c r="O1549" s="166">
        <v>479.94999999998601</v>
      </c>
      <c r="P1549" s="169" t="e">
        <f t="shared" si="59"/>
        <v>#NAME?</v>
      </c>
      <c r="Q1549" s="177">
        <v>479.94999999998601</v>
      </c>
      <c r="R1549" s="166">
        <v>480.459999999986</v>
      </c>
      <c r="S1549" s="166">
        <v>7.9710000000020997</v>
      </c>
    </row>
    <row r="1550" spans="15:19">
      <c r="O1550" s="166">
        <v>479.959999999986</v>
      </c>
      <c r="P1550" s="169" t="e">
        <f t="shared" si="59"/>
        <v>#NAME?</v>
      </c>
      <c r="Q1550" s="177">
        <v>479.959999999986</v>
      </c>
      <c r="R1550" s="166">
        <v>480.46999999998599</v>
      </c>
      <c r="S1550" s="166">
        <v>7.9695000000021015</v>
      </c>
    </row>
    <row r="1551" spans="15:19">
      <c r="O1551" s="166">
        <v>479.96999999998599</v>
      </c>
      <c r="P1551" s="169" t="e">
        <f t="shared" si="59"/>
        <v>#NAME?</v>
      </c>
      <c r="Q1551" s="177">
        <v>479.96999999998599</v>
      </c>
      <c r="R1551" s="166">
        <v>480.47999999998598</v>
      </c>
      <c r="S1551" s="166">
        <v>7.9680000000021023</v>
      </c>
    </row>
    <row r="1552" spans="15:19">
      <c r="O1552" s="166">
        <v>479.97999999998598</v>
      </c>
      <c r="P1552" s="169" t="e">
        <f t="shared" si="59"/>
        <v>#NAME?</v>
      </c>
      <c r="Q1552" s="177">
        <v>479.97999999998598</v>
      </c>
      <c r="R1552" s="166">
        <v>480.48999999998603</v>
      </c>
      <c r="S1552" s="166">
        <v>7.966500000002096</v>
      </c>
    </row>
    <row r="1553" spans="15:19">
      <c r="O1553" s="166">
        <v>479.98999999998603</v>
      </c>
      <c r="P1553" s="169" t="e">
        <f t="shared" si="59"/>
        <v>#NAME?</v>
      </c>
      <c r="Q1553" s="177">
        <v>479.98999999998603</v>
      </c>
      <c r="R1553" s="166">
        <v>480.49999999998602</v>
      </c>
      <c r="S1553" s="166">
        <v>7.9650000000020968</v>
      </c>
    </row>
    <row r="1554" spans="15:19">
      <c r="O1554" s="166">
        <v>479.99999999998602</v>
      </c>
      <c r="P1554" s="169" t="e">
        <f t="shared" si="59"/>
        <v>#NAME?</v>
      </c>
      <c r="Q1554" s="177">
        <v>479.99999999998602</v>
      </c>
      <c r="R1554" s="166">
        <v>480.50999999998601</v>
      </c>
      <c r="S1554" s="166">
        <v>7.9635000000020986</v>
      </c>
    </row>
    <row r="1555" spans="15:19">
      <c r="O1555" s="166">
        <v>480.00999999998601</v>
      </c>
      <c r="P1555" s="169" t="e">
        <f t="shared" si="59"/>
        <v>#NAME?</v>
      </c>
      <c r="Q1555" s="177">
        <v>480.00999999998601</v>
      </c>
      <c r="R1555" s="166">
        <v>480.519999999986</v>
      </c>
      <c r="S1555" s="166">
        <v>7.9620000000020994</v>
      </c>
    </row>
    <row r="1556" spans="15:19">
      <c r="O1556" s="166">
        <v>480.019999999986</v>
      </c>
      <c r="P1556" s="169" t="e">
        <f t="shared" si="59"/>
        <v>#NAME?</v>
      </c>
      <c r="Q1556" s="177">
        <v>480.019999999986</v>
      </c>
      <c r="R1556" s="166">
        <v>480.52999999998599</v>
      </c>
      <c r="S1556" s="166">
        <v>7.9605000000021011</v>
      </c>
    </row>
    <row r="1557" spans="15:19">
      <c r="O1557" s="166">
        <v>480.02999999998599</v>
      </c>
      <c r="P1557" s="169" t="e">
        <f t="shared" si="59"/>
        <v>#NAME?</v>
      </c>
      <c r="Q1557" s="177">
        <v>480.02999999998599</v>
      </c>
      <c r="R1557" s="166">
        <v>480.53999999998598</v>
      </c>
      <c r="S1557" s="166">
        <v>7.9590000000021028</v>
      </c>
    </row>
    <row r="1558" spans="15:19">
      <c r="O1558" s="166">
        <v>480.03999999998598</v>
      </c>
      <c r="P1558" s="169" t="e">
        <f t="shared" si="59"/>
        <v>#NAME?</v>
      </c>
      <c r="Q1558" s="177">
        <v>480.03999999998598</v>
      </c>
      <c r="R1558" s="166">
        <v>480.54999999998603</v>
      </c>
      <c r="S1558" s="166">
        <v>7.9575000000020957</v>
      </c>
    </row>
    <row r="1559" spans="15:19">
      <c r="O1559" s="166">
        <v>480.04999999998603</v>
      </c>
      <c r="P1559" s="169" t="e">
        <f t="shared" si="59"/>
        <v>#NAME?</v>
      </c>
      <c r="Q1559" s="177">
        <v>480.04999999998603</v>
      </c>
      <c r="R1559" s="166">
        <v>480.55999999998602</v>
      </c>
      <c r="S1559" s="166">
        <v>7.9560000000020965</v>
      </c>
    </row>
    <row r="1560" spans="15:19">
      <c r="O1560" s="166">
        <v>480.05999999998602</v>
      </c>
      <c r="P1560" s="169" t="e">
        <f t="shared" si="59"/>
        <v>#NAME?</v>
      </c>
      <c r="Q1560" s="177">
        <v>480.05999999998602</v>
      </c>
      <c r="R1560" s="166">
        <v>480.56999999998601</v>
      </c>
      <c r="S1560" s="166">
        <v>7.9545000000020982</v>
      </c>
    </row>
    <row r="1561" spans="15:19">
      <c r="O1561" s="166">
        <v>480.06999999998601</v>
      </c>
      <c r="P1561" s="169" t="e">
        <f t="shared" si="59"/>
        <v>#NAME?</v>
      </c>
      <c r="Q1561" s="177">
        <v>480.06999999998601</v>
      </c>
      <c r="R1561" s="166">
        <v>480.579999999986</v>
      </c>
      <c r="S1561" s="166">
        <v>7.9530000000020991</v>
      </c>
    </row>
    <row r="1562" spans="15:19">
      <c r="O1562" s="166">
        <v>480.079999999986</v>
      </c>
      <c r="P1562" s="169" t="e">
        <f t="shared" si="59"/>
        <v>#NAME?</v>
      </c>
      <c r="Q1562" s="177">
        <v>480.079999999986</v>
      </c>
      <c r="R1562" s="166">
        <v>480.58999999998599</v>
      </c>
      <c r="S1562" s="166">
        <v>7.9515000000021008</v>
      </c>
    </row>
    <row r="1563" spans="15:19">
      <c r="O1563" s="166">
        <v>480.08999999998599</v>
      </c>
      <c r="P1563" s="169" t="e">
        <f t="shared" si="59"/>
        <v>#NAME?</v>
      </c>
      <c r="Q1563" s="177">
        <v>480.08999999998599</v>
      </c>
      <c r="R1563" s="166">
        <v>480.59999999998598</v>
      </c>
      <c r="S1563" s="166">
        <v>7.9500000000021025</v>
      </c>
    </row>
    <row r="1564" spans="15:19">
      <c r="O1564" s="166">
        <v>480.09999999998598</v>
      </c>
      <c r="P1564" s="169" t="e">
        <f t="shared" si="59"/>
        <v>#NAME?</v>
      </c>
      <c r="Q1564" s="177">
        <v>480.09999999998598</v>
      </c>
      <c r="R1564" s="166">
        <v>480.60999999998597</v>
      </c>
      <c r="S1564" s="166">
        <v>7.9485000000021033</v>
      </c>
    </row>
    <row r="1565" spans="15:19">
      <c r="O1565" s="166">
        <v>480.10999999998597</v>
      </c>
      <c r="P1565" s="169" t="e">
        <f t="shared" si="59"/>
        <v>#NAME?</v>
      </c>
      <c r="Q1565" s="177">
        <v>480.10999999998597</v>
      </c>
      <c r="R1565" s="166">
        <v>480.61999999998602</v>
      </c>
      <c r="S1565" s="166">
        <v>7.9470000000020962</v>
      </c>
    </row>
    <row r="1566" spans="15:19">
      <c r="O1566" s="166">
        <v>480.11999999998602</v>
      </c>
      <c r="P1566" s="169" t="e">
        <f t="shared" si="59"/>
        <v>#NAME?</v>
      </c>
      <c r="Q1566" s="177">
        <v>480.11999999998602</v>
      </c>
      <c r="R1566" s="166">
        <v>480.62999999998601</v>
      </c>
      <c r="S1566" s="166">
        <v>7.9455000000020979</v>
      </c>
    </row>
    <row r="1567" spans="15:19">
      <c r="O1567" s="166">
        <v>480.12999999998601</v>
      </c>
      <c r="P1567" s="169" t="e">
        <f t="shared" si="59"/>
        <v>#NAME?</v>
      </c>
      <c r="Q1567" s="177">
        <v>480.12999999998601</v>
      </c>
      <c r="R1567" s="166">
        <v>480.639999999986</v>
      </c>
      <c r="S1567" s="166">
        <v>7.9440000000020987</v>
      </c>
    </row>
    <row r="1568" spans="15:19">
      <c r="O1568" s="166">
        <v>480.139999999986</v>
      </c>
      <c r="P1568" s="169" t="e">
        <f t="shared" si="59"/>
        <v>#NAME?</v>
      </c>
      <c r="Q1568" s="177">
        <v>480.139999999986</v>
      </c>
      <c r="R1568" s="166">
        <v>480.64999999998599</v>
      </c>
      <c r="S1568" s="166">
        <v>7.9425000000021004</v>
      </c>
    </row>
    <row r="1569" spans="15:19">
      <c r="O1569" s="166">
        <v>480.14999999998599</v>
      </c>
      <c r="P1569" s="169" t="e">
        <f t="shared" si="59"/>
        <v>#NAME?</v>
      </c>
      <c r="Q1569" s="177">
        <v>480.14999999998599</v>
      </c>
      <c r="R1569" s="166">
        <v>480.65999999998598</v>
      </c>
      <c r="S1569" s="166">
        <v>7.9410000000021022</v>
      </c>
    </row>
    <row r="1570" spans="15:19">
      <c r="O1570" s="166">
        <v>480.15999999998598</v>
      </c>
      <c r="P1570" s="169" t="e">
        <f t="shared" si="59"/>
        <v>#NAME?</v>
      </c>
      <c r="Q1570" s="177">
        <v>480.15999999998598</v>
      </c>
      <c r="R1570" s="166">
        <v>480.66999999998598</v>
      </c>
      <c r="S1570" s="166">
        <v>7.939500000002103</v>
      </c>
    </row>
    <row r="1571" spans="15:19">
      <c r="O1571" s="166">
        <v>480.16999999998598</v>
      </c>
      <c r="P1571" s="169" t="e">
        <f t="shared" si="59"/>
        <v>#NAME?</v>
      </c>
      <c r="Q1571" s="177">
        <v>480.16999999998598</v>
      </c>
      <c r="R1571" s="166">
        <v>480.67999999998602</v>
      </c>
      <c r="S1571" s="166">
        <v>7.9380000000020958</v>
      </c>
    </row>
    <row r="1572" spans="15:19">
      <c r="O1572" s="166">
        <v>480.17999999998602</v>
      </c>
      <c r="P1572" s="169" t="e">
        <f t="shared" si="59"/>
        <v>#NAME?</v>
      </c>
      <c r="Q1572" s="177">
        <v>480.17999999998602</v>
      </c>
      <c r="R1572" s="166">
        <v>480.68999999998601</v>
      </c>
      <c r="S1572" s="166">
        <v>7.9365000000020975</v>
      </c>
    </row>
    <row r="1573" spans="15:19">
      <c r="O1573" s="166">
        <v>480.18999999998601</v>
      </c>
      <c r="P1573" s="169" t="e">
        <f t="shared" si="59"/>
        <v>#NAME?</v>
      </c>
      <c r="Q1573" s="177">
        <v>480.18999999998601</v>
      </c>
      <c r="R1573" s="166">
        <v>480.69999999998601</v>
      </c>
      <c r="S1573" s="166">
        <v>7.9350000000020984</v>
      </c>
    </row>
    <row r="1574" spans="15:19">
      <c r="O1574" s="166">
        <v>480.19999999998601</v>
      </c>
      <c r="P1574" s="169" t="e">
        <f t="shared" si="59"/>
        <v>#NAME?</v>
      </c>
      <c r="Q1574" s="177">
        <v>480.19999999998601</v>
      </c>
      <c r="R1574" s="166">
        <v>480.709999999986</v>
      </c>
      <c r="S1574" s="166">
        <v>7.9335000000021001</v>
      </c>
    </row>
    <row r="1575" spans="15:19">
      <c r="O1575" s="166">
        <v>480.209999999986</v>
      </c>
      <c r="P1575" s="169" t="e">
        <f t="shared" si="59"/>
        <v>#NAME?</v>
      </c>
      <c r="Q1575" s="177">
        <v>480.209999999986</v>
      </c>
      <c r="R1575" s="166">
        <v>480.71999999998599</v>
      </c>
      <c r="S1575" s="166">
        <v>7.9320000000021018</v>
      </c>
    </row>
    <row r="1576" spans="15:19">
      <c r="O1576" s="166">
        <v>480.21999999998599</v>
      </c>
      <c r="P1576" s="169" t="e">
        <f t="shared" si="59"/>
        <v>#NAME?</v>
      </c>
      <c r="Q1576" s="177">
        <v>480.21999999998599</v>
      </c>
      <c r="R1576" s="166">
        <v>480.72999999998598</v>
      </c>
      <c r="S1576" s="166">
        <v>7.9305000000021026</v>
      </c>
    </row>
    <row r="1577" spans="15:19">
      <c r="O1577" s="166">
        <v>480.22999999998598</v>
      </c>
      <c r="P1577" s="169" t="e">
        <f t="shared" si="59"/>
        <v>#NAME?</v>
      </c>
      <c r="Q1577" s="177">
        <v>480.22999999998598</v>
      </c>
      <c r="R1577" s="166">
        <v>480.73999999998603</v>
      </c>
      <c r="S1577" s="166">
        <v>7.9290000000020955</v>
      </c>
    </row>
    <row r="1578" spans="15:19">
      <c r="O1578" s="166">
        <v>480.23999999998603</v>
      </c>
      <c r="P1578" s="169" t="e">
        <f t="shared" si="59"/>
        <v>#NAME?</v>
      </c>
      <c r="Q1578" s="177">
        <v>480.23999999998603</v>
      </c>
      <c r="R1578" s="166">
        <v>480.74999999998602</v>
      </c>
      <c r="S1578" s="166">
        <v>7.9275000000020972</v>
      </c>
    </row>
    <row r="1579" spans="15:19">
      <c r="O1579" s="166">
        <v>480.24999999998602</v>
      </c>
      <c r="P1579" s="169" t="e">
        <f t="shared" si="59"/>
        <v>#NAME?</v>
      </c>
      <c r="Q1579" s="177">
        <v>480.24999999998602</v>
      </c>
      <c r="R1579" s="166">
        <v>480.75999999998601</v>
      </c>
      <c r="S1579" s="166">
        <v>7.926000000002098</v>
      </c>
    </row>
    <row r="1580" spans="15:19">
      <c r="O1580" s="166">
        <v>480.25999999998601</v>
      </c>
      <c r="P1580" s="169" t="e">
        <f t="shared" si="59"/>
        <v>#NAME?</v>
      </c>
      <c r="Q1580" s="177">
        <v>480.25999999998601</v>
      </c>
      <c r="R1580" s="166">
        <v>480.769999999986</v>
      </c>
      <c r="S1580" s="166">
        <v>7.9245000000020998</v>
      </c>
    </row>
    <row r="1581" spans="15:19">
      <c r="O1581" s="166">
        <v>480.269999999986</v>
      </c>
      <c r="P1581" s="169" t="e">
        <f t="shared" si="59"/>
        <v>#NAME?</v>
      </c>
      <c r="Q1581" s="177">
        <v>480.269999999986</v>
      </c>
      <c r="R1581" s="166">
        <v>480.77999999998599</v>
      </c>
      <c r="S1581" s="166">
        <v>7.9230000000021015</v>
      </c>
    </row>
    <row r="1582" spans="15:19">
      <c r="O1582" s="166">
        <v>480.27999999998599</v>
      </c>
      <c r="P1582" s="169" t="e">
        <f t="shared" si="59"/>
        <v>#NAME?</v>
      </c>
      <c r="Q1582" s="177">
        <v>480.27999999998599</v>
      </c>
      <c r="R1582" s="166">
        <v>480.78999999998598</v>
      </c>
      <c r="S1582" s="166">
        <v>7.9215000000021023</v>
      </c>
    </row>
    <row r="1583" spans="15:19">
      <c r="O1583" s="166">
        <v>480.28999999998598</v>
      </c>
      <c r="P1583" s="169" t="e">
        <f t="shared" si="59"/>
        <v>#NAME?</v>
      </c>
      <c r="Q1583" s="177">
        <v>480.28999999998598</v>
      </c>
      <c r="R1583" s="166">
        <v>480.79999999998603</v>
      </c>
      <c r="S1583" s="166">
        <v>7.9200000000020951</v>
      </c>
    </row>
    <row r="1584" spans="15:19">
      <c r="O1584" s="166">
        <v>480.29999999998603</v>
      </c>
      <c r="P1584" s="169" t="e">
        <f t="shared" si="59"/>
        <v>#NAME?</v>
      </c>
      <c r="Q1584" s="177">
        <v>480.29999999998603</v>
      </c>
      <c r="R1584" s="166">
        <v>480.80999999998602</v>
      </c>
      <c r="S1584" s="166">
        <v>7.9185000000020969</v>
      </c>
    </row>
    <row r="1585" spans="15:19">
      <c r="O1585" s="166">
        <v>480.30999999998602</v>
      </c>
      <c r="P1585" s="169" t="e">
        <f t="shared" si="59"/>
        <v>#NAME?</v>
      </c>
      <c r="Q1585" s="177">
        <v>480.30999999998602</v>
      </c>
      <c r="R1585" s="166">
        <v>480.81999999998601</v>
      </c>
      <c r="S1585" s="166">
        <v>7.9170000000020977</v>
      </c>
    </row>
    <row r="1586" spans="15:19">
      <c r="O1586" s="166">
        <v>480.31999999998601</v>
      </c>
      <c r="P1586" s="169" t="e">
        <f t="shared" si="59"/>
        <v>#NAME?</v>
      </c>
      <c r="Q1586" s="177">
        <v>480.31999999998601</v>
      </c>
      <c r="R1586" s="166">
        <v>480.829999999986</v>
      </c>
      <c r="S1586" s="166">
        <v>7.9155000000020994</v>
      </c>
    </row>
    <row r="1587" spans="15:19">
      <c r="O1587" s="166">
        <v>480.329999999986</v>
      </c>
      <c r="P1587" s="169" t="e">
        <f t="shared" si="59"/>
        <v>#NAME?</v>
      </c>
      <c r="Q1587" s="177">
        <v>480.329999999986</v>
      </c>
      <c r="R1587" s="166">
        <v>480.83999999998599</v>
      </c>
      <c r="S1587" s="166">
        <v>7.9140000000021011</v>
      </c>
    </row>
    <row r="1588" spans="15:19">
      <c r="O1588" s="166">
        <v>480.33999999998599</v>
      </c>
      <c r="P1588" s="169" t="e">
        <f t="shared" si="59"/>
        <v>#NAME?</v>
      </c>
      <c r="Q1588" s="177">
        <v>480.33999999998599</v>
      </c>
      <c r="R1588" s="166">
        <v>480.84999999998598</v>
      </c>
      <c r="S1588" s="166">
        <v>7.912500000002102</v>
      </c>
    </row>
    <row r="1589" spans="15:19">
      <c r="O1589" s="166">
        <v>480.34999999998598</v>
      </c>
      <c r="P1589" s="169" t="e">
        <f t="shared" si="59"/>
        <v>#NAME?</v>
      </c>
      <c r="Q1589" s="177">
        <v>480.34999999998598</v>
      </c>
      <c r="R1589" s="166">
        <v>480.85999999998597</v>
      </c>
      <c r="S1589" s="166">
        <v>7.9110000000021037</v>
      </c>
    </row>
    <row r="1590" spans="15:19">
      <c r="O1590" s="166">
        <v>480.35999999998597</v>
      </c>
      <c r="P1590" s="169" t="e">
        <f t="shared" si="59"/>
        <v>#NAME?</v>
      </c>
      <c r="Q1590" s="177">
        <v>480.35999999998597</v>
      </c>
      <c r="R1590" s="166">
        <v>480.86999999998602</v>
      </c>
      <c r="S1590" s="166">
        <v>7.9095000000020965</v>
      </c>
    </row>
    <row r="1591" spans="15:19">
      <c r="O1591" s="166">
        <v>480.36999999998602</v>
      </c>
      <c r="P1591" s="169" t="e">
        <f t="shared" si="59"/>
        <v>#NAME?</v>
      </c>
      <c r="Q1591" s="177">
        <v>480.36999999998602</v>
      </c>
      <c r="R1591" s="166">
        <v>480.87999999998601</v>
      </c>
      <c r="S1591" s="166">
        <v>7.9080000000020982</v>
      </c>
    </row>
    <row r="1592" spans="15:19">
      <c r="O1592" s="166">
        <v>480.37999999998601</v>
      </c>
      <c r="P1592" s="169" t="e">
        <f t="shared" si="59"/>
        <v>#NAME?</v>
      </c>
      <c r="Q1592" s="177">
        <v>480.37999999998601</v>
      </c>
      <c r="R1592" s="166">
        <v>480.889999999986</v>
      </c>
      <c r="S1592" s="166">
        <v>7.9065000000020991</v>
      </c>
    </row>
    <row r="1593" spans="15:19">
      <c r="O1593" s="166">
        <v>480.38999999998498</v>
      </c>
      <c r="P1593" s="169" t="e">
        <f t="shared" si="59"/>
        <v>#NAME?</v>
      </c>
      <c r="Q1593" s="177">
        <v>480.38999999998498</v>
      </c>
      <c r="R1593" s="166">
        <v>480.89999999998503</v>
      </c>
      <c r="S1593" s="166">
        <v>7.9050000000022456</v>
      </c>
    </row>
    <row r="1594" spans="15:19">
      <c r="O1594" s="166">
        <v>480.39999999998503</v>
      </c>
      <c r="P1594" s="169" t="e">
        <f t="shared" si="59"/>
        <v>#NAME?</v>
      </c>
      <c r="Q1594" s="177">
        <v>480.39999999998503</v>
      </c>
      <c r="R1594" s="166">
        <v>480.90999999998502</v>
      </c>
      <c r="S1594" s="166">
        <v>7.9035000000022473</v>
      </c>
    </row>
    <row r="1595" spans="15:19">
      <c r="O1595" s="166">
        <v>480.40999999998502</v>
      </c>
      <c r="P1595" s="169" t="e">
        <f t="shared" si="59"/>
        <v>#NAME?</v>
      </c>
      <c r="Q1595" s="177">
        <v>480.40999999998502</v>
      </c>
      <c r="R1595" s="166">
        <v>480.91999999998501</v>
      </c>
      <c r="S1595" s="166">
        <v>7.9020000000022481</v>
      </c>
    </row>
    <row r="1596" spans="15:19">
      <c r="O1596" s="166">
        <v>480.41999999998598</v>
      </c>
      <c r="P1596" s="169" t="e">
        <f t="shared" si="59"/>
        <v>#NAME?</v>
      </c>
      <c r="Q1596" s="177">
        <v>480.41999999998598</v>
      </c>
      <c r="R1596" s="166">
        <v>480.92999999998602</v>
      </c>
      <c r="S1596" s="166">
        <v>7.9005000000020962</v>
      </c>
    </row>
    <row r="1597" spans="15:19">
      <c r="O1597" s="166">
        <v>480.42999999998602</v>
      </c>
      <c r="P1597" s="169" t="e">
        <f t="shared" si="59"/>
        <v>#NAME?</v>
      </c>
      <c r="Q1597" s="177">
        <v>480.42999999998602</v>
      </c>
      <c r="R1597" s="166">
        <v>480.93999999998601</v>
      </c>
      <c r="S1597" s="166">
        <v>7.8990000000020979</v>
      </c>
    </row>
    <row r="1598" spans="15:19">
      <c r="O1598" s="166">
        <v>480.43999999998601</v>
      </c>
      <c r="P1598" s="169" t="e">
        <f t="shared" si="59"/>
        <v>#NAME?</v>
      </c>
      <c r="Q1598" s="177">
        <v>480.43999999998601</v>
      </c>
      <c r="R1598" s="166">
        <v>480.94999999998498</v>
      </c>
      <c r="S1598" s="166">
        <v>7.8975000000022524</v>
      </c>
    </row>
    <row r="1599" spans="15:19">
      <c r="O1599" s="166">
        <v>480.44999999998498</v>
      </c>
      <c r="P1599" s="169" t="e">
        <f t="shared" si="59"/>
        <v>#NAME?</v>
      </c>
      <c r="Q1599" s="177">
        <v>480.44999999998498</v>
      </c>
      <c r="R1599" s="166">
        <v>480.95999999998497</v>
      </c>
      <c r="S1599" s="166">
        <v>7.8960000000022541</v>
      </c>
    </row>
    <row r="1600" spans="15:19">
      <c r="O1600" s="166">
        <v>480.45999999998497</v>
      </c>
      <c r="P1600" s="169" t="e">
        <f t="shared" si="59"/>
        <v>#NAME?</v>
      </c>
      <c r="Q1600" s="177">
        <v>480.45999999998497</v>
      </c>
      <c r="R1600" s="166">
        <v>480.96999999998502</v>
      </c>
      <c r="S1600" s="166">
        <v>7.8945000000022469</v>
      </c>
    </row>
    <row r="1601" spans="15:19">
      <c r="O1601" s="166">
        <v>480.46999999998502</v>
      </c>
      <c r="P1601" s="169" t="e">
        <f t="shared" si="59"/>
        <v>#NAME?</v>
      </c>
      <c r="Q1601" s="177">
        <v>480.46999999998502</v>
      </c>
      <c r="R1601" s="166">
        <v>480.97999999998501</v>
      </c>
      <c r="S1601" s="166">
        <v>7.8930000000022478</v>
      </c>
    </row>
    <row r="1602" spans="15:19">
      <c r="O1602" s="166">
        <v>480.47999999998598</v>
      </c>
      <c r="P1602" s="169" t="e">
        <f t="shared" si="59"/>
        <v>#NAME?</v>
      </c>
      <c r="Q1602" s="177">
        <v>480.47999999998598</v>
      </c>
      <c r="R1602" s="166">
        <v>480.98999999998603</v>
      </c>
      <c r="S1602" s="166">
        <v>7.8915000000020958</v>
      </c>
    </row>
    <row r="1603" spans="15:19">
      <c r="O1603" s="166">
        <v>480.48999999998603</v>
      </c>
      <c r="P1603" s="169" t="e">
        <f t="shared" si="59"/>
        <v>#NAME?</v>
      </c>
      <c r="Q1603" s="177">
        <v>480.48999999998603</v>
      </c>
      <c r="R1603" s="166">
        <v>480.99999999998602</v>
      </c>
      <c r="S1603" s="166">
        <v>7.8900000000020976</v>
      </c>
    </row>
    <row r="1604" spans="15:19">
      <c r="O1604" s="166">
        <v>480.49999999998499</v>
      </c>
      <c r="P1604" s="169" t="e">
        <f t="shared" ref="P1604:P1667" si="60">VLOOKUP(O1604,THONGSOHO_BTS,2,1)+(VLOOKUP(O1604+5,THONGSOHO_BTS,2,1)-VLOOKUP(O1604,THONGSOHO_BTS,2,1))/5*(O1604-VLOOKUP(O1604,THONGSOHO_BTS,1,1))-264.29</f>
        <v>#NAME?</v>
      </c>
      <c r="Q1604" s="177">
        <v>480.49999999998499</v>
      </c>
      <c r="R1604" s="166">
        <v>481.00999999998498</v>
      </c>
      <c r="S1604" s="166">
        <v>7.8890000000015013</v>
      </c>
    </row>
    <row r="1605" spans="15:19">
      <c r="O1605" s="166">
        <v>480.50999999998498</v>
      </c>
      <c r="P1605" s="169" t="e">
        <f t="shared" si="60"/>
        <v>#NAME?</v>
      </c>
      <c r="Q1605" s="177">
        <v>480.50999999998498</v>
      </c>
      <c r="R1605" s="166">
        <v>481.01999999998498</v>
      </c>
      <c r="S1605" s="166">
        <v>7.8880000000015018</v>
      </c>
    </row>
    <row r="1606" spans="15:19">
      <c r="O1606" s="166">
        <v>480.51999999998498</v>
      </c>
      <c r="P1606" s="169" t="e">
        <f t="shared" si="60"/>
        <v>#NAME?</v>
      </c>
      <c r="Q1606" s="177">
        <v>480.51999999998498</v>
      </c>
      <c r="R1606" s="166">
        <v>481.02999999998502</v>
      </c>
      <c r="S1606" s="166">
        <v>7.887000000001497</v>
      </c>
    </row>
    <row r="1607" spans="15:19">
      <c r="O1607" s="166">
        <v>480.52999999998502</v>
      </c>
      <c r="P1607" s="169" t="e">
        <f t="shared" si="60"/>
        <v>#NAME?</v>
      </c>
      <c r="Q1607" s="177">
        <v>480.52999999998502</v>
      </c>
      <c r="R1607" s="166">
        <v>481.03999999998501</v>
      </c>
      <c r="S1607" s="166">
        <v>7.8860000000014985</v>
      </c>
    </row>
    <row r="1608" spans="15:19">
      <c r="O1608" s="166">
        <v>480.53999999998501</v>
      </c>
      <c r="P1608" s="169" t="e">
        <f t="shared" si="60"/>
        <v>#NAME?</v>
      </c>
      <c r="Q1608" s="177">
        <v>480.53999999998501</v>
      </c>
      <c r="R1608" s="166">
        <v>481.049999999985</v>
      </c>
      <c r="S1608" s="166">
        <v>7.885000000001499</v>
      </c>
    </row>
    <row r="1609" spans="15:19">
      <c r="O1609" s="166">
        <v>480.549999999985</v>
      </c>
      <c r="P1609" s="169" t="e">
        <f t="shared" si="60"/>
        <v>#NAME?</v>
      </c>
      <c r="Q1609" s="177">
        <v>480.549999999985</v>
      </c>
      <c r="R1609" s="166">
        <v>481.059999999985</v>
      </c>
      <c r="S1609" s="166">
        <v>7.8840000000015005</v>
      </c>
    </row>
    <row r="1610" spans="15:19">
      <c r="O1610" s="166">
        <v>480.559999999985</v>
      </c>
      <c r="P1610" s="169" t="e">
        <f t="shared" si="60"/>
        <v>#NAME?</v>
      </c>
      <c r="Q1610" s="177">
        <v>480.559999999985</v>
      </c>
      <c r="R1610" s="166">
        <v>481.06999999998499</v>
      </c>
      <c r="S1610" s="166">
        <v>7.883000000001501</v>
      </c>
    </row>
    <row r="1611" spans="15:19">
      <c r="O1611" s="166">
        <v>480.56999999998499</v>
      </c>
      <c r="P1611" s="169" t="e">
        <f t="shared" si="60"/>
        <v>#NAME?</v>
      </c>
      <c r="Q1611" s="177">
        <v>480.56999999998499</v>
      </c>
      <c r="R1611" s="166">
        <v>481.07999999998498</v>
      </c>
      <c r="S1611" s="166">
        <v>7.8820000000015016</v>
      </c>
    </row>
    <row r="1612" spans="15:19">
      <c r="O1612" s="166">
        <v>480.57999999998498</v>
      </c>
      <c r="P1612" s="169" t="e">
        <f t="shared" si="60"/>
        <v>#NAME?</v>
      </c>
      <c r="Q1612" s="177">
        <v>480.57999999998498</v>
      </c>
      <c r="R1612" s="166">
        <v>481.08999999998503</v>
      </c>
      <c r="S1612" s="166">
        <v>7.8810000000014968</v>
      </c>
    </row>
    <row r="1613" spans="15:19">
      <c r="O1613" s="166">
        <v>480.58999999998503</v>
      </c>
      <c r="P1613" s="169" t="e">
        <f t="shared" si="60"/>
        <v>#NAME?</v>
      </c>
      <c r="Q1613" s="177">
        <v>480.58999999998503</v>
      </c>
      <c r="R1613" s="166">
        <v>481.09999999998502</v>
      </c>
      <c r="S1613" s="166">
        <v>7.8800000000014983</v>
      </c>
    </row>
    <row r="1614" spans="15:19">
      <c r="O1614" s="166">
        <v>480.59999999998502</v>
      </c>
      <c r="P1614" s="169" t="e">
        <f t="shared" si="60"/>
        <v>#NAME?</v>
      </c>
      <c r="Q1614" s="177">
        <v>480.59999999998502</v>
      </c>
      <c r="R1614" s="166">
        <v>481.10999999998501</v>
      </c>
      <c r="S1614" s="166">
        <v>7.8790000000014988</v>
      </c>
    </row>
    <row r="1615" spans="15:19">
      <c r="O1615" s="166">
        <v>480.60999999998501</v>
      </c>
      <c r="P1615" s="169" t="e">
        <f t="shared" si="60"/>
        <v>#NAME?</v>
      </c>
      <c r="Q1615" s="177">
        <v>480.60999999998501</v>
      </c>
      <c r="R1615" s="166">
        <v>481.119999999985</v>
      </c>
      <c r="S1615" s="166">
        <v>7.8780000000015002</v>
      </c>
    </row>
    <row r="1616" spans="15:19">
      <c r="O1616" s="166">
        <v>480.619999999985</v>
      </c>
      <c r="P1616" s="169" t="e">
        <f t="shared" si="60"/>
        <v>#NAME?</v>
      </c>
      <c r="Q1616" s="177">
        <v>480.619999999985</v>
      </c>
      <c r="R1616" s="166">
        <v>481.12999999998499</v>
      </c>
      <c r="S1616" s="166">
        <v>7.8770000000015008</v>
      </c>
    </row>
    <row r="1617" spans="15:19">
      <c r="O1617" s="166">
        <v>480.62999999998499</v>
      </c>
      <c r="P1617" s="169" t="e">
        <f t="shared" si="60"/>
        <v>#NAME?</v>
      </c>
      <c r="Q1617" s="177">
        <v>480.62999999998499</v>
      </c>
      <c r="R1617" s="166">
        <v>481.13999999998498</v>
      </c>
      <c r="S1617" s="166">
        <v>7.8760000000015014</v>
      </c>
    </row>
    <row r="1618" spans="15:19">
      <c r="O1618" s="166">
        <v>480.63999999998498</v>
      </c>
      <c r="P1618" s="169" t="e">
        <f t="shared" si="60"/>
        <v>#NAME?</v>
      </c>
      <c r="Q1618" s="177">
        <v>480.63999999998498</v>
      </c>
      <c r="R1618" s="166">
        <v>481.14999999998503</v>
      </c>
      <c r="S1618" s="166">
        <v>7.8750000000014966</v>
      </c>
    </row>
    <row r="1619" spans="15:19">
      <c r="O1619" s="166">
        <v>480.64999999998503</v>
      </c>
      <c r="P1619" s="169" t="e">
        <f t="shared" si="60"/>
        <v>#NAME?</v>
      </c>
      <c r="Q1619" s="177">
        <v>480.64999999998503</v>
      </c>
      <c r="R1619" s="166">
        <v>481.15999999998502</v>
      </c>
      <c r="S1619" s="166">
        <v>7.874000000001498</v>
      </c>
    </row>
    <row r="1620" spans="15:19">
      <c r="O1620" s="166">
        <v>480.65999999998502</v>
      </c>
      <c r="P1620" s="169" t="e">
        <f t="shared" si="60"/>
        <v>#NAME?</v>
      </c>
      <c r="Q1620" s="177">
        <v>480.65999999998502</v>
      </c>
      <c r="R1620" s="166">
        <v>481.16999999998501</v>
      </c>
      <c r="S1620" s="166">
        <v>7.8730000000014986</v>
      </c>
    </row>
    <row r="1621" spans="15:19">
      <c r="O1621" s="166">
        <v>480.66999999998501</v>
      </c>
      <c r="P1621" s="169" t="e">
        <f t="shared" si="60"/>
        <v>#NAME?</v>
      </c>
      <c r="Q1621" s="177">
        <v>480.66999999998501</v>
      </c>
      <c r="R1621" s="166">
        <v>481.179999999985</v>
      </c>
      <c r="S1621" s="166">
        <v>7.8720000000015</v>
      </c>
    </row>
    <row r="1622" spans="15:19">
      <c r="O1622" s="166">
        <v>480.679999999985</v>
      </c>
      <c r="P1622" s="169" t="e">
        <f t="shared" si="60"/>
        <v>#NAME?</v>
      </c>
      <c r="Q1622" s="177">
        <v>480.679999999985</v>
      </c>
      <c r="R1622" s="166">
        <v>481.18999999998499</v>
      </c>
      <c r="S1622" s="166">
        <v>7.8710000000015006</v>
      </c>
    </row>
    <row r="1623" spans="15:19">
      <c r="O1623" s="166">
        <v>480.68999999998499</v>
      </c>
      <c r="P1623" s="169" t="e">
        <f t="shared" si="60"/>
        <v>#NAME?</v>
      </c>
      <c r="Q1623" s="177">
        <v>480.68999999998499</v>
      </c>
      <c r="R1623" s="166">
        <v>481.19999999998498</v>
      </c>
      <c r="S1623" s="166">
        <v>7.8700000000015011</v>
      </c>
    </row>
    <row r="1624" spans="15:19">
      <c r="O1624" s="166">
        <v>480.69999999998498</v>
      </c>
      <c r="P1624" s="169" t="e">
        <f t="shared" si="60"/>
        <v>#NAME?</v>
      </c>
      <c r="Q1624" s="177">
        <v>480.69999999998498</v>
      </c>
      <c r="R1624" s="166">
        <v>481.20999999998497</v>
      </c>
      <c r="S1624" s="166">
        <v>7.8690000000015026</v>
      </c>
    </row>
    <row r="1625" spans="15:19">
      <c r="O1625" s="166">
        <v>480.70999999998497</v>
      </c>
      <c r="P1625" s="169" t="e">
        <f t="shared" si="60"/>
        <v>#NAME?</v>
      </c>
      <c r="Q1625" s="177">
        <v>480.70999999998497</v>
      </c>
      <c r="R1625" s="166">
        <v>481.21999999998502</v>
      </c>
      <c r="S1625" s="166">
        <v>7.8680000000014978</v>
      </c>
    </row>
    <row r="1626" spans="15:19">
      <c r="O1626" s="166">
        <v>480.71999999998502</v>
      </c>
      <c r="P1626" s="169" t="e">
        <f t="shared" si="60"/>
        <v>#NAME?</v>
      </c>
      <c r="Q1626" s="177">
        <v>480.71999999998502</v>
      </c>
      <c r="R1626" s="166">
        <v>481.22999999998501</v>
      </c>
      <c r="S1626" s="166">
        <v>7.8670000000014983</v>
      </c>
    </row>
    <row r="1627" spans="15:19">
      <c r="O1627" s="166">
        <v>480.72999999998501</v>
      </c>
      <c r="P1627" s="169" t="e">
        <f t="shared" si="60"/>
        <v>#NAME?</v>
      </c>
      <c r="Q1627" s="177">
        <v>480.72999999998501</v>
      </c>
      <c r="R1627" s="166">
        <v>481.239999999985</v>
      </c>
      <c r="S1627" s="166">
        <v>7.8660000000014998</v>
      </c>
    </row>
    <row r="1628" spans="15:19">
      <c r="O1628" s="166">
        <v>480.739999999985</v>
      </c>
      <c r="P1628" s="169" t="e">
        <f t="shared" si="60"/>
        <v>#NAME?</v>
      </c>
      <c r="Q1628" s="177">
        <v>480.739999999985</v>
      </c>
      <c r="R1628" s="166">
        <v>481.24999999998499</v>
      </c>
      <c r="S1628" s="166">
        <v>7.8650000000015003</v>
      </c>
    </row>
    <row r="1629" spans="15:19">
      <c r="O1629" s="166">
        <v>480.74999999998499</v>
      </c>
      <c r="P1629" s="169" t="e">
        <f t="shared" si="60"/>
        <v>#NAME?</v>
      </c>
      <c r="Q1629" s="177">
        <v>480.74999999998499</v>
      </c>
      <c r="R1629" s="166">
        <v>481.25999999998498</v>
      </c>
      <c r="S1629" s="166">
        <v>7.8640000000015018</v>
      </c>
    </row>
    <row r="1630" spans="15:19">
      <c r="O1630" s="166">
        <v>480.75999999998498</v>
      </c>
      <c r="P1630" s="169" t="e">
        <f t="shared" si="60"/>
        <v>#NAME?</v>
      </c>
      <c r="Q1630" s="177">
        <v>480.75999999998498</v>
      </c>
      <c r="R1630" s="166">
        <v>481.26999999998498</v>
      </c>
      <c r="S1630" s="166">
        <v>7.8630000000015023</v>
      </c>
    </row>
    <row r="1631" spans="15:19">
      <c r="O1631" s="166">
        <v>480.76999999998498</v>
      </c>
      <c r="P1631" s="169" t="e">
        <f t="shared" si="60"/>
        <v>#NAME?</v>
      </c>
      <c r="Q1631" s="177">
        <v>480.76999999998498</v>
      </c>
      <c r="R1631" s="166">
        <v>481.27999999998502</v>
      </c>
      <c r="S1631" s="166">
        <v>7.8620000000014976</v>
      </c>
    </row>
    <row r="1632" spans="15:19">
      <c r="O1632" s="166">
        <v>480.77999999998502</v>
      </c>
      <c r="P1632" s="169" t="e">
        <f t="shared" si="60"/>
        <v>#NAME?</v>
      </c>
      <c r="Q1632" s="177">
        <v>480.77999999998502</v>
      </c>
      <c r="R1632" s="166">
        <v>481.28999999998501</v>
      </c>
      <c r="S1632" s="166">
        <v>7.8610000000014981</v>
      </c>
    </row>
    <row r="1633" spans="15:19">
      <c r="O1633" s="166">
        <v>480.78999999998501</v>
      </c>
      <c r="P1633" s="169" t="e">
        <f t="shared" si="60"/>
        <v>#NAME?</v>
      </c>
      <c r="Q1633" s="177">
        <v>480.78999999998501</v>
      </c>
      <c r="R1633" s="166">
        <v>481.299999999985</v>
      </c>
      <c r="S1633" s="166">
        <v>7.8600000000014996</v>
      </c>
    </row>
    <row r="1634" spans="15:19">
      <c r="O1634" s="166">
        <v>480.799999999985</v>
      </c>
      <c r="P1634" s="169" t="e">
        <f t="shared" si="60"/>
        <v>#NAME?</v>
      </c>
      <c r="Q1634" s="177">
        <v>480.799999999985</v>
      </c>
      <c r="R1634" s="166">
        <v>481.309999999985</v>
      </c>
      <c r="S1634" s="166">
        <v>7.8590000000015001</v>
      </c>
    </row>
    <row r="1635" spans="15:19">
      <c r="O1635" s="166">
        <v>480.809999999985</v>
      </c>
      <c r="P1635" s="169" t="e">
        <f t="shared" si="60"/>
        <v>#NAME?</v>
      </c>
      <c r="Q1635" s="177">
        <v>480.809999999985</v>
      </c>
      <c r="R1635" s="166">
        <v>481.31999999998499</v>
      </c>
      <c r="S1635" s="166">
        <v>7.8580000000015016</v>
      </c>
    </row>
    <row r="1636" spans="15:19">
      <c r="O1636" s="166">
        <v>480.81999999998499</v>
      </c>
      <c r="P1636" s="169" t="e">
        <f t="shared" si="60"/>
        <v>#NAME?</v>
      </c>
      <c r="Q1636" s="177">
        <v>480.81999999998499</v>
      </c>
      <c r="R1636" s="166">
        <v>481.32999999998498</v>
      </c>
      <c r="S1636" s="166">
        <v>7.8570000000015021</v>
      </c>
    </row>
    <row r="1637" spans="15:19">
      <c r="O1637" s="166">
        <v>480.82999999998498</v>
      </c>
      <c r="P1637" s="169" t="e">
        <f t="shared" si="60"/>
        <v>#NAME?</v>
      </c>
      <c r="Q1637" s="177">
        <v>480.82999999998498</v>
      </c>
      <c r="R1637" s="166">
        <v>481.33999999998503</v>
      </c>
      <c r="S1637" s="166">
        <v>7.8560000000014973</v>
      </c>
    </row>
    <row r="1638" spans="15:19">
      <c r="O1638" s="166">
        <v>480.83999999998503</v>
      </c>
      <c r="P1638" s="169" t="e">
        <f t="shared" si="60"/>
        <v>#NAME?</v>
      </c>
      <c r="Q1638" s="177">
        <v>480.83999999998503</v>
      </c>
      <c r="R1638" s="166">
        <v>481.34999999998502</v>
      </c>
      <c r="S1638" s="166">
        <v>7.8550000000014979</v>
      </c>
    </row>
    <row r="1639" spans="15:19">
      <c r="O1639" s="166">
        <v>480.84999999998502</v>
      </c>
      <c r="P1639" s="169" t="e">
        <f t="shared" si="60"/>
        <v>#NAME?</v>
      </c>
      <c r="Q1639" s="177">
        <v>480.84999999998502</v>
      </c>
      <c r="R1639" s="166">
        <v>481.35999999998501</v>
      </c>
      <c r="S1639" s="166">
        <v>7.8540000000014993</v>
      </c>
    </row>
    <row r="1640" spans="15:19">
      <c r="O1640" s="166">
        <v>480.85999999998501</v>
      </c>
      <c r="P1640" s="169" t="e">
        <f t="shared" si="60"/>
        <v>#NAME?</v>
      </c>
      <c r="Q1640" s="177">
        <v>480.85999999998501</v>
      </c>
      <c r="R1640" s="166">
        <v>481.369999999985</v>
      </c>
      <c r="S1640" s="166">
        <v>7.8530000000014999</v>
      </c>
    </row>
    <row r="1641" spans="15:19">
      <c r="O1641" s="166">
        <v>480.869999999985</v>
      </c>
      <c r="P1641" s="169" t="e">
        <f t="shared" si="60"/>
        <v>#NAME?</v>
      </c>
      <c r="Q1641" s="177">
        <v>480.869999999985</v>
      </c>
      <c r="R1641" s="166">
        <v>481.37999999998499</v>
      </c>
      <c r="S1641" s="166">
        <v>7.8520000000015013</v>
      </c>
    </row>
    <row r="1642" spans="15:19">
      <c r="O1642" s="166">
        <v>480.87999999998499</v>
      </c>
      <c r="P1642" s="169" t="e">
        <f t="shared" si="60"/>
        <v>#NAME?</v>
      </c>
      <c r="Q1642" s="177">
        <v>480.87999999998499</v>
      </c>
      <c r="R1642" s="166">
        <v>481.38999999998498</v>
      </c>
      <c r="S1642" s="166">
        <v>7.8510000000015019</v>
      </c>
    </row>
    <row r="1643" spans="15:19">
      <c r="O1643" s="166">
        <v>480.88999999998498</v>
      </c>
      <c r="P1643" s="169" t="e">
        <f t="shared" si="60"/>
        <v>#NAME?</v>
      </c>
      <c r="Q1643" s="177">
        <v>480.88999999998498</v>
      </c>
      <c r="R1643" s="166">
        <v>481.39999999998503</v>
      </c>
      <c r="S1643" s="166">
        <v>7.8500000000014971</v>
      </c>
    </row>
    <row r="1644" spans="15:19">
      <c r="O1644" s="166">
        <v>480.89999999998503</v>
      </c>
      <c r="P1644" s="169" t="e">
        <f t="shared" si="60"/>
        <v>#NAME?</v>
      </c>
      <c r="Q1644" s="177">
        <v>480.89999999998503</v>
      </c>
      <c r="R1644" s="166">
        <v>481.40999999998502</v>
      </c>
      <c r="S1644" s="166">
        <v>7.8490000000014977</v>
      </c>
    </row>
    <row r="1645" spans="15:19">
      <c r="O1645" s="166">
        <v>480.90999999998502</v>
      </c>
      <c r="P1645" s="169" t="e">
        <f t="shared" si="60"/>
        <v>#NAME?</v>
      </c>
      <c r="Q1645" s="177">
        <v>480.90999999998502</v>
      </c>
      <c r="R1645" s="166">
        <v>481.41999999998501</v>
      </c>
      <c r="S1645" s="166">
        <v>7.8480000000014991</v>
      </c>
    </row>
    <row r="1646" spans="15:19">
      <c r="O1646" s="166">
        <v>480.91999999998501</v>
      </c>
      <c r="P1646" s="169" t="e">
        <f t="shared" si="60"/>
        <v>#NAME?</v>
      </c>
      <c r="Q1646" s="177">
        <v>480.91999999998501</v>
      </c>
      <c r="R1646" s="166">
        <v>481.429999999985</v>
      </c>
      <c r="S1646" s="166">
        <v>7.8470000000014997</v>
      </c>
    </row>
    <row r="1647" spans="15:19">
      <c r="O1647" s="166">
        <v>480.929999999985</v>
      </c>
      <c r="P1647" s="169" t="e">
        <f t="shared" si="60"/>
        <v>#NAME?</v>
      </c>
      <c r="Q1647" s="177">
        <v>480.929999999985</v>
      </c>
      <c r="R1647" s="166">
        <v>481.43999999998499</v>
      </c>
      <c r="S1647" s="166">
        <v>7.8460000000015011</v>
      </c>
    </row>
    <row r="1648" spans="15:19">
      <c r="O1648" s="166">
        <v>480.93999999998499</v>
      </c>
      <c r="P1648" s="169" t="e">
        <f t="shared" si="60"/>
        <v>#NAME?</v>
      </c>
      <c r="Q1648" s="177">
        <v>480.93999999998499</v>
      </c>
      <c r="R1648" s="166">
        <v>481.44999999998498</v>
      </c>
      <c r="S1648" s="166">
        <v>7.8450000000015017</v>
      </c>
    </row>
    <row r="1649" spans="15:19">
      <c r="O1649" s="166">
        <v>480.94999999998498</v>
      </c>
      <c r="P1649" s="169" t="e">
        <f t="shared" si="60"/>
        <v>#NAME?</v>
      </c>
      <c r="Q1649" s="177">
        <v>480.94999999998498</v>
      </c>
      <c r="R1649" s="166">
        <v>481.45999999998497</v>
      </c>
      <c r="S1649" s="166">
        <v>7.8440000000015022</v>
      </c>
    </row>
    <row r="1650" spans="15:19">
      <c r="O1650" s="166">
        <v>480.95999999998497</v>
      </c>
      <c r="P1650" s="169" t="e">
        <f t="shared" si="60"/>
        <v>#NAME?</v>
      </c>
      <c r="Q1650" s="177">
        <v>480.95999999998497</v>
      </c>
      <c r="R1650" s="166">
        <v>481.46999999998502</v>
      </c>
      <c r="S1650" s="166">
        <v>7.8430000000014974</v>
      </c>
    </row>
    <row r="1651" spans="15:19">
      <c r="O1651" s="166">
        <v>480.96999999998502</v>
      </c>
      <c r="P1651" s="169" t="e">
        <f t="shared" si="60"/>
        <v>#NAME?</v>
      </c>
      <c r="Q1651" s="177">
        <v>480.96999999998502</v>
      </c>
      <c r="R1651" s="166">
        <v>481.47999999998501</v>
      </c>
      <c r="S1651" s="166">
        <v>7.8420000000014989</v>
      </c>
    </row>
    <row r="1652" spans="15:19">
      <c r="O1652" s="166">
        <v>480.97999999998501</v>
      </c>
      <c r="P1652" s="169" t="e">
        <f t="shared" si="60"/>
        <v>#NAME?</v>
      </c>
      <c r="Q1652" s="177">
        <v>480.97999999998501</v>
      </c>
      <c r="R1652" s="166">
        <v>481.489999999985</v>
      </c>
      <c r="S1652" s="166">
        <v>7.8410000000014994</v>
      </c>
    </row>
    <row r="1653" spans="15:19">
      <c r="O1653" s="166">
        <v>480.989999999985</v>
      </c>
      <c r="P1653" s="169" t="e">
        <f t="shared" si="60"/>
        <v>#NAME?</v>
      </c>
      <c r="Q1653" s="177">
        <v>480.989999999985</v>
      </c>
      <c r="R1653" s="166">
        <v>481.49999999998499</v>
      </c>
      <c r="S1653" s="166">
        <v>7.8400000000015009</v>
      </c>
    </row>
    <row r="1654" spans="15:19">
      <c r="O1654" s="166">
        <v>480.99999999998499</v>
      </c>
      <c r="P1654" s="169" t="e">
        <f t="shared" si="60"/>
        <v>#NAME?</v>
      </c>
      <c r="Q1654" s="177">
        <v>480.99999999998499</v>
      </c>
      <c r="R1654" s="166">
        <v>481.50999999998498</v>
      </c>
      <c r="S1654" s="166">
        <v>7.8390000000015014</v>
      </c>
    </row>
    <row r="1655" spans="15:19">
      <c r="O1655" s="166">
        <v>481.00999999998498</v>
      </c>
      <c r="P1655" s="169" t="e">
        <f t="shared" si="60"/>
        <v>#NAME?</v>
      </c>
      <c r="Q1655" s="177">
        <v>481.00999999998498</v>
      </c>
      <c r="R1655" s="166">
        <v>481.51999999998498</v>
      </c>
      <c r="S1655" s="166">
        <v>7.838000000001502</v>
      </c>
    </row>
    <row r="1656" spans="15:19">
      <c r="O1656" s="166">
        <v>481.01999999998498</v>
      </c>
      <c r="P1656" s="169" t="e">
        <f t="shared" si="60"/>
        <v>#NAME?</v>
      </c>
      <c r="Q1656" s="177">
        <v>481.01999999998498</v>
      </c>
      <c r="R1656" s="166">
        <v>481.52999999998502</v>
      </c>
      <c r="S1656" s="166">
        <v>7.8370000000014972</v>
      </c>
    </row>
    <row r="1657" spans="15:19">
      <c r="O1657" s="166">
        <v>481.02999999998502</v>
      </c>
      <c r="P1657" s="169" t="e">
        <f t="shared" si="60"/>
        <v>#NAME?</v>
      </c>
      <c r="Q1657" s="177">
        <v>481.02999999998502</v>
      </c>
      <c r="R1657" s="166">
        <v>481.53999999998501</v>
      </c>
      <c r="S1657" s="166">
        <v>7.8360000000014987</v>
      </c>
    </row>
    <row r="1658" spans="15:19">
      <c r="O1658" s="166">
        <v>481.03999999998501</v>
      </c>
      <c r="P1658" s="169" t="e">
        <f t="shared" si="60"/>
        <v>#NAME?</v>
      </c>
      <c r="Q1658" s="177">
        <v>481.03999999998501</v>
      </c>
      <c r="R1658" s="166">
        <v>481.549999999985</v>
      </c>
      <c r="S1658" s="166">
        <v>7.8350000000014992</v>
      </c>
    </row>
    <row r="1659" spans="15:19">
      <c r="O1659" s="166">
        <v>481.049999999985</v>
      </c>
      <c r="P1659" s="169" t="e">
        <f t="shared" si="60"/>
        <v>#NAME?</v>
      </c>
      <c r="Q1659" s="177">
        <v>481.049999999985</v>
      </c>
      <c r="R1659" s="166">
        <v>481.559999999985</v>
      </c>
      <c r="S1659" s="166">
        <v>7.8340000000015007</v>
      </c>
    </row>
    <row r="1660" spans="15:19">
      <c r="O1660" s="166">
        <v>481.059999999985</v>
      </c>
      <c r="P1660" s="169" t="e">
        <f t="shared" si="60"/>
        <v>#NAME?</v>
      </c>
      <c r="Q1660" s="177">
        <v>481.059999999985</v>
      </c>
      <c r="R1660" s="166">
        <v>481.56999999998499</v>
      </c>
      <c r="S1660" s="166">
        <v>7.8330000000015012</v>
      </c>
    </row>
    <row r="1661" spans="15:19">
      <c r="O1661" s="166">
        <v>481.06999999998499</v>
      </c>
      <c r="P1661" s="169" t="e">
        <f t="shared" si="60"/>
        <v>#NAME?</v>
      </c>
      <c r="Q1661" s="177">
        <v>481.06999999998499</v>
      </c>
      <c r="R1661" s="166">
        <v>481.57999999998498</v>
      </c>
      <c r="S1661" s="166">
        <v>7.8320000000015018</v>
      </c>
    </row>
    <row r="1662" spans="15:19">
      <c r="O1662" s="166">
        <v>481.07999999998498</v>
      </c>
      <c r="P1662" s="169" t="e">
        <f t="shared" si="60"/>
        <v>#NAME?</v>
      </c>
      <c r="Q1662" s="177">
        <v>481.07999999998498</v>
      </c>
      <c r="R1662" s="166">
        <v>481.58999999998503</v>
      </c>
      <c r="S1662" s="166">
        <v>7.831000000001497</v>
      </c>
    </row>
    <row r="1663" spans="15:19">
      <c r="O1663" s="166">
        <v>481.08999999998503</v>
      </c>
      <c r="P1663" s="169" t="e">
        <f t="shared" si="60"/>
        <v>#NAME?</v>
      </c>
      <c r="Q1663" s="177">
        <v>481.08999999998503</v>
      </c>
      <c r="R1663" s="166">
        <v>481.59999999998502</v>
      </c>
      <c r="S1663" s="166">
        <v>7.8300000000014984</v>
      </c>
    </row>
    <row r="1664" spans="15:19">
      <c r="O1664" s="166">
        <v>481.09999999998502</v>
      </c>
      <c r="P1664" s="169" t="e">
        <f t="shared" si="60"/>
        <v>#NAME?</v>
      </c>
      <c r="Q1664" s="177">
        <v>481.09999999998502</v>
      </c>
      <c r="R1664" s="166">
        <v>481.60999999998501</v>
      </c>
      <c r="S1664" s="166">
        <v>7.829000000001499</v>
      </c>
    </row>
    <row r="1665" spans="15:19">
      <c r="O1665" s="166">
        <v>481.10999999998501</v>
      </c>
      <c r="P1665" s="169" t="e">
        <f t="shared" si="60"/>
        <v>#NAME?</v>
      </c>
      <c r="Q1665" s="177">
        <v>481.10999999998501</v>
      </c>
      <c r="R1665" s="166">
        <v>481.619999999985</v>
      </c>
      <c r="S1665" s="166">
        <v>7.8280000000015004</v>
      </c>
    </row>
    <row r="1666" spans="15:19">
      <c r="O1666" s="166">
        <v>481.119999999985</v>
      </c>
      <c r="P1666" s="169" t="e">
        <f t="shared" si="60"/>
        <v>#NAME?</v>
      </c>
      <c r="Q1666" s="177">
        <v>481.119999999985</v>
      </c>
      <c r="R1666" s="166">
        <v>481.62999999998499</v>
      </c>
      <c r="S1666" s="166">
        <v>7.827000000001501</v>
      </c>
    </row>
    <row r="1667" spans="15:19">
      <c r="O1667" s="166">
        <v>481.12999999998499</v>
      </c>
      <c r="P1667" s="169" t="e">
        <f t="shared" si="60"/>
        <v>#NAME?</v>
      </c>
      <c r="Q1667" s="177">
        <v>481.12999999998499</v>
      </c>
      <c r="R1667" s="166">
        <v>481.63999999998498</v>
      </c>
      <c r="S1667" s="166">
        <v>7.8260000000015015</v>
      </c>
    </row>
    <row r="1668" spans="15:19">
      <c r="O1668" s="166">
        <v>481.13999999998498</v>
      </c>
      <c r="P1668" s="169" t="e">
        <f t="shared" ref="P1668:P1731" si="61">VLOOKUP(O1668,THONGSOHO_BTS,2,1)+(VLOOKUP(O1668+5,THONGSOHO_BTS,2,1)-VLOOKUP(O1668,THONGSOHO_BTS,2,1))/5*(O1668-VLOOKUP(O1668,THONGSOHO_BTS,1,1))-264.29</f>
        <v>#NAME?</v>
      </c>
      <c r="Q1668" s="177">
        <v>481.13999999998498</v>
      </c>
      <c r="R1668" s="166">
        <v>481.64999999998503</v>
      </c>
      <c r="S1668" s="166">
        <v>7.8250000000014968</v>
      </c>
    </row>
    <row r="1669" spans="15:19">
      <c r="O1669" s="166">
        <v>481.14999999998503</v>
      </c>
      <c r="P1669" s="169" t="e">
        <f t="shared" si="61"/>
        <v>#NAME?</v>
      </c>
      <c r="Q1669" s="177">
        <v>481.14999999998503</v>
      </c>
      <c r="R1669" s="166">
        <v>481.65999999998502</v>
      </c>
      <c r="S1669" s="166">
        <v>7.8240000000014982</v>
      </c>
    </row>
    <row r="1670" spans="15:19">
      <c r="O1670" s="166">
        <v>481.15999999998502</v>
      </c>
      <c r="P1670" s="169" t="e">
        <f t="shared" si="61"/>
        <v>#NAME?</v>
      </c>
      <c r="Q1670" s="177">
        <v>481.15999999998502</v>
      </c>
      <c r="R1670" s="166">
        <v>481.66999999998501</v>
      </c>
      <c r="S1670" s="166">
        <v>7.8230000000014988</v>
      </c>
    </row>
    <row r="1671" spans="15:19">
      <c r="O1671" s="166">
        <v>481.16999999998501</v>
      </c>
      <c r="P1671" s="169" t="e">
        <f t="shared" si="61"/>
        <v>#NAME?</v>
      </c>
      <c r="Q1671" s="177">
        <v>481.16999999998501</v>
      </c>
      <c r="R1671" s="166">
        <v>481.679999999985</v>
      </c>
      <c r="S1671" s="166">
        <v>7.8220000000015002</v>
      </c>
    </row>
    <row r="1672" spans="15:19">
      <c r="O1672" s="166">
        <v>481.179999999985</v>
      </c>
      <c r="P1672" s="169" t="e">
        <f t="shared" si="61"/>
        <v>#NAME?</v>
      </c>
      <c r="Q1672" s="177">
        <v>481.179999999985</v>
      </c>
      <c r="R1672" s="166">
        <v>481.68999999998499</v>
      </c>
      <c r="S1672" s="166">
        <v>7.8210000000015008</v>
      </c>
    </row>
    <row r="1673" spans="15:19">
      <c r="O1673" s="166">
        <v>481.18999999998499</v>
      </c>
      <c r="P1673" s="169" t="e">
        <f t="shared" si="61"/>
        <v>#NAME?</v>
      </c>
      <c r="Q1673" s="177">
        <v>481.18999999998499</v>
      </c>
      <c r="R1673" s="166">
        <v>481.69999999998498</v>
      </c>
      <c r="S1673" s="166">
        <v>7.8200000000015013</v>
      </c>
    </row>
    <row r="1674" spans="15:19">
      <c r="O1674" s="166">
        <v>481.19999999998498</v>
      </c>
      <c r="P1674" s="169" t="e">
        <f t="shared" si="61"/>
        <v>#NAME?</v>
      </c>
      <c r="Q1674" s="177">
        <v>481.19999999998498</v>
      </c>
      <c r="R1674" s="166">
        <v>481.70999999998497</v>
      </c>
      <c r="S1674" s="166">
        <v>7.8190000000015027</v>
      </c>
    </row>
    <row r="1675" spans="15:19">
      <c r="O1675" s="166">
        <v>481.20999999998497</v>
      </c>
      <c r="P1675" s="169" t="e">
        <f t="shared" si="61"/>
        <v>#NAME?</v>
      </c>
      <c r="Q1675" s="177">
        <v>481.20999999998497</v>
      </c>
      <c r="R1675" s="166">
        <v>481.71999999998502</v>
      </c>
      <c r="S1675" s="166">
        <v>7.818000000001498</v>
      </c>
    </row>
    <row r="1676" spans="15:19">
      <c r="O1676" s="166">
        <v>481.21999999998502</v>
      </c>
      <c r="P1676" s="169" t="e">
        <f t="shared" si="61"/>
        <v>#NAME?</v>
      </c>
      <c r="Q1676" s="177">
        <v>481.21999999998502</v>
      </c>
      <c r="R1676" s="166">
        <v>481.72999999998501</v>
      </c>
      <c r="S1676" s="166">
        <v>7.8170000000014985</v>
      </c>
    </row>
    <row r="1677" spans="15:19">
      <c r="O1677" s="166">
        <v>481.22999999998501</v>
      </c>
      <c r="P1677" s="169" t="e">
        <f t="shared" si="61"/>
        <v>#NAME?</v>
      </c>
      <c r="Q1677" s="177">
        <v>481.22999999998501</v>
      </c>
      <c r="R1677" s="166">
        <v>481.739999999985</v>
      </c>
      <c r="S1677" s="166">
        <v>7.8160000000015</v>
      </c>
    </row>
    <row r="1678" spans="15:19">
      <c r="O1678" s="166">
        <v>481.239999999985</v>
      </c>
      <c r="P1678" s="169" t="e">
        <f t="shared" si="61"/>
        <v>#NAME?</v>
      </c>
      <c r="Q1678" s="177">
        <v>481.239999999985</v>
      </c>
      <c r="R1678" s="166">
        <v>481.74999999998499</v>
      </c>
      <c r="S1678" s="166">
        <v>7.8150000000015005</v>
      </c>
    </row>
    <row r="1679" spans="15:19">
      <c r="O1679" s="166">
        <v>481.24999999998499</v>
      </c>
      <c r="P1679" s="169" t="e">
        <f t="shared" si="61"/>
        <v>#NAME?</v>
      </c>
      <c r="Q1679" s="177">
        <v>481.24999999998499</v>
      </c>
      <c r="R1679" s="166">
        <v>481.75999999998498</v>
      </c>
      <c r="S1679" s="166">
        <v>7.8140000000015011</v>
      </c>
    </row>
    <row r="1680" spans="15:19">
      <c r="O1680" s="166">
        <v>481.25999999998498</v>
      </c>
      <c r="P1680" s="169" t="e">
        <f t="shared" si="61"/>
        <v>#NAME?</v>
      </c>
      <c r="Q1680" s="177">
        <v>481.25999999998498</v>
      </c>
      <c r="R1680" s="166">
        <v>481.76999999998498</v>
      </c>
      <c r="S1680" s="166">
        <v>7.8130000000015025</v>
      </c>
    </row>
    <row r="1681" spans="15:19">
      <c r="O1681" s="166">
        <v>481.26999999998498</v>
      </c>
      <c r="P1681" s="169" t="e">
        <f t="shared" si="61"/>
        <v>#NAME?</v>
      </c>
      <c r="Q1681" s="177">
        <v>481.26999999998498</v>
      </c>
      <c r="R1681" s="166">
        <v>481.77999999998502</v>
      </c>
      <c r="S1681" s="166">
        <v>7.8120000000014977</v>
      </c>
    </row>
    <row r="1682" spans="15:19">
      <c r="O1682" s="166">
        <v>481.27999999998502</v>
      </c>
      <c r="P1682" s="169" t="e">
        <f t="shared" si="61"/>
        <v>#NAME?</v>
      </c>
      <c r="Q1682" s="177">
        <v>481.27999999998502</v>
      </c>
      <c r="R1682" s="166">
        <v>481.78999999998501</v>
      </c>
      <c r="S1682" s="166">
        <v>7.8110000000014983</v>
      </c>
    </row>
    <row r="1683" spans="15:19">
      <c r="O1683" s="166">
        <v>481.28999999998501</v>
      </c>
      <c r="P1683" s="169" t="e">
        <f t="shared" si="61"/>
        <v>#NAME?</v>
      </c>
      <c r="Q1683" s="177">
        <v>481.28999999998501</v>
      </c>
      <c r="R1683" s="166">
        <v>481.799999999985</v>
      </c>
      <c r="S1683" s="166">
        <v>7.8100000000014997</v>
      </c>
    </row>
    <row r="1684" spans="15:19">
      <c r="O1684" s="166">
        <v>481.299999999985</v>
      </c>
      <c r="P1684" s="169" t="e">
        <f t="shared" si="61"/>
        <v>#NAME?</v>
      </c>
      <c r="Q1684" s="177">
        <v>481.299999999985</v>
      </c>
      <c r="R1684" s="166">
        <v>481.809999999985</v>
      </c>
      <c r="S1684" s="166">
        <v>7.8090000000015003</v>
      </c>
    </row>
    <row r="1685" spans="15:19">
      <c r="O1685" s="166">
        <v>481.309999999985</v>
      </c>
      <c r="P1685" s="169" t="e">
        <f t="shared" si="61"/>
        <v>#NAME?</v>
      </c>
      <c r="Q1685" s="177">
        <v>481.309999999985</v>
      </c>
      <c r="R1685" s="166">
        <v>481.81999999998499</v>
      </c>
      <c r="S1685" s="166">
        <v>7.8080000000015017</v>
      </c>
    </row>
    <row r="1686" spans="15:19">
      <c r="O1686" s="166">
        <v>481.31999999998499</v>
      </c>
      <c r="P1686" s="169" t="e">
        <f t="shared" si="61"/>
        <v>#NAME?</v>
      </c>
      <c r="Q1686" s="177">
        <v>481.31999999998499</v>
      </c>
      <c r="R1686" s="166">
        <v>481.82999999998498</v>
      </c>
      <c r="S1686" s="166">
        <v>7.8070000000015023</v>
      </c>
    </row>
    <row r="1687" spans="15:19">
      <c r="O1687" s="166">
        <v>481.32999999998498</v>
      </c>
      <c r="P1687" s="169" t="e">
        <f t="shared" si="61"/>
        <v>#NAME?</v>
      </c>
      <c r="Q1687" s="177">
        <v>481.32999999998498</v>
      </c>
      <c r="R1687" s="166">
        <v>481.83999999998503</v>
      </c>
      <c r="S1687" s="166">
        <v>7.8060000000014975</v>
      </c>
    </row>
    <row r="1688" spans="15:19">
      <c r="O1688" s="166">
        <v>481.33999999998503</v>
      </c>
      <c r="P1688" s="169" t="e">
        <f t="shared" si="61"/>
        <v>#NAME?</v>
      </c>
      <c r="Q1688" s="177">
        <v>481.33999999998503</v>
      </c>
      <c r="R1688" s="166">
        <v>481.84999999998502</v>
      </c>
      <c r="S1688" s="166">
        <v>7.8050000000014981</v>
      </c>
    </row>
    <row r="1689" spans="15:19">
      <c r="O1689" s="166">
        <v>481.34999999998502</v>
      </c>
      <c r="P1689" s="169" t="e">
        <f t="shared" si="61"/>
        <v>#NAME?</v>
      </c>
      <c r="Q1689" s="177">
        <v>481.34999999998502</v>
      </c>
      <c r="R1689" s="166">
        <v>481.85999999998501</v>
      </c>
      <c r="S1689" s="166">
        <v>7.8040000000014995</v>
      </c>
    </row>
    <row r="1690" spans="15:19">
      <c r="O1690" s="166">
        <v>481.35999999998501</v>
      </c>
      <c r="P1690" s="169" t="e">
        <f t="shared" si="61"/>
        <v>#NAME?</v>
      </c>
      <c r="Q1690" s="177">
        <v>481.35999999998501</v>
      </c>
      <c r="R1690" s="166">
        <v>481.869999999985</v>
      </c>
      <c r="S1690" s="166">
        <v>7.8030000000015001</v>
      </c>
    </row>
    <row r="1691" spans="15:19">
      <c r="O1691" s="166">
        <v>481.369999999985</v>
      </c>
      <c r="P1691" s="169" t="e">
        <f t="shared" si="61"/>
        <v>#NAME?</v>
      </c>
      <c r="Q1691" s="177">
        <v>481.369999999985</v>
      </c>
      <c r="R1691" s="166">
        <v>481.87999999998499</v>
      </c>
      <c r="S1691" s="166">
        <v>7.8020000000015015</v>
      </c>
    </row>
    <row r="1692" spans="15:19">
      <c r="O1692" s="166">
        <v>481.37999999998499</v>
      </c>
      <c r="P1692" s="169" t="e">
        <f t="shared" si="61"/>
        <v>#NAME?</v>
      </c>
      <c r="Q1692" s="177">
        <v>481.37999999998499</v>
      </c>
      <c r="R1692" s="166">
        <v>481.88999999998498</v>
      </c>
      <c r="S1692" s="166">
        <v>7.8010000000015021</v>
      </c>
    </row>
    <row r="1693" spans="15:19">
      <c r="O1693" s="166">
        <v>481.38999999998498</v>
      </c>
      <c r="P1693" s="169" t="e">
        <f t="shared" si="61"/>
        <v>#NAME?</v>
      </c>
      <c r="Q1693" s="177">
        <v>481.38999999998498</v>
      </c>
      <c r="R1693" s="166">
        <v>481.89999999998503</v>
      </c>
      <c r="S1693" s="166">
        <v>7.8000000000014973</v>
      </c>
    </row>
    <row r="1694" spans="15:19">
      <c r="O1694" s="166">
        <v>481.39999999998503</v>
      </c>
      <c r="P1694" s="169" t="e">
        <f t="shared" si="61"/>
        <v>#NAME?</v>
      </c>
      <c r="Q1694" s="177">
        <v>481.39999999998503</v>
      </c>
      <c r="R1694" s="166">
        <v>481.90999999998502</v>
      </c>
      <c r="S1694" s="166">
        <v>7.7990000000014978</v>
      </c>
    </row>
    <row r="1695" spans="15:19">
      <c r="O1695" s="166">
        <v>481.40999999998502</v>
      </c>
      <c r="P1695" s="169" t="e">
        <f t="shared" si="61"/>
        <v>#NAME?</v>
      </c>
      <c r="Q1695" s="177">
        <v>481.40999999998502</v>
      </c>
      <c r="R1695" s="166">
        <v>481.91999999998501</v>
      </c>
      <c r="S1695" s="166">
        <v>7.7980000000014993</v>
      </c>
    </row>
    <row r="1696" spans="15:19">
      <c r="O1696" s="166">
        <v>481.41999999998501</v>
      </c>
      <c r="P1696" s="169" t="e">
        <f t="shared" si="61"/>
        <v>#NAME?</v>
      </c>
      <c r="Q1696" s="177">
        <v>481.41999999998501</v>
      </c>
      <c r="R1696" s="166">
        <v>481.929999999985</v>
      </c>
      <c r="S1696" s="166">
        <v>7.7970000000014998</v>
      </c>
    </row>
    <row r="1697" spans="15:19">
      <c r="O1697" s="166">
        <v>481.429999999985</v>
      </c>
      <c r="P1697" s="169" t="e">
        <f t="shared" si="61"/>
        <v>#NAME?</v>
      </c>
      <c r="Q1697" s="177">
        <v>481.429999999985</v>
      </c>
      <c r="R1697" s="166">
        <v>481.93999999998499</v>
      </c>
      <c r="S1697" s="166">
        <v>7.7960000000015013</v>
      </c>
    </row>
    <row r="1698" spans="15:19">
      <c r="O1698" s="166">
        <v>481.43999999998499</v>
      </c>
      <c r="P1698" s="169" t="e">
        <f t="shared" si="61"/>
        <v>#NAME?</v>
      </c>
      <c r="Q1698" s="177">
        <v>481.43999999998499</v>
      </c>
      <c r="R1698" s="166">
        <v>481.94999999998498</v>
      </c>
      <c r="S1698" s="166">
        <v>7.7950000000015018</v>
      </c>
    </row>
    <row r="1699" spans="15:19">
      <c r="O1699" s="166">
        <v>481.44999999998498</v>
      </c>
      <c r="P1699" s="169" t="e">
        <f t="shared" si="61"/>
        <v>#NAME?</v>
      </c>
      <c r="Q1699" s="177">
        <v>481.44999999998498</v>
      </c>
      <c r="R1699" s="166">
        <v>481.95999999998497</v>
      </c>
      <c r="S1699" s="166">
        <v>7.7940000000015024</v>
      </c>
    </row>
    <row r="1700" spans="15:19">
      <c r="O1700" s="166">
        <v>481.45999999998497</v>
      </c>
      <c r="P1700" s="169" t="e">
        <f t="shared" si="61"/>
        <v>#NAME?</v>
      </c>
      <c r="Q1700" s="177">
        <v>481.45999999998497</v>
      </c>
      <c r="R1700" s="166">
        <v>481.96999999998502</v>
      </c>
      <c r="S1700" s="166">
        <v>7.7930000000014976</v>
      </c>
    </row>
    <row r="1701" spans="15:19">
      <c r="O1701" s="166">
        <v>481.46999999998502</v>
      </c>
      <c r="P1701" s="169" t="e">
        <f t="shared" si="61"/>
        <v>#NAME?</v>
      </c>
      <c r="Q1701" s="177">
        <v>481.46999999998502</v>
      </c>
      <c r="R1701" s="166">
        <v>481.97999999998501</v>
      </c>
      <c r="S1701" s="166">
        <v>7.7920000000014991</v>
      </c>
    </row>
    <row r="1702" spans="15:19">
      <c r="O1702" s="166">
        <v>481.47999999998501</v>
      </c>
      <c r="P1702" s="169" t="e">
        <f t="shared" si="61"/>
        <v>#NAME?</v>
      </c>
      <c r="Q1702" s="177">
        <v>481.47999999998501</v>
      </c>
      <c r="R1702" s="166">
        <v>481.989999999985</v>
      </c>
      <c r="S1702" s="166">
        <v>7.7910000000014996</v>
      </c>
    </row>
    <row r="1703" spans="15:19">
      <c r="O1703" s="166">
        <v>481.48999999998398</v>
      </c>
      <c r="P1703" s="169" t="e">
        <f t="shared" si="61"/>
        <v>#NAME?</v>
      </c>
      <c r="Q1703" s="177">
        <v>481.48999999998398</v>
      </c>
      <c r="R1703" s="166">
        <v>481.99999999998403</v>
      </c>
      <c r="S1703" s="166">
        <v>7.790000000001597</v>
      </c>
    </row>
    <row r="1704" spans="15:19">
      <c r="O1704" s="166">
        <v>481.49999999998403</v>
      </c>
      <c r="P1704" s="169" t="e">
        <f t="shared" si="61"/>
        <v>#NAME?</v>
      </c>
      <c r="Q1704" s="177">
        <v>481.49999999998403</v>
      </c>
      <c r="R1704" s="166">
        <v>482.00999999998402</v>
      </c>
      <c r="S1704" s="166">
        <v>7.7889000000017576</v>
      </c>
    </row>
    <row r="1705" spans="15:19">
      <c r="O1705" s="166">
        <v>481.50999999998498</v>
      </c>
      <c r="P1705" s="169" t="e">
        <f t="shared" si="61"/>
        <v>#NAME?</v>
      </c>
      <c r="Q1705" s="177">
        <v>481.50999999998498</v>
      </c>
      <c r="R1705" s="166">
        <v>482.01999999998498</v>
      </c>
      <c r="S1705" s="166">
        <v>7.7878000000016527</v>
      </c>
    </row>
    <row r="1706" spans="15:19">
      <c r="O1706" s="166">
        <v>481.51999999998498</v>
      </c>
      <c r="P1706" s="169" t="e">
        <f t="shared" si="61"/>
        <v>#NAME?</v>
      </c>
      <c r="Q1706" s="177">
        <v>481.51999999998498</v>
      </c>
      <c r="R1706" s="166">
        <v>482.02999999998502</v>
      </c>
      <c r="S1706" s="166">
        <v>7.7867000000016473</v>
      </c>
    </row>
    <row r="1707" spans="15:19">
      <c r="O1707" s="166">
        <v>481.52999999998502</v>
      </c>
      <c r="P1707" s="169" t="e">
        <f t="shared" si="61"/>
        <v>#NAME?</v>
      </c>
      <c r="Q1707" s="177">
        <v>481.52999999998502</v>
      </c>
      <c r="R1707" s="166">
        <v>482.03999999998501</v>
      </c>
      <c r="S1707" s="166">
        <v>7.7856000000016481</v>
      </c>
    </row>
    <row r="1708" spans="15:19">
      <c r="O1708" s="166">
        <v>481.53999999998501</v>
      </c>
      <c r="P1708" s="169" t="e">
        <f t="shared" si="61"/>
        <v>#NAME?</v>
      </c>
      <c r="Q1708" s="177">
        <v>481.53999999998501</v>
      </c>
      <c r="R1708" s="166">
        <v>482.04999999998398</v>
      </c>
      <c r="S1708" s="166">
        <v>7.7845000000017617</v>
      </c>
    </row>
    <row r="1709" spans="15:19">
      <c r="O1709" s="166">
        <v>481.54999999998398</v>
      </c>
      <c r="P1709" s="169" t="e">
        <f t="shared" si="61"/>
        <v>#NAME?</v>
      </c>
      <c r="Q1709" s="177">
        <v>481.54999999998398</v>
      </c>
      <c r="R1709" s="166">
        <v>482.05999999998397</v>
      </c>
      <c r="S1709" s="166">
        <v>7.7834000000017634</v>
      </c>
    </row>
    <row r="1710" spans="15:19">
      <c r="O1710" s="166">
        <v>481.55999999998397</v>
      </c>
      <c r="P1710" s="169" t="e">
        <f t="shared" si="61"/>
        <v>#NAME?</v>
      </c>
      <c r="Q1710" s="177">
        <v>481.55999999998397</v>
      </c>
      <c r="R1710" s="166">
        <v>482.06999999998402</v>
      </c>
      <c r="S1710" s="166">
        <v>7.7823000000017579</v>
      </c>
    </row>
    <row r="1711" spans="15:19">
      <c r="O1711" s="166">
        <v>481.56999999998402</v>
      </c>
      <c r="P1711" s="169" t="e">
        <f t="shared" si="61"/>
        <v>#NAME?</v>
      </c>
      <c r="Q1711" s="177">
        <v>481.56999999998402</v>
      </c>
      <c r="R1711" s="166">
        <v>482.07999999998401</v>
      </c>
      <c r="S1711" s="166">
        <v>7.7812000000017587</v>
      </c>
    </row>
    <row r="1712" spans="15:19">
      <c r="O1712" s="166">
        <v>481.57999999998498</v>
      </c>
      <c r="P1712" s="169" t="e">
        <f t="shared" si="61"/>
        <v>#NAME?</v>
      </c>
      <c r="Q1712" s="177">
        <v>481.57999999998498</v>
      </c>
      <c r="R1712" s="166">
        <v>482.08999999998503</v>
      </c>
      <c r="S1712" s="166">
        <v>7.7801000000016476</v>
      </c>
    </row>
    <row r="1713" spans="15:19">
      <c r="O1713" s="166">
        <v>481.58999999998503</v>
      </c>
      <c r="P1713" s="169" t="e">
        <f t="shared" si="61"/>
        <v>#NAME?</v>
      </c>
      <c r="Q1713" s="177">
        <v>481.58999999998503</v>
      </c>
      <c r="R1713" s="166">
        <v>482.09999999998502</v>
      </c>
      <c r="S1713" s="166">
        <v>7.7790000000016484</v>
      </c>
    </row>
    <row r="1714" spans="15:19">
      <c r="O1714" s="166">
        <v>481.59999999998399</v>
      </c>
      <c r="P1714" s="169" t="e">
        <f t="shared" si="61"/>
        <v>#NAME?</v>
      </c>
      <c r="Q1714" s="177">
        <v>481.59999999998399</v>
      </c>
      <c r="R1714" s="166">
        <v>482.10999999998398</v>
      </c>
      <c r="S1714" s="166">
        <v>7.777900000001762</v>
      </c>
    </row>
    <row r="1715" spans="15:19">
      <c r="O1715" s="166">
        <v>481.60999999998398</v>
      </c>
      <c r="P1715" s="169" t="e">
        <f t="shared" si="61"/>
        <v>#NAME?</v>
      </c>
      <c r="Q1715" s="177">
        <v>481.60999999998398</v>
      </c>
      <c r="R1715" s="166">
        <v>482.11999999998397</v>
      </c>
      <c r="S1715" s="166">
        <v>7.7768000000017627</v>
      </c>
    </row>
    <row r="1716" spans="15:19">
      <c r="O1716" s="166">
        <v>481.61999999998397</v>
      </c>
      <c r="P1716" s="169" t="e">
        <f t="shared" si="61"/>
        <v>#NAME?</v>
      </c>
      <c r="Q1716" s="177">
        <v>481.61999999998397</v>
      </c>
      <c r="R1716" s="166">
        <v>482.12999999998402</v>
      </c>
      <c r="S1716" s="166">
        <v>7.7757000000017573</v>
      </c>
    </row>
    <row r="1717" spans="15:19">
      <c r="O1717" s="166">
        <v>481.62999999998402</v>
      </c>
      <c r="P1717" s="169" t="e">
        <f t="shared" si="61"/>
        <v>#NAME?</v>
      </c>
      <c r="Q1717" s="177">
        <v>481.62999999998402</v>
      </c>
      <c r="R1717" s="166">
        <v>482.13999999998401</v>
      </c>
      <c r="S1717" s="166">
        <v>7.7746000000017581</v>
      </c>
    </row>
    <row r="1718" spans="15:19">
      <c r="O1718" s="166">
        <v>481.63999999998401</v>
      </c>
      <c r="P1718" s="169" t="e">
        <f t="shared" si="61"/>
        <v>#NAME?</v>
      </c>
      <c r="Q1718" s="177">
        <v>481.63999999998401</v>
      </c>
      <c r="R1718" s="166">
        <v>482.149999999984</v>
      </c>
      <c r="S1718" s="166">
        <v>7.7735000000017598</v>
      </c>
    </row>
    <row r="1719" spans="15:19">
      <c r="O1719" s="166">
        <v>481.649999999984</v>
      </c>
      <c r="P1719" s="169" t="e">
        <f t="shared" si="61"/>
        <v>#NAME?</v>
      </c>
      <c r="Q1719" s="177">
        <v>481.649999999984</v>
      </c>
      <c r="R1719" s="166">
        <v>482.159999999984</v>
      </c>
      <c r="S1719" s="166">
        <v>7.7724000000017606</v>
      </c>
    </row>
    <row r="1720" spans="15:19">
      <c r="O1720" s="166">
        <v>481.659999999984</v>
      </c>
      <c r="P1720" s="169" t="e">
        <f t="shared" si="61"/>
        <v>#NAME?</v>
      </c>
      <c r="Q1720" s="177">
        <v>481.659999999984</v>
      </c>
      <c r="R1720" s="166">
        <v>482.16999999998399</v>
      </c>
      <c r="S1720" s="166">
        <v>7.7713000000017614</v>
      </c>
    </row>
    <row r="1721" spans="15:19">
      <c r="O1721" s="166">
        <v>481.66999999998399</v>
      </c>
      <c r="P1721" s="169" t="e">
        <f t="shared" si="61"/>
        <v>#NAME?</v>
      </c>
      <c r="Q1721" s="177">
        <v>481.66999999998399</v>
      </c>
      <c r="R1721" s="166">
        <v>482.17999999998398</v>
      </c>
      <c r="S1721" s="166">
        <v>7.7702000000017621</v>
      </c>
    </row>
    <row r="1722" spans="15:19">
      <c r="O1722" s="166">
        <v>481.67999999998398</v>
      </c>
      <c r="P1722" s="169" t="e">
        <f t="shared" si="61"/>
        <v>#NAME?</v>
      </c>
      <c r="Q1722" s="177">
        <v>481.67999999998398</v>
      </c>
      <c r="R1722" s="166">
        <v>482.18999999998402</v>
      </c>
      <c r="S1722" s="166">
        <v>7.7691000000017576</v>
      </c>
    </row>
    <row r="1723" spans="15:19">
      <c r="O1723" s="166">
        <v>481.68999999998402</v>
      </c>
      <c r="P1723" s="169" t="e">
        <f t="shared" si="61"/>
        <v>#NAME?</v>
      </c>
      <c r="Q1723" s="177">
        <v>481.68999999998402</v>
      </c>
      <c r="R1723" s="166">
        <v>482.19999999998402</v>
      </c>
      <c r="S1723" s="166">
        <v>7.7680000000017584</v>
      </c>
    </row>
    <row r="1724" spans="15:19">
      <c r="O1724" s="166">
        <v>481.69999999998402</v>
      </c>
      <c r="P1724" s="169" t="e">
        <f t="shared" si="61"/>
        <v>#NAME?</v>
      </c>
      <c r="Q1724" s="177">
        <v>481.69999999998402</v>
      </c>
      <c r="R1724" s="166">
        <v>482.20999999998401</v>
      </c>
      <c r="S1724" s="166">
        <v>7.7669000000017592</v>
      </c>
    </row>
    <row r="1725" spans="15:19">
      <c r="O1725" s="166">
        <v>481.70999999998401</v>
      </c>
      <c r="P1725" s="169" t="e">
        <f t="shared" si="61"/>
        <v>#NAME?</v>
      </c>
      <c r="Q1725" s="177">
        <v>481.70999999998401</v>
      </c>
      <c r="R1725" s="166">
        <v>482.219999999984</v>
      </c>
      <c r="S1725" s="166">
        <v>7.76580000000176</v>
      </c>
    </row>
    <row r="1726" spans="15:19">
      <c r="O1726" s="166">
        <v>481.719999999984</v>
      </c>
      <c r="P1726" s="169" t="e">
        <f t="shared" si="61"/>
        <v>#NAME?</v>
      </c>
      <c r="Q1726" s="177">
        <v>481.719999999984</v>
      </c>
      <c r="R1726" s="166">
        <v>482.22999999998399</v>
      </c>
      <c r="S1726" s="166">
        <v>7.7647000000017616</v>
      </c>
    </row>
    <row r="1727" spans="15:19">
      <c r="O1727" s="166">
        <v>481.72999999998399</v>
      </c>
      <c r="P1727" s="169" t="e">
        <f t="shared" si="61"/>
        <v>#NAME?</v>
      </c>
      <c r="Q1727" s="177">
        <v>481.72999999998399</v>
      </c>
      <c r="R1727" s="166">
        <v>482.23999999998398</v>
      </c>
      <c r="S1727" s="166">
        <v>7.7636000000017624</v>
      </c>
    </row>
    <row r="1728" spans="15:19">
      <c r="O1728" s="166">
        <v>481.73999999998398</v>
      </c>
      <c r="P1728" s="169" t="e">
        <f t="shared" si="61"/>
        <v>#NAME?</v>
      </c>
      <c r="Q1728" s="177">
        <v>481.73999999998398</v>
      </c>
      <c r="R1728" s="166">
        <v>482.24999999998403</v>
      </c>
      <c r="S1728" s="166">
        <v>7.762500000001757</v>
      </c>
    </row>
    <row r="1729" spans="15:19">
      <c r="O1729" s="166">
        <v>481.74999999998403</v>
      </c>
      <c r="P1729" s="169" t="e">
        <f t="shared" si="61"/>
        <v>#NAME?</v>
      </c>
      <c r="Q1729" s="177">
        <v>481.74999999998403</v>
      </c>
      <c r="R1729" s="166">
        <v>482.25999999998402</v>
      </c>
      <c r="S1729" s="166">
        <v>7.7614000000017578</v>
      </c>
    </row>
    <row r="1730" spans="15:19">
      <c r="O1730" s="166">
        <v>481.75999999998402</v>
      </c>
      <c r="P1730" s="169" t="e">
        <f t="shared" si="61"/>
        <v>#NAME?</v>
      </c>
      <c r="Q1730" s="177">
        <v>481.75999999998402</v>
      </c>
      <c r="R1730" s="166">
        <v>482.26999999998401</v>
      </c>
      <c r="S1730" s="166">
        <v>7.7603000000017586</v>
      </c>
    </row>
    <row r="1731" spans="15:19">
      <c r="O1731" s="166">
        <v>481.76999999998401</v>
      </c>
      <c r="P1731" s="169" t="e">
        <f t="shared" si="61"/>
        <v>#NAME?</v>
      </c>
      <c r="Q1731" s="177">
        <v>481.76999999998401</v>
      </c>
      <c r="R1731" s="166">
        <v>482.279999999984</v>
      </c>
      <c r="S1731" s="166">
        <v>7.7592000000017602</v>
      </c>
    </row>
    <row r="1732" spans="15:19">
      <c r="O1732" s="166">
        <v>481.779999999984</v>
      </c>
      <c r="P1732" s="169" t="e">
        <f t="shared" ref="P1732:P1795" si="62">VLOOKUP(O1732,THONGSOHO_BTS,2,1)+(VLOOKUP(O1732+5,THONGSOHO_BTS,2,1)-VLOOKUP(O1732,THONGSOHO_BTS,2,1))/5*(O1732-VLOOKUP(O1732,THONGSOHO_BTS,1,1))-264.29</f>
        <v>#NAME?</v>
      </c>
      <c r="Q1732" s="177">
        <v>481.779999999984</v>
      </c>
      <c r="R1732" s="166">
        <v>482.28999999998399</v>
      </c>
      <c r="S1732" s="166">
        <v>7.758100000001761</v>
      </c>
    </row>
    <row r="1733" spans="15:19">
      <c r="O1733" s="166">
        <v>481.78999999998399</v>
      </c>
      <c r="P1733" s="169" t="e">
        <f t="shared" si="62"/>
        <v>#NAME?</v>
      </c>
      <c r="Q1733" s="177">
        <v>481.78999999998399</v>
      </c>
      <c r="R1733" s="166">
        <v>482.29999999998398</v>
      </c>
      <c r="S1733" s="166">
        <v>7.7570000000017618</v>
      </c>
    </row>
    <row r="1734" spans="15:19">
      <c r="O1734" s="166">
        <v>481.79999999998398</v>
      </c>
      <c r="P1734" s="169" t="e">
        <f t="shared" si="62"/>
        <v>#NAME?</v>
      </c>
      <c r="Q1734" s="177">
        <v>481.79999999998398</v>
      </c>
      <c r="R1734" s="166">
        <v>482.30999999998397</v>
      </c>
      <c r="S1734" s="166">
        <v>7.7559000000017626</v>
      </c>
    </row>
    <row r="1735" spans="15:19">
      <c r="O1735" s="166">
        <v>481.80999999998397</v>
      </c>
      <c r="P1735" s="169" t="e">
        <f t="shared" si="62"/>
        <v>#NAME?</v>
      </c>
      <c r="Q1735" s="177">
        <v>481.80999999998397</v>
      </c>
      <c r="R1735" s="166">
        <v>482.31999999998402</v>
      </c>
      <c r="S1735" s="166">
        <v>7.7548000000017581</v>
      </c>
    </row>
    <row r="1736" spans="15:19">
      <c r="O1736" s="166">
        <v>481.81999999998402</v>
      </c>
      <c r="P1736" s="169" t="e">
        <f t="shared" si="62"/>
        <v>#NAME?</v>
      </c>
      <c r="Q1736" s="177">
        <v>481.81999999998402</v>
      </c>
      <c r="R1736" s="166">
        <v>482.32999999998401</v>
      </c>
      <c r="S1736" s="166">
        <v>7.7537000000017589</v>
      </c>
    </row>
    <row r="1737" spans="15:19">
      <c r="O1737" s="166">
        <v>481.82999999998401</v>
      </c>
      <c r="P1737" s="169" t="e">
        <f t="shared" si="62"/>
        <v>#NAME?</v>
      </c>
      <c r="Q1737" s="177">
        <v>481.82999999998401</v>
      </c>
      <c r="R1737" s="166">
        <v>482.339999999984</v>
      </c>
      <c r="S1737" s="166">
        <v>7.7526000000017596</v>
      </c>
    </row>
    <row r="1738" spans="15:19">
      <c r="O1738" s="166">
        <v>481.839999999984</v>
      </c>
      <c r="P1738" s="169" t="e">
        <f t="shared" si="62"/>
        <v>#NAME?</v>
      </c>
      <c r="Q1738" s="177">
        <v>481.839999999984</v>
      </c>
      <c r="R1738" s="166">
        <v>482.34999999998399</v>
      </c>
      <c r="S1738" s="166">
        <v>7.7515000000017604</v>
      </c>
    </row>
    <row r="1739" spans="15:19">
      <c r="O1739" s="166">
        <v>481.84999999998399</v>
      </c>
      <c r="P1739" s="169" t="e">
        <f t="shared" si="62"/>
        <v>#NAME?</v>
      </c>
      <c r="Q1739" s="177">
        <v>481.84999999998399</v>
      </c>
      <c r="R1739" s="166">
        <v>482.35999999998398</v>
      </c>
      <c r="S1739" s="166">
        <v>7.7504000000017621</v>
      </c>
    </row>
    <row r="1740" spans="15:19">
      <c r="O1740" s="166">
        <v>481.85999999998398</v>
      </c>
      <c r="P1740" s="169" t="e">
        <f t="shared" si="62"/>
        <v>#NAME?</v>
      </c>
      <c r="Q1740" s="177">
        <v>481.85999999998398</v>
      </c>
      <c r="R1740" s="166">
        <v>482.36999999998397</v>
      </c>
      <c r="S1740" s="166">
        <v>7.7493000000017629</v>
      </c>
    </row>
    <row r="1741" spans="15:19">
      <c r="O1741" s="166">
        <v>481.86999999998397</v>
      </c>
      <c r="P1741" s="169" t="e">
        <f t="shared" si="62"/>
        <v>#NAME?</v>
      </c>
      <c r="Q1741" s="177">
        <v>481.86999999998397</v>
      </c>
      <c r="R1741" s="166">
        <v>482.37999999998402</v>
      </c>
      <c r="S1741" s="166">
        <v>7.7482000000017575</v>
      </c>
    </row>
    <row r="1742" spans="15:19">
      <c r="O1742" s="166">
        <v>481.87999999998402</v>
      </c>
      <c r="P1742" s="169" t="e">
        <f t="shared" si="62"/>
        <v>#NAME?</v>
      </c>
      <c r="Q1742" s="177">
        <v>481.87999999998402</v>
      </c>
      <c r="R1742" s="166">
        <v>482.38999999998401</v>
      </c>
      <c r="S1742" s="166">
        <v>7.7471000000017582</v>
      </c>
    </row>
    <row r="1743" spans="15:19">
      <c r="O1743" s="166">
        <v>481.88999999998401</v>
      </c>
      <c r="P1743" s="169" t="e">
        <f t="shared" si="62"/>
        <v>#NAME?</v>
      </c>
      <c r="Q1743" s="177">
        <v>481.88999999998401</v>
      </c>
      <c r="R1743" s="166">
        <v>482.399999999984</v>
      </c>
      <c r="S1743" s="166">
        <v>7.746000000001759</v>
      </c>
    </row>
    <row r="1744" spans="15:19">
      <c r="O1744" s="166">
        <v>481.899999999984</v>
      </c>
      <c r="P1744" s="169" t="e">
        <f t="shared" si="62"/>
        <v>#NAME?</v>
      </c>
      <c r="Q1744" s="177">
        <v>481.899999999984</v>
      </c>
      <c r="R1744" s="166">
        <v>482.409999999984</v>
      </c>
      <c r="S1744" s="166">
        <v>7.7449000000017607</v>
      </c>
    </row>
    <row r="1745" spans="15:19">
      <c r="O1745" s="166">
        <v>481.909999999984</v>
      </c>
      <c r="P1745" s="169" t="e">
        <f t="shared" si="62"/>
        <v>#NAME?</v>
      </c>
      <c r="Q1745" s="177">
        <v>481.909999999984</v>
      </c>
      <c r="R1745" s="166">
        <v>482.41999999998399</v>
      </c>
      <c r="S1745" s="166">
        <v>7.7438000000017615</v>
      </c>
    </row>
    <row r="1746" spans="15:19">
      <c r="O1746" s="166">
        <v>481.91999999998399</v>
      </c>
      <c r="P1746" s="169" t="e">
        <f t="shared" si="62"/>
        <v>#NAME?</v>
      </c>
      <c r="Q1746" s="177">
        <v>481.91999999998399</v>
      </c>
      <c r="R1746" s="166">
        <v>482.42999999998398</v>
      </c>
      <c r="S1746" s="166">
        <v>7.7427000000017623</v>
      </c>
    </row>
    <row r="1747" spans="15:19">
      <c r="O1747" s="166">
        <v>481.92999999998398</v>
      </c>
      <c r="P1747" s="169" t="e">
        <f t="shared" si="62"/>
        <v>#NAME?</v>
      </c>
      <c r="Q1747" s="177">
        <v>481.92999999998398</v>
      </c>
      <c r="R1747" s="166">
        <v>482.43999999998402</v>
      </c>
      <c r="S1747" s="166">
        <v>7.7416000000017569</v>
      </c>
    </row>
    <row r="1748" spans="15:19">
      <c r="O1748" s="166">
        <v>481.93999999998402</v>
      </c>
      <c r="P1748" s="169" t="e">
        <f t="shared" si="62"/>
        <v>#NAME?</v>
      </c>
      <c r="Q1748" s="177">
        <v>481.93999999998402</v>
      </c>
      <c r="R1748" s="166">
        <v>482.44999999998402</v>
      </c>
      <c r="S1748" s="166">
        <v>7.7405000000017585</v>
      </c>
    </row>
    <row r="1749" spans="15:19">
      <c r="O1749" s="166">
        <v>481.94999999998402</v>
      </c>
      <c r="P1749" s="169" t="e">
        <f t="shared" si="62"/>
        <v>#NAME?</v>
      </c>
      <c r="Q1749" s="177">
        <v>481.94999999998402</v>
      </c>
      <c r="R1749" s="166">
        <v>482.45999999998401</v>
      </c>
      <c r="S1749" s="166">
        <v>7.7394000000017593</v>
      </c>
    </row>
    <row r="1750" spans="15:19">
      <c r="O1750" s="166">
        <v>481.95999999998401</v>
      </c>
      <c r="P1750" s="169" t="e">
        <f t="shared" si="62"/>
        <v>#NAME?</v>
      </c>
      <c r="Q1750" s="177">
        <v>481.95999999998401</v>
      </c>
      <c r="R1750" s="166">
        <v>482.469999999984</v>
      </c>
      <c r="S1750" s="166">
        <v>7.7383000000017601</v>
      </c>
    </row>
    <row r="1751" spans="15:19">
      <c r="O1751" s="166">
        <v>481.969999999984</v>
      </c>
      <c r="P1751" s="169" t="e">
        <f t="shared" si="62"/>
        <v>#NAME?</v>
      </c>
      <c r="Q1751" s="177">
        <v>481.969999999984</v>
      </c>
      <c r="R1751" s="166">
        <v>482.47999999998399</v>
      </c>
      <c r="S1751" s="166">
        <v>7.7372000000017609</v>
      </c>
    </row>
    <row r="1752" spans="15:19">
      <c r="O1752" s="166">
        <v>481.97999999998399</v>
      </c>
      <c r="P1752" s="169" t="e">
        <f t="shared" si="62"/>
        <v>#NAME?</v>
      </c>
      <c r="Q1752" s="177">
        <v>481.97999999998399</v>
      </c>
      <c r="R1752" s="166">
        <v>482.48999999998398</v>
      </c>
      <c r="S1752" s="166">
        <v>7.7361000000017626</v>
      </c>
    </row>
    <row r="1753" spans="15:19">
      <c r="O1753" s="166">
        <v>481.98999999998398</v>
      </c>
      <c r="P1753" s="169" t="e">
        <f t="shared" si="62"/>
        <v>#NAME?</v>
      </c>
      <c r="Q1753" s="177">
        <v>481.98999999998398</v>
      </c>
      <c r="R1753" s="166">
        <v>482.49999999998403</v>
      </c>
      <c r="S1753" s="166">
        <v>7.7350000000017571</v>
      </c>
    </row>
    <row r="1754" spans="15:19">
      <c r="O1754" s="166">
        <v>481.99999999998403</v>
      </c>
      <c r="P1754" s="169" t="e">
        <f t="shared" si="62"/>
        <v>#NAME?</v>
      </c>
      <c r="Q1754" s="177">
        <v>481.99999999998403</v>
      </c>
      <c r="R1754" s="166">
        <v>482.50999999998402</v>
      </c>
      <c r="S1754" s="166">
        <v>7.7339000000017579</v>
      </c>
    </row>
    <row r="1755" spans="15:19">
      <c r="O1755" s="166">
        <v>482.00999999998402</v>
      </c>
      <c r="P1755" s="169" t="e">
        <f t="shared" si="62"/>
        <v>#NAME?</v>
      </c>
      <c r="Q1755" s="177">
        <v>482.00999999998402</v>
      </c>
      <c r="R1755" s="166">
        <v>482.51999999998401</v>
      </c>
      <c r="S1755" s="166">
        <v>7.7328000000017587</v>
      </c>
    </row>
    <row r="1756" spans="15:19">
      <c r="O1756" s="166">
        <v>482.01999999998401</v>
      </c>
      <c r="P1756" s="169" t="e">
        <f t="shared" si="62"/>
        <v>#NAME?</v>
      </c>
      <c r="Q1756" s="177">
        <v>482.01999999998401</v>
      </c>
      <c r="R1756" s="166">
        <v>482.529999999984</v>
      </c>
      <c r="S1756" s="166">
        <v>7.7317000000017595</v>
      </c>
    </row>
    <row r="1757" spans="15:19">
      <c r="O1757" s="166">
        <v>482.029999999984</v>
      </c>
      <c r="P1757" s="169" t="e">
        <f t="shared" si="62"/>
        <v>#NAME?</v>
      </c>
      <c r="Q1757" s="177">
        <v>482.029999999984</v>
      </c>
      <c r="R1757" s="166">
        <v>482.53999999998399</v>
      </c>
      <c r="S1757" s="166">
        <v>7.7306000000017612</v>
      </c>
    </row>
    <row r="1758" spans="15:19">
      <c r="O1758" s="166">
        <v>482.03999999998399</v>
      </c>
      <c r="P1758" s="169" t="e">
        <f t="shared" si="62"/>
        <v>#NAME?</v>
      </c>
      <c r="Q1758" s="177">
        <v>482.03999999998399</v>
      </c>
      <c r="R1758" s="166">
        <v>482.54999999998398</v>
      </c>
      <c r="S1758" s="166">
        <v>7.729500000001762</v>
      </c>
    </row>
    <row r="1759" spans="15:19">
      <c r="O1759" s="166">
        <v>482.04999999998398</v>
      </c>
      <c r="P1759" s="169" t="e">
        <f t="shared" si="62"/>
        <v>#NAME?</v>
      </c>
      <c r="Q1759" s="177">
        <v>482.04999999998398</v>
      </c>
      <c r="R1759" s="166">
        <v>482.55999999998397</v>
      </c>
      <c r="S1759" s="166">
        <v>7.7284000000017627</v>
      </c>
    </row>
    <row r="1760" spans="15:19">
      <c r="O1760" s="166">
        <v>482.05999999998397</v>
      </c>
      <c r="P1760" s="169" t="e">
        <f t="shared" si="62"/>
        <v>#NAME?</v>
      </c>
      <c r="Q1760" s="177">
        <v>482.05999999998397</v>
      </c>
      <c r="R1760" s="166">
        <v>482.56999999998402</v>
      </c>
      <c r="S1760" s="166">
        <v>7.7273000000017573</v>
      </c>
    </row>
    <row r="1761" spans="15:19">
      <c r="O1761" s="166">
        <v>482.06999999998402</v>
      </c>
      <c r="P1761" s="169" t="e">
        <f t="shared" si="62"/>
        <v>#NAME?</v>
      </c>
      <c r="Q1761" s="177">
        <v>482.06999999998402</v>
      </c>
      <c r="R1761" s="166">
        <v>482.57999999998401</v>
      </c>
      <c r="S1761" s="166">
        <v>7.726200000001759</v>
      </c>
    </row>
    <row r="1762" spans="15:19">
      <c r="O1762" s="166">
        <v>482.07999999998401</v>
      </c>
      <c r="P1762" s="169" t="e">
        <f t="shared" si="62"/>
        <v>#NAME?</v>
      </c>
      <c r="Q1762" s="177">
        <v>482.07999999998401</v>
      </c>
      <c r="R1762" s="166">
        <v>482.589999999984</v>
      </c>
      <c r="S1762" s="166">
        <v>7.7251000000017598</v>
      </c>
    </row>
    <row r="1763" spans="15:19">
      <c r="O1763" s="166">
        <v>482.089999999984</v>
      </c>
      <c r="P1763" s="169" t="e">
        <f t="shared" si="62"/>
        <v>#NAME?</v>
      </c>
      <c r="Q1763" s="177">
        <v>482.089999999984</v>
      </c>
      <c r="R1763" s="166">
        <v>482.59999999998399</v>
      </c>
      <c r="S1763" s="166">
        <v>7.7240000000017606</v>
      </c>
    </row>
    <row r="1764" spans="15:19">
      <c r="O1764" s="166">
        <v>482.09999999998399</v>
      </c>
      <c r="P1764" s="169" t="e">
        <f t="shared" si="62"/>
        <v>#NAME?</v>
      </c>
      <c r="Q1764" s="177">
        <v>482.09999999998399</v>
      </c>
      <c r="R1764" s="166">
        <v>482.60999999998398</v>
      </c>
      <c r="S1764" s="166">
        <v>7.7229000000017614</v>
      </c>
    </row>
    <row r="1765" spans="15:19">
      <c r="O1765" s="166">
        <v>482.10999999998398</v>
      </c>
      <c r="P1765" s="169" t="e">
        <f t="shared" si="62"/>
        <v>#NAME?</v>
      </c>
      <c r="Q1765" s="177">
        <v>482.10999999998398</v>
      </c>
      <c r="R1765" s="166">
        <v>482.61999999998397</v>
      </c>
      <c r="S1765" s="166">
        <v>7.721800000001763</v>
      </c>
    </row>
    <row r="1766" spans="15:19">
      <c r="O1766" s="166">
        <v>482.11999999998397</v>
      </c>
      <c r="P1766" s="169" t="e">
        <f t="shared" si="62"/>
        <v>#NAME?</v>
      </c>
      <c r="Q1766" s="177">
        <v>482.11999999998397</v>
      </c>
      <c r="R1766" s="166">
        <v>482.62999999998402</v>
      </c>
      <c r="S1766" s="166">
        <v>7.7207000000017576</v>
      </c>
    </row>
    <row r="1767" spans="15:19">
      <c r="O1767" s="166">
        <v>482.12999999998402</v>
      </c>
      <c r="P1767" s="169" t="e">
        <f t="shared" si="62"/>
        <v>#NAME?</v>
      </c>
      <c r="Q1767" s="177">
        <v>482.12999999998402</v>
      </c>
      <c r="R1767" s="166">
        <v>482.63999999998401</v>
      </c>
      <c r="S1767" s="166">
        <v>7.7196000000017584</v>
      </c>
    </row>
    <row r="1768" spans="15:19">
      <c r="O1768" s="166">
        <v>482.13999999998401</v>
      </c>
      <c r="P1768" s="169" t="e">
        <f t="shared" si="62"/>
        <v>#NAME?</v>
      </c>
      <c r="Q1768" s="177">
        <v>482.13999999998401</v>
      </c>
      <c r="R1768" s="166">
        <v>482.649999999984</v>
      </c>
      <c r="S1768" s="166">
        <v>7.7185000000017592</v>
      </c>
    </row>
    <row r="1769" spans="15:19">
      <c r="O1769" s="166">
        <v>482.149999999984</v>
      </c>
      <c r="P1769" s="169" t="e">
        <f t="shared" si="62"/>
        <v>#NAME?</v>
      </c>
      <c r="Q1769" s="177">
        <v>482.149999999984</v>
      </c>
      <c r="R1769" s="166">
        <v>482.659999999984</v>
      </c>
      <c r="S1769" s="166">
        <v>7.71740000000176</v>
      </c>
    </row>
    <row r="1770" spans="15:19">
      <c r="O1770" s="166">
        <v>482.159999999984</v>
      </c>
      <c r="P1770" s="169" t="e">
        <f t="shared" si="62"/>
        <v>#NAME?</v>
      </c>
      <c r="Q1770" s="177">
        <v>482.159999999984</v>
      </c>
      <c r="R1770" s="166">
        <v>482.66999999998399</v>
      </c>
      <c r="S1770" s="166">
        <v>7.7163000000017616</v>
      </c>
    </row>
    <row r="1771" spans="15:19">
      <c r="O1771" s="166">
        <v>482.16999999998399</v>
      </c>
      <c r="P1771" s="169" t="e">
        <f t="shared" si="62"/>
        <v>#NAME?</v>
      </c>
      <c r="Q1771" s="177">
        <v>482.16999999998399</v>
      </c>
      <c r="R1771" s="166">
        <v>482.67999999998398</v>
      </c>
      <c r="S1771" s="166">
        <v>7.7152000000017624</v>
      </c>
    </row>
    <row r="1772" spans="15:19">
      <c r="O1772" s="166">
        <v>482.17999999998398</v>
      </c>
      <c r="P1772" s="169" t="e">
        <f t="shared" si="62"/>
        <v>#NAME?</v>
      </c>
      <c r="Q1772" s="177">
        <v>482.17999999998398</v>
      </c>
      <c r="R1772" s="166">
        <v>482.68999999998402</v>
      </c>
      <c r="S1772" s="166">
        <v>7.714100000001757</v>
      </c>
    </row>
    <row r="1773" spans="15:19">
      <c r="O1773" s="166">
        <v>482.18999999998402</v>
      </c>
      <c r="P1773" s="169" t="e">
        <f t="shared" si="62"/>
        <v>#NAME?</v>
      </c>
      <c r="Q1773" s="177">
        <v>482.18999999998402</v>
      </c>
      <c r="R1773" s="166">
        <v>482.69999999998402</v>
      </c>
      <c r="S1773" s="166">
        <v>7.7130000000017578</v>
      </c>
    </row>
    <row r="1774" spans="15:19">
      <c r="O1774" s="166">
        <v>482.19999999998402</v>
      </c>
      <c r="P1774" s="169" t="e">
        <f t="shared" si="62"/>
        <v>#NAME?</v>
      </c>
      <c r="Q1774" s="177">
        <v>482.19999999998402</v>
      </c>
      <c r="R1774" s="166">
        <v>482.70999999998401</v>
      </c>
      <c r="S1774" s="166">
        <v>7.7119000000017595</v>
      </c>
    </row>
    <row r="1775" spans="15:19">
      <c r="O1775" s="166">
        <v>482.20999999998401</v>
      </c>
      <c r="P1775" s="169" t="e">
        <f t="shared" si="62"/>
        <v>#NAME?</v>
      </c>
      <c r="Q1775" s="177">
        <v>482.20999999998401</v>
      </c>
      <c r="R1775" s="166">
        <v>482.719999999984</v>
      </c>
      <c r="S1775" s="166">
        <v>7.7108000000017602</v>
      </c>
    </row>
    <row r="1776" spans="15:19">
      <c r="O1776" s="166">
        <v>482.219999999984</v>
      </c>
      <c r="P1776" s="169" t="e">
        <f t="shared" si="62"/>
        <v>#NAME?</v>
      </c>
      <c r="Q1776" s="177">
        <v>482.219999999984</v>
      </c>
      <c r="R1776" s="166">
        <v>482.72999999998399</v>
      </c>
      <c r="S1776" s="166">
        <v>7.709700000001761</v>
      </c>
    </row>
    <row r="1777" spans="15:19">
      <c r="O1777" s="166">
        <v>482.22999999998399</v>
      </c>
      <c r="P1777" s="169" t="e">
        <f t="shared" si="62"/>
        <v>#NAME?</v>
      </c>
      <c r="Q1777" s="177">
        <v>482.22999999998399</v>
      </c>
      <c r="R1777" s="166">
        <v>482.73999999998398</v>
      </c>
      <c r="S1777" s="166">
        <v>7.7086000000017618</v>
      </c>
    </row>
    <row r="1778" spans="15:19">
      <c r="O1778" s="166">
        <v>482.23999999998398</v>
      </c>
      <c r="P1778" s="169" t="e">
        <f t="shared" si="62"/>
        <v>#NAME?</v>
      </c>
      <c r="Q1778" s="177">
        <v>482.23999999998398</v>
      </c>
      <c r="R1778" s="166">
        <v>482.74999999998403</v>
      </c>
      <c r="S1778" s="166">
        <v>7.7075000000017564</v>
      </c>
    </row>
    <row r="1779" spans="15:19">
      <c r="O1779" s="166">
        <v>482.24999999998403</v>
      </c>
      <c r="P1779" s="169" t="e">
        <f t="shared" si="62"/>
        <v>#NAME?</v>
      </c>
      <c r="Q1779" s="177">
        <v>482.24999999998403</v>
      </c>
      <c r="R1779" s="166">
        <v>482.75999999998402</v>
      </c>
      <c r="S1779" s="166">
        <v>7.7064000000017581</v>
      </c>
    </row>
    <row r="1780" spans="15:19">
      <c r="O1780" s="166">
        <v>482.25999999998402</v>
      </c>
      <c r="P1780" s="169" t="e">
        <f t="shared" si="62"/>
        <v>#NAME?</v>
      </c>
      <c r="Q1780" s="177">
        <v>482.25999999998402</v>
      </c>
      <c r="R1780" s="166">
        <v>482.76999999998401</v>
      </c>
      <c r="S1780" s="166">
        <v>7.7053000000017589</v>
      </c>
    </row>
    <row r="1781" spans="15:19">
      <c r="O1781" s="166">
        <v>482.26999999998401</v>
      </c>
      <c r="P1781" s="169" t="e">
        <f t="shared" si="62"/>
        <v>#NAME?</v>
      </c>
      <c r="Q1781" s="177">
        <v>482.26999999998401</v>
      </c>
      <c r="R1781" s="166">
        <v>482.779999999984</v>
      </c>
      <c r="S1781" s="166">
        <v>7.7042000000017596</v>
      </c>
    </row>
    <row r="1782" spans="15:19">
      <c r="O1782" s="166">
        <v>482.279999999984</v>
      </c>
      <c r="P1782" s="169" t="e">
        <f t="shared" si="62"/>
        <v>#NAME?</v>
      </c>
      <c r="Q1782" s="177">
        <v>482.279999999984</v>
      </c>
      <c r="R1782" s="166">
        <v>482.78999999998399</v>
      </c>
      <c r="S1782" s="166">
        <v>7.7031000000017604</v>
      </c>
    </row>
    <row r="1783" spans="15:19">
      <c r="O1783" s="166">
        <v>482.28999999998399</v>
      </c>
      <c r="P1783" s="169" t="e">
        <f t="shared" si="62"/>
        <v>#NAME?</v>
      </c>
      <c r="Q1783" s="177">
        <v>482.28999999998399</v>
      </c>
      <c r="R1783" s="166">
        <v>482.79999999998398</v>
      </c>
      <c r="S1783" s="166">
        <v>7.7020000000017621</v>
      </c>
    </row>
    <row r="1784" spans="15:19">
      <c r="O1784" s="166">
        <v>482.29999999998398</v>
      </c>
      <c r="P1784" s="169" t="e">
        <f t="shared" si="62"/>
        <v>#NAME?</v>
      </c>
      <c r="Q1784" s="177">
        <v>482.29999999998398</v>
      </c>
      <c r="R1784" s="166">
        <v>482.80999999998397</v>
      </c>
      <c r="S1784" s="166">
        <v>7.7009000000017629</v>
      </c>
    </row>
    <row r="1785" spans="15:19">
      <c r="O1785" s="166">
        <v>482.30999999998397</v>
      </c>
      <c r="P1785" s="169" t="e">
        <f t="shared" si="62"/>
        <v>#NAME?</v>
      </c>
      <c r="Q1785" s="177">
        <v>482.30999999998397</v>
      </c>
      <c r="R1785" s="166">
        <v>482.81999999998402</v>
      </c>
      <c r="S1785" s="166">
        <v>7.6998000000017575</v>
      </c>
    </row>
    <row r="1786" spans="15:19">
      <c r="O1786" s="166">
        <v>482.31999999998402</v>
      </c>
      <c r="P1786" s="169" t="e">
        <f t="shared" si="62"/>
        <v>#NAME?</v>
      </c>
      <c r="Q1786" s="177">
        <v>482.31999999998402</v>
      </c>
      <c r="R1786" s="166">
        <v>482.82999999998401</v>
      </c>
      <c r="S1786" s="166">
        <v>7.6987000000017582</v>
      </c>
    </row>
    <row r="1787" spans="15:19">
      <c r="O1787" s="166">
        <v>482.32999999998401</v>
      </c>
      <c r="P1787" s="169" t="e">
        <f t="shared" si="62"/>
        <v>#NAME?</v>
      </c>
      <c r="Q1787" s="177">
        <v>482.32999999998401</v>
      </c>
      <c r="R1787" s="166">
        <v>482.839999999984</v>
      </c>
      <c r="S1787" s="166">
        <v>7.6976000000017599</v>
      </c>
    </row>
    <row r="1788" spans="15:19">
      <c r="O1788" s="166">
        <v>482.339999999984</v>
      </c>
      <c r="P1788" s="169" t="e">
        <f t="shared" si="62"/>
        <v>#NAME?</v>
      </c>
      <c r="Q1788" s="177">
        <v>482.339999999984</v>
      </c>
      <c r="R1788" s="166">
        <v>482.84999999998399</v>
      </c>
      <c r="S1788" s="166">
        <v>7.6965000000017607</v>
      </c>
    </row>
    <row r="1789" spans="15:19">
      <c r="O1789" s="166">
        <v>482.34999999998399</v>
      </c>
      <c r="P1789" s="169" t="e">
        <f t="shared" si="62"/>
        <v>#NAME?</v>
      </c>
      <c r="Q1789" s="177">
        <v>482.34999999998399</v>
      </c>
      <c r="R1789" s="166">
        <v>482.85999999998398</v>
      </c>
      <c r="S1789" s="166">
        <v>7.6954000000017615</v>
      </c>
    </row>
    <row r="1790" spans="15:19">
      <c r="O1790" s="166">
        <v>482.35999999998398</v>
      </c>
      <c r="P1790" s="169" t="e">
        <f t="shared" si="62"/>
        <v>#NAME?</v>
      </c>
      <c r="Q1790" s="177">
        <v>482.35999999998398</v>
      </c>
      <c r="R1790" s="166">
        <v>482.86999999998397</v>
      </c>
      <c r="S1790" s="166">
        <v>7.6943000000017623</v>
      </c>
    </row>
    <row r="1791" spans="15:19">
      <c r="O1791" s="166">
        <v>482.36999999998397</v>
      </c>
      <c r="P1791" s="169" t="e">
        <f t="shared" si="62"/>
        <v>#NAME?</v>
      </c>
      <c r="Q1791" s="177">
        <v>482.36999999998397</v>
      </c>
      <c r="R1791" s="166">
        <v>482.87999999998402</v>
      </c>
      <c r="S1791" s="166">
        <v>7.6932000000017569</v>
      </c>
    </row>
    <row r="1792" spans="15:19">
      <c r="O1792" s="166">
        <v>482.37999999998402</v>
      </c>
      <c r="P1792" s="169" t="e">
        <f t="shared" si="62"/>
        <v>#NAME?</v>
      </c>
      <c r="Q1792" s="177">
        <v>482.37999999998402</v>
      </c>
      <c r="R1792" s="166">
        <v>482.88999999998401</v>
      </c>
      <c r="S1792" s="166">
        <v>7.6921000000017585</v>
      </c>
    </row>
    <row r="1793" spans="15:19">
      <c r="O1793" s="166">
        <v>482.38999999998401</v>
      </c>
      <c r="P1793" s="169" t="e">
        <f t="shared" si="62"/>
        <v>#NAME?</v>
      </c>
      <c r="Q1793" s="177">
        <v>482.38999999998401</v>
      </c>
      <c r="R1793" s="166">
        <v>482.899999999984</v>
      </c>
      <c r="S1793" s="166">
        <v>7.6910000000017593</v>
      </c>
    </row>
    <row r="1794" spans="15:19">
      <c r="O1794" s="166">
        <v>482.399999999984</v>
      </c>
      <c r="P1794" s="169" t="e">
        <f t="shared" si="62"/>
        <v>#NAME?</v>
      </c>
      <c r="Q1794" s="177">
        <v>482.399999999984</v>
      </c>
      <c r="R1794" s="166">
        <v>482.909999999984</v>
      </c>
      <c r="S1794" s="166">
        <v>7.6899000000017601</v>
      </c>
    </row>
    <row r="1795" spans="15:19">
      <c r="O1795" s="166">
        <v>482.409999999984</v>
      </c>
      <c r="P1795" s="169" t="e">
        <f t="shared" si="62"/>
        <v>#NAME?</v>
      </c>
      <c r="Q1795" s="177">
        <v>482.409999999984</v>
      </c>
      <c r="R1795" s="166">
        <v>482.91999999998399</v>
      </c>
      <c r="S1795" s="166">
        <v>7.6888000000017609</v>
      </c>
    </row>
    <row r="1796" spans="15:19">
      <c r="O1796" s="166">
        <v>482.41999999998399</v>
      </c>
      <c r="P1796" s="169" t="e">
        <f t="shared" ref="P1796:P1859" si="63">VLOOKUP(O1796,THONGSOHO_BTS,2,1)+(VLOOKUP(O1796+5,THONGSOHO_BTS,2,1)-VLOOKUP(O1796,THONGSOHO_BTS,2,1))/5*(O1796-VLOOKUP(O1796,THONGSOHO_BTS,1,1))-264.29</f>
        <v>#NAME?</v>
      </c>
      <c r="Q1796" s="177">
        <v>482.41999999998399</v>
      </c>
      <c r="R1796" s="166">
        <v>482.92999999998398</v>
      </c>
      <c r="S1796" s="166">
        <v>7.6877000000017626</v>
      </c>
    </row>
    <row r="1797" spans="15:19">
      <c r="O1797" s="166">
        <v>482.42999999998398</v>
      </c>
      <c r="P1797" s="169" t="e">
        <f t="shared" si="63"/>
        <v>#NAME?</v>
      </c>
      <c r="Q1797" s="177">
        <v>482.42999999998398</v>
      </c>
      <c r="R1797" s="166">
        <v>482.93999999998402</v>
      </c>
      <c r="S1797" s="166">
        <v>7.6866000000017571</v>
      </c>
    </row>
    <row r="1798" spans="15:19">
      <c r="O1798" s="166">
        <v>482.43999999998402</v>
      </c>
      <c r="P1798" s="169" t="e">
        <f t="shared" si="63"/>
        <v>#NAME?</v>
      </c>
      <c r="Q1798" s="177">
        <v>482.43999999998402</v>
      </c>
      <c r="R1798" s="166">
        <v>482.94999999998402</v>
      </c>
      <c r="S1798" s="166">
        <v>7.6855000000017579</v>
      </c>
    </row>
    <row r="1799" spans="15:19">
      <c r="O1799" s="166">
        <v>482.44999999998402</v>
      </c>
      <c r="P1799" s="169" t="e">
        <f t="shared" si="63"/>
        <v>#NAME?</v>
      </c>
      <c r="Q1799" s="177">
        <v>482.44999999998402</v>
      </c>
      <c r="R1799" s="166">
        <v>482.95999999998401</v>
      </c>
      <c r="S1799" s="166">
        <v>7.6844000000017587</v>
      </c>
    </row>
    <row r="1800" spans="15:19">
      <c r="O1800" s="166">
        <v>482.45999999998401</v>
      </c>
      <c r="P1800" s="169" t="e">
        <f t="shared" si="63"/>
        <v>#NAME?</v>
      </c>
      <c r="Q1800" s="177">
        <v>482.45999999998401</v>
      </c>
      <c r="R1800" s="166">
        <v>482.969999999984</v>
      </c>
      <c r="S1800" s="166">
        <v>7.6833000000017604</v>
      </c>
    </row>
    <row r="1801" spans="15:19">
      <c r="O1801" s="166">
        <v>482.469999999984</v>
      </c>
      <c r="P1801" s="169" t="e">
        <f t="shared" si="63"/>
        <v>#NAME?</v>
      </c>
      <c r="Q1801" s="177">
        <v>482.469999999984</v>
      </c>
      <c r="R1801" s="166">
        <v>482.97999999998399</v>
      </c>
      <c r="S1801" s="166">
        <v>7.6822000000017612</v>
      </c>
    </row>
    <row r="1802" spans="15:19">
      <c r="O1802" s="166">
        <v>482.47999999998399</v>
      </c>
      <c r="P1802" s="169" t="e">
        <f t="shared" si="63"/>
        <v>#NAME?</v>
      </c>
      <c r="Q1802" s="177">
        <v>482.47999999998399</v>
      </c>
      <c r="R1802" s="166">
        <v>482.98999999998398</v>
      </c>
      <c r="S1802" s="166">
        <v>7.681100000001762</v>
      </c>
    </row>
    <row r="1803" spans="15:19">
      <c r="O1803" s="166">
        <v>482.48999999998398</v>
      </c>
      <c r="P1803" s="169" t="e">
        <f t="shared" si="63"/>
        <v>#NAME?</v>
      </c>
      <c r="Q1803" s="177">
        <v>482.48999999998398</v>
      </c>
      <c r="R1803" s="166">
        <v>482.99999999998403</v>
      </c>
      <c r="S1803" s="166">
        <v>7.6800000000017565</v>
      </c>
    </row>
    <row r="1804" spans="15:19">
      <c r="O1804" s="166">
        <v>482.49999999998403</v>
      </c>
      <c r="P1804" s="169" t="e">
        <f t="shared" si="63"/>
        <v>#NAME?</v>
      </c>
      <c r="Q1804" s="177">
        <v>482.49999999998403</v>
      </c>
      <c r="R1804" s="166">
        <v>483.00999999998402</v>
      </c>
      <c r="S1804" s="166">
        <v>7.6778000000035158</v>
      </c>
    </row>
    <row r="1805" spans="15:19">
      <c r="O1805" s="166">
        <v>482.50999999998402</v>
      </c>
      <c r="P1805" s="169" t="e">
        <f t="shared" si="63"/>
        <v>#NAME?</v>
      </c>
      <c r="Q1805" s="177">
        <v>482.50999999998402</v>
      </c>
      <c r="R1805" s="166">
        <v>483.01999999998401</v>
      </c>
      <c r="S1805" s="166">
        <v>7.6756000000035174</v>
      </c>
    </row>
    <row r="1806" spans="15:19">
      <c r="O1806" s="166">
        <v>482.51999999998401</v>
      </c>
      <c r="P1806" s="169" t="e">
        <f t="shared" si="63"/>
        <v>#NAME?</v>
      </c>
      <c r="Q1806" s="177">
        <v>482.51999999998401</v>
      </c>
      <c r="R1806" s="166">
        <v>483.029999999984</v>
      </c>
      <c r="S1806" s="166">
        <v>7.6734000000035198</v>
      </c>
    </row>
    <row r="1807" spans="15:19">
      <c r="O1807" s="166">
        <v>482.529999999984</v>
      </c>
      <c r="P1807" s="169" t="e">
        <f t="shared" si="63"/>
        <v>#NAME?</v>
      </c>
      <c r="Q1807" s="177">
        <v>482.529999999984</v>
      </c>
      <c r="R1807" s="166">
        <v>483.03999999998399</v>
      </c>
      <c r="S1807" s="166">
        <v>7.6712000000035214</v>
      </c>
    </row>
    <row r="1808" spans="15:19">
      <c r="O1808" s="166">
        <v>482.53999999998399</v>
      </c>
      <c r="P1808" s="169" t="e">
        <f t="shared" si="63"/>
        <v>#NAME?</v>
      </c>
      <c r="Q1808" s="177">
        <v>482.53999999998399</v>
      </c>
      <c r="R1808" s="166">
        <v>483.04999999998398</v>
      </c>
      <c r="S1808" s="166">
        <v>7.6690000000035239</v>
      </c>
    </row>
    <row r="1809" spans="15:19">
      <c r="O1809" s="166">
        <v>482.54999999998398</v>
      </c>
      <c r="P1809" s="169" t="e">
        <f t="shared" si="63"/>
        <v>#NAME?</v>
      </c>
      <c r="Q1809" s="177">
        <v>482.54999999998398</v>
      </c>
      <c r="R1809" s="166">
        <v>483.05999999998397</v>
      </c>
      <c r="S1809" s="166">
        <v>7.6668000000035255</v>
      </c>
    </row>
    <row r="1810" spans="15:19">
      <c r="O1810" s="166">
        <v>482.55999999998397</v>
      </c>
      <c r="P1810" s="169" t="e">
        <f t="shared" si="63"/>
        <v>#NAME?</v>
      </c>
      <c r="Q1810" s="177">
        <v>482.55999999998397</v>
      </c>
      <c r="R1810" s="166">
        <v>483.06999999998402</v>
      </c>
      <c r="S1810" s="166">
        <v>7.6646000000035155</v>
      </c>
    </row>
    <row r="1811" spans="15:19">
      <c r="O1811" s="166">
        <v>482.56999999998402</v>
      </c>
      <c r="P1811" s="169" t="e">
        <f t="shared" si="63"/>
        <v>#NAME?</v>
      </c>
      <c r="Q1811" s="177">
        <v>482.56999999998402</v>
      </c>
      <c r="R1811" s="166">
        <v>483.07999999998401</v>
      </c>
      <c r="S1811" s="166">
        <v>7.6624000000035171</v>
      </c>
    </row>
    <row r="1812" spans="15:19">
      <c r="O1812" s="166">
        <v>482.57999999998401</v>
      </c>
      <c r="P1812" s="169" t="e">
        <f t="shared" si="63"/>
        <v>#NAME?</v>
      </c>
      <c r="Q1812" s="177">
        <v>482.57999999998401</v>
      </c>
      <c r="R1812" s="166">
        <v>483.089999999984</v>
      </c>
      <c r="S1812" s="166">
        <v>7.6602000000035195</v>
      </c>
    </row>
    <row r="1813" spans="15:19">
      <c r="O1813" s="166">
        <v>482.58999999998298</v>
      </c>
      <c r="P1813" s="169" t="e">
        <f t="shared" si="63"/>
        <v>#NAME?</v>
      </c>
      <c r="Q1813" s="177">
        <v>482.58999999998298</v>
      </c>
      <c r="R1813" s="166">
        <v>483.09999999998303</v>
      </c>
      <c r="S1813" s="166">
        <v>7.6580000000037343</v>
      </c>
    </row>
    <row r="1814" spans="15:19">
      <c r="O1814" s="166">
        <v>482.59999999998303</v>
      </c>
      <c r="P1814" s="169" t="e">
        <f t="shared" si="63"/>
        <v>#NAME?</v>
      </c>
      <c r="Q1814" s="177">
        <v>482.59999999998303</v>
      </c>
      <c r="R1814" s="166">
        <v>483.10999999998302</v>
      </c>
      <c r="S1814" s="166">
        <v>7.6558000000037358</v>
      </c>
    </row>
    <row r="1815" spans="15:19">
      <c r="O1815" s="166">
        <v>482.60999999998398</v>
      </c>
      <c r="P1815" s="169" t="e">
        <f t="shared" si="63"/>
        <v>#NAME?</v>
      </c>
      <c r="Q1815" s="177">
        <v>482.60999999998398</v>
      </c>
      <c r="R1815" s="166">
        <v>483.11999999998397</v>
      </c>
      <c r="S1815" s="166">
        <v>7.6536000000035251</v>
      </c>
    </row>
    <row r="1816" spans="15:19">
      <c r="O1816" s="166">
        <v>482.61999999998397</v>
      </c>
      <c r="P1816" s="169" t="e">
        <f t="shared" si="63"/>
        <v>#NAME?</v>
      </c>
      <c r="Q1816" s="177">
        <v>482.61999999998397</v>
      </c>
      <c r="R1816" s="166">
        <v>483.12999999998402</v>
      </c>
      <c r="S1816" s="166">
        <v>7.6514000000035152</v>
      </c>
    </row>
    <row r="1817" spans="15:19">
      <c r="O1817" s="166">
        <v>482.62999999998402</v>
      </c>
      <c r="P1817" s="169" t="e">
        <f t="shared" si="63"/>
        <v>#NAME?</v>
      </c>
      <c r="Q1817" s="177">
        <v>482.62999999998402</v>
      </c>
      <c r="R1817" s="166">
        <v>483.13999999998401</v>
      </c>
      <c r="S1817" s="166">
        <v>7.6492000000035167</v>
      </c>
    </row>
    <row r="1818" spans="15:19">
      <c r="O1818" s="166">
        <v>482.63999999998401</v>
      </c>
      <c r="P1818" s="169" t="e">
        <f t="shared" si="63"/>
        <v>#NAME?</v>
      </c>
      <c r="Q1818" s="177">
        <v>482.63999999998401</v>
      </c>
      <c r="R1818" s="166">
        <v>483.14999999998298</v>
      </c>
      <c r="S1818" s="166">
        <v>7.6470000000037439</v>
      </c>
    </row>
    <row r="1819" spans="15:19">
      <c r="O1819" s="166">
        <v>482.64999999998298</v>
      </c>
      <c r="P1819" s="169" t="e">
        <f t="shared" si="63"/>
        <v>#NAME?</v>
      </c>
      <c r="Q1819" s="177">
        <v>482.64999999998298</v>
      </c>
      <c r="R1819" s="166">
        <v>483.15999999998297</v>
      </c>
      <c r="S1819" s="166">
        <v>7.6448000000037455</v>
      </c>
    </row>
    <row r="1820" spans="15:19">
      <c r="O1820" s="166">
        <v>482.65999999998297</v>
      </c>
      <c r="P1820" s="169" t="e">
        <f t="shared" si="63"/>
        <v>#NAME?</v>
      </c>
      <c r="Q1820" s="177">
        <v>482.65999999998297</v>
      </c>
      <c r="R1820" s="166">
        <v>483.16999999998302</v>
      </c>
      <c r="S1820" s="166">
        <v>7.6426000000037355</v>
      </c>
    </row>
    <row r="1821" spans="15:19">
      <c r="O1821" s="166">
        <v>482.66999999998302</v>
      </c>
      <c r="P1821" s="169" t="e">
        <f t="shared" si="63"/>
        <v>#NAME?</v>
      </c>
      <c r="Q1821" s="177">
        <v>482.66999999998302</v>
      </c>
      <c r="R1821" s="166">
        <v>483.17999999998301</v>
      </c>
      <c r="S1821" s="166">
        <v>7.6404000000037371</v>
      </c>
    </row>
    <row r="1822" spans="15:19">
      <c r="O1822" s="166">
        <v>482.67999999998398</v>
      </c>
      <c r="P1822" s="169" t="e">
        <f t="shared" si="63"/>
        <v>#NAME?</v>
      </c>
      <c r="Q1822" s="177">
        <v>482.67999999998398</v>
      </c>
      <c r="R1822" s="166">
        <v>483.18999999998402</v>
      </c>
      <c r="S1822" s="166">
        <v>7.638200000003514</v>
      </c>
    </row>
    <row r="1823" spans="15:19">
      <c r="O1823" s="166">
        <v>482.68999999998402</v>
      </c>
      <c r="P1823" s="169" t="e">
        <f t="shared" si="63"/>
        <v>#NAME?</v>
      </c>
      <c r="Q1823" s="177">
        <v>482.68999999998402</v>
      </c>
      <c r="R1823" s="166">
        <v>483.19999999998402</v>
      </c>
      <c r="S1823" s="166">
        <v>7.6360000000035164</v>
      </c>
    </row>
    <row r="1824" spans="15:19">
      <c r="O1824" s="166">
        <v>482.69999999998299</v>
      </c>
      <c r="P1824" s="169" t="e">
        <f t="shared" si="63"/>
        <v>#NAME?</v>
      </c>
      <c r="Q1824" s="177">
        <v>482.69999999998299</v>
      </c>
      <c r="R1824" s="166">
        <v>483.20999999998298</v>
      </c>
      <c r="S1824" s="166">
        <v>7.6338000000037436</v>
      </c>
    </row>
    <row r="1825" spans="15:19">
      <c r="O1825" s="166">
        <v>482.70999999998298</v>
      </c>
      <c r="P1825" s="169" t="e">
        <f t="shared" si="63"/>
        <v>#NAME?</v>
      </c>
      <c r="Q1825" s="177">
        <v>482.70999999998298</v>
      </c>
      <c r="R1825" s="166">
        <v>483.21999999998297</v>
      </c>
      <c r="S1825" s="166">
        <v>7.6316000000037452</v>
      </c>
    </row>
    <row r="1826" spans="15:19">
      <c r="O1826" s="166">
        <v>482.71999999998297</v>
      </c>
      <c r="P1826" s="169" t="e">
        <f t="shared" si="63"/>
        <v>#NAME?</v>
      </c>
      <c r="Q1826" s="177">
        <v>482.71999999998297</v>
      </c>
      <c r="R1826" s="166">
        <v>483.22999999998302</v>
      </c>
      <c r="S1826" s="166">
        <v>7.6294000000037352</v>
      </c>
    </row>
    <row r="1827" spans="15:19">
      <c r="O1827" s="166">
        <v>482.72999999998302</v>
      </c>
      <c r="P1827" s="169" t="e">
        <f t="shared" si="63"/>
        <v>#NAME?</v>
      </c>
      <c r="Q1827" s="177">
        <v>482.72999999998302</v>
      </c>
      <c r="R1827" s="166">
        <v>483.23999999998301</v>
      </c>
      <c r="S1827" s="166">
        <v>7.6272000000037368</v>
      </c>
    </row>
    <row r="1828" spans="15:19">
      <c r="O1828" s="166">
        <v>482.73999999998301</v>
      </c>
      <c r="P1828" s="169" t="e">
        <f t="shared" si="63"/>
        <v>#NAME?</v>
      </c>
      <c r="Q1828" s="177">
        <v>482.73999999998301</v>
      </c>
      <c r="R1828" s="166">
        <v>483.249999999983</v>
      </c>
      <c r="S1828" s="166">
        <v>7.6250000000037392</v>
      </c>
    </row>
    <row r="1829" spans="15:19">
      <c r="O1829" s="166">
        <v>482.749999999983</v>
      </c>
      <c r="P1829" s="169" t="e">
        <f t="shared" si="63"/>
        <v>#NAME?</v>
      </c>
      <c r="Q1829" s="177">
        <v>482.749999999983</v>
      </c>
      <c r="R1829" s="166">
        <v>483.25999999998299</v>
      </c>
      <c r="S1829" s="166">
        <v>7.6228000000037408</v>
      </c>
    </row>
    <row r="1830" spans="15:19">
      <c r="O1830" s="166">
        <v>482.75999999998299</v>
      </c>
      <c r="P1830" s="169" t="e">
        <f t="shared" si="63"/>
        <v>#NAME?</v>
      </c>
      <c r="Q1830" s="177">
        <v>482.75999999998299</v>
      </c>
      <c r="R1830" s="166">
        <v>483.26999999998299</v>
      </c>
      <c r="S1830" s="166">
        <v>7.6206000000037433</v>
      </c>
    </row>
    <row r="1831" spans="15:19">
      <c r="O1831" s="166">
        <v>482.76999999998299</v>
      </c>
      <c r="P1831" s="169" t="e">
        <f t="shared" si="63"/>
        <v>#NAME?</v>
      </c>
      <c r="Q1831" s="177">
        <v>482.76999999998299</v>
      </c>
      <c r="R1831" s="166">
        <v>483.27999999998298</v>
      </c>
      <c r="S1831" s="166">
        <v>7.6184000000037448</v>
      </c>
    </row>
    <row r="1832" spans="15:19">
      <c r="O1832" s="166">
        <v>482.77999999998298</v>
      </c>
      <c r="P1832" s="169" t="e">
        <f t="shared" si="63"/>
        <v>#NAME?</v>
      </c>
      <c r="Q1832" s="177">
        <v>482.77999999998298</v>
      </c>
      <c r="R1832" s="166">
        <v>483.28999999998302</v>
      </c>
      <c r="S1832" s="166">
        <v>7.6162000000037349</v>
      </c>
    </row>
    <row r="1833" spans="15:19">
      <c r="O1833" s="166">
        <v>482.78999999998302</v>
      </c>
      <c r="P1833" s="169" t="e">
        <f t="shared" si="63"/>
        <v>#NAME?</v>
      </c>
      <c r="Q1833" s="177">
        <v>482.78999999998302</v>
      </c>
      <c r="R1833" s="166">
        <v>483.29999999998302</v>
      </c>
      <c r="S1833" s="166">
        <v>7.6140000000037364</v>
      </c>
    </row>
    <row r="1834" spans="15:19">
      <c r="O1834" s="166">
        <v>482.79999999998302</v>
      </c>
      <c r="P1834" s="169" t="e">
        <f t="shared" si="63"/>
        <v>#NAME?</v>
      </c>
      <c r="Q1834" s="177">
        <v>482.79999999998302</v>
      </c>
      <c r="R1834" s="166">
        <v>483.30999999998301</v>
      </c>
      <c r="S1834" s="166">
        <v>7.611800000003738</v>
      </c>
    </row>
    <row r="1835" spans="15:19">
      <c r="O1835" s="166">
        <v>482.80999999998301</v>
      </c>
      <c r="P1835" s="169" t="e">
        <f t="shared" si="63"/>
        <v>#NAME?</v>
      </c>
      <c r="Q1835" s="177">
        <v>482.80999999998301</v>
      </c>
      <c r="R1835" s="166">
        <v>483.319999999983</v>
      </c>
      <c r="S1835" s="166">
        <v>7.6096000000037405</v>
      </c>
    </row>
    <row r="1836" spans="15:19">
      <c r="O1836" s="166">
        <v>482.819999999983</v>
      </c>
      <c r="P1836" s="169" t="e">
        <f t="shared" si="63"/>
        <v>#NAME?</v>
      </c>
      <c r="Q1836" s="177">
        <v>482.819999999983</v>
      </c>
      <c r="R1836" s="166">
        <v>483.32999999998299</v>
      </c>
      <c r="S1836" s="166">
        <v>7.6074000000037421</v>
      </c>
    </row>
    <row r="1837" spans="15:19">
      <c r="O1837" s="166">
        <v>482.82999999998299</v>
      </c>
      <c r="P1837" s="169" t="e">
        <f t="shared" si="63"/>
        <v>#NAME?</v>
      </c>
      <c r="Q1837" s="177">
        <v>482.82999999998299</v>
      </c>
      <c r="R1837" s="166">
        <v>483.33999999998298</v>
      </c>
      <c r="S1837" s="166">
        <v>7.6052000000037445</v>
      </c>
    </row>
    <row r="1838" spans="15:19">
      <c r="O1838" s="166">
        <v>482.83999999998298</v>
      </c>
      <c r="P1838" s="169" t="e">
        <f t="shared" si="63"/>
        <v>#NAME?</v>
      </c>
      <c r="Q1838" s="177">
        <v>482.83999999998298</v>
      </c>
      <c r="R1838" s="166">
        <v>483.34999999998303</v>
      </c>
      <c r="S1838" s="166">
        <v>7.6030000000037337</v>
      </c>
    </row>
    <row r="1839" spans="15:19">
      <c r="O1839" s="166">
        <v>482.84999999998303</v>
      </c>
      <c r="P1839" s="169" t="e">
        <f t="shared" si="63"/>
        <v>#NAME?</v>
      </c>
      <c r="Q1839" s="177">
        <v>482.84999999998303</v>
      </c>
      <c r="R1839" s="166">
        <v>483.35999999998302</v>
      </c>
      <c r="S1839" s="166">
        <v>7.6008000000037361</v>
      </c>
    </row>
    <row r="1840" spans="15:19">
      <c r="O1840" s="166">
        <v>482.85999999998302</v>
      </c>
      <c r="P1840" s="169" t="e">
        <f t="shared" si="63"/>
        <v>#NAME?</v>
      </c>
      <c r="Q1840" s="177">
        <v>482.85999999998302</v>
      </c>
      <c r="R1840" s="166">
        <v>483.36999999998301</v>
      </c>
      <c r="S1840" s="166">
        <v>7.5986000000037377</v>
      </c>
    </row>
    <row r="1841" spans="15:19">
      <c r="O1841" s="166">
        <v>482.86999999998301</v>
      </c>
      <c r="P1841" s="169" t="e">
        <f t="shared" si="63"/>
        <v>#NAME?</v>
      </c>
      <c r="Q1841" s="177">
        <v>482.86999999998301</v>
      </c>
      <c r="R1841" s="166">
        <v>483.379999999983</v>
      </c>
      <c r="S1841" s="166">
        <v>7.5964000000037402</v>
      </c>
    </row>
    <row r="1842" spans="15:19">
      <c r="O1842" s="166">
        <v>482.879999999983</v>
      </c>
      <c r="P1842" s="169" t="e">
        <f t="shared" si="63"/>
        <v>#NAME?</v>
      </c>
      <c r="Q1842" s="177">
        <v>482.879999999983</v>
      </c>
      <c r="R1842" s="166">
        <v>483.38999999998299</v>
      </c>
      <c r="S1842" s="166">
        <v>7.5942000000037417</v>
      </c>
    </row>
    <row r="1843" spans="15:19">
      <c r="O1843" s="166">
        <v>482.88999999998299</v>
      </c>
      <c r="P1843" s="169" t="e">
        <f t="shared" si="63"/>
        <v>#NAME?</v>
      </c>
      <c r="Q1843" s="177">
        <v>482.88999999998299</v>
      </c>
      <c r="R1843" s="166">
        <v>483.39999999998298</v>
      </c>
      <c r="S1843" s="166">
        <v>7.5920000000037442</v>
      </c>
    </row>
    <row r="1844" spans="15:19">
      <c r="O1844" s="166">
        <v>482.89999999998298</v>
      </c>
      <c r="P1844" s="169" t="e">
        <f t="shared" si="63"/>
        <v>#NAME?</v>
      </c>
      <c r="Q1844" s="177">
        <v>482.89999999998298</v>
      </c>
      <c r="R1844" s="166">
        <v>483.40999999998297</v>
      </c>
      <c r="S1844" s="166">
        <v>7.5898000000037458</v>
      </c>
    </row>
    <row r="1845" spans="15:19">
      <c r="O1845" s="166">
        <v>482.90999999998297</v>
      </c>
      <c r="P1845" s="169" t="e">
        <f t="shared" si="63"/>
        <v>#NAME?</v>
      </c>
      <c r="Q1845" s="177">
        <v>482.90999999998297</v>
      </c>
      <c r="R1845" s="166">
        <v>483.41999999998302</v>
      </c>
      <c r="S1845" s="166">
        <v>7.5876000000037358</v>
      </c>
    </row>
    <row r="1846" spans="15:19">
      <c r="O1846" s="166">
        <v>482.91999999998302</v>
      </c>
      <c r="P1846" s="169" t="e">
        <f t="shared" si="63"/>
        <v>#NAME?</v>
      </c>
      <c r="Q1846" s="177">
        <v>482.91999999998302</v>
      </c>
      <c r="R1846" s="166">
        <v>483.42999999998301</v>
      </c>
      <c r="S1846" s="166">
        <v>7.5854000000037374</v>
      </c>
    </row>
    <row r="1847" spans="15:19">
      <c r="O1847" s="166">
        <v>482.92999999998301</v>
      </c>
      <c r="P1847" s="169" t="e">
        <f t="shared" si="63"/>
        <v>#NAME?</v>
      </c>
      <c r="Q1847" s="177">
        <v>482.92999999998301</v>
      </c>
      <c r="R1847" s="166">
        <v>483.439999999983</v>
      </c>
      <c r="S1847" s="166">
        <v>7.5832000000037398</v>
      </c>
    </row>
    <row r="1848" spans="15:19">
      <c r="O1848" s="166">
        <v>482.939999999983</v>
      </c>
      <c r="P1848" s="169" t="e">
        <f t="shared" si="63"/>
        <v>#NAME?</v>
      </c>
      <c r="Q1848" s="177">
        <v>482.939999999983</v>
      </c>
      <c r="R1848" s="166">
        <v>483.44999999998299</v>
      </c>
      <c r="S1848" s="166">
        <v>7.5810000000037414</v>
      </c>
    </row>
    <row r="1849" spans="15:19">
      <c r="O1849" s="166">
        <v>482.94999999998299</v>
      </c>
      <c r="P1849" s="169" t="e">
        <f t="shared" si="63"/>
        <v>#NAME?</v>
      </c>
      <c r="Q1849" s="177">
        <v>482.94999999998299</v>
      </c>
      <c r="R1849" s="166">
        <v>483.45999999998298</v>
      </c>
      <c r="S1849" s="166">
        <v>7.5788000000037439</v>
      </c>
    </row>
    <row r="1850" spans="15:19">
      <c r="O1850" s="166">
        <v>482.95999999998298</v>
      </c>
      <c r="P1850" s="169" t="e">
        <f t="shared" si="63"/>
        <v>#NAME?</v>
      </c>
      <c r="Q1850" s="177">
        <v>482.95999999998298</v>
      </c>
      <c r="R1850" s="166">
        <v>483.46999999998297</v>
      </c>
      <c r="S1850" s="166">
        <v>7.5766000000037454</v>
      </c>
    </row>
    <row r="1851" spans="15:19">
      <c r="O1851" s="166">
        <v>482.96999999998297</v>
      </c>
      <c r="P1851" s="169" t="e">
        <f t="shared" si="63"/>
        <v>#NAME?</v>
      </c>
      <c r="Q1851" s="177">
        <v>482.96999999998297</v>
      </c>
      <c r="R1851" s="166">
        <v>483.47999999998302</v>
      </c>
      <c r="S1851" s="166">
        <v>7.5744000000037346</v>
      </c>
    </row>
    <row r="1852" spans="15:19">
      <c r="O1852" s="166">
        <v>482.97999999998302</v>
      </c>
      <c r="P1852" s="169" t="e">
        <f t="shared" si="63"/>
        <v>#NAME?</v>
      </c>
      <c r="Q1852" s="177">
        <v>482.97999999998302</v>
      </c>
      <c r="R1852" s="166">
        <v>483.48999999998301</v>
      </c>
      <c r="S1852" s="166">
        <v>7.5722000000037371</v>
      </c>
    </row>
    <row r="1853" spans="15:19">
      <c r="O1853" s="166">
        <v>482.98999999998301</v>
      </c>
      <c r="P1853" s="169" t="e">
        <f t="shared" si="63"/>
        <v>#NAME?</v>
      </c>
      <c r="Q1853" s="177">
        <v>482.98999999998301</v>
      </c>
      <c r="R1853" s="166">
        <v>483.499999999983</v>
      </c>
      <c r="S1853" s="166">
        <v>7.5700000000037386</v>
      </c>
    </row>
    <row r="1854" spans="15:19">
      <c r="O1854" s="166">
        <v>482.999999999983</v>
      </c>
      <c r="P1854" s="169" t="e">
        <f t="shared" si="63"/>
        <v>#NAME?</v>
      </c>
      <c r="Q1854" s="177">
        <v>482.999999999983</v>
      </c>
      <c r="R1854" s="166">
        <v>483.50999999998299</v>
      </c>
      <c r="S1854" s="166">
        <v>7.5678000000037411</v>
      </c>
    </row>
    <row r="1855" spans="15:19">
      <c r="O1855" s="166">
        <v>483.00999999998299</v>
      </c>
      <c r="P1855" s="169" t="e">
        <f t="shared" si="63"/>
        <v>#NAME?</v>
      </c>
      <c r="Q1855" s="177">
        <v>483.00999999998299</v>
      </c>
      <c r="R1855" s="166">
        <v>483.51999999998299</v>
      </c>
      <c r="S1855" s="166">
        <v>7.5656000000037427</v>
      </c>
    </row>
    <row r="1856" spans="15:19">
      <c r="O1856" s="166">
        <v>483.01999999998299</v>
      </c>
      <c r="P1856" s="169" t="e">
        <f t="shared" si="63"/>
        <v>#NAME?</v>
      </c>
      <c r="Q1856" s="177">
        <v>483.01999999998299</v>
      </c>
      <c r="R1856" s="166">
        <v>483.52999999998298</v>
      </c>
      <c r="S1856" s="166">
        <v>7.5634000000037451</v>
      </c>
    </row>
    <row r="1857" spans="15:19">
      <c r="O1857" s="166">
        <v>483.02999999998298</v>
      </c>
      <c r="P1857" s="169" t="e">
        <f t="shared" si="63"/>
        <v>#NAME?</v>
      </c>
      <c r="Q1857" s="177">
        <v>483.02999999998298</v>
      </c>
      <c r="R1857" s="166">
        <v>483.53999999998302</v>
      </c>
      <c r="S1857" s="166">
        <v>7.5612000000037343</v>
      </c>
    </row>
    <row r="1858" spans="15:19">
      <c r="O1858" s="166">
        <v>483.03999999998302</v>
      </c>
      <c r="P1858" s="169" t="e">
        <f t="shared" si="63"/>
        <v>#NAME?</v>
      </c>
      <c r="Q1858" s="177">
        <v>483.03999999998302</v>
      </c>
      <c r="R1858" s="166">
        <v>483.54999999998302</v>
      </c>
      <c r="S1858" s="166">
        <v>7.5590000000037367</v>
      </c>
    </row>
    <row r="1859" spans="15:19">
      <c r="O1859" s="166">
        <v>483.04999999998302</v>
      </c>
      <c r="P1859" s="169" t="e">
        <f t="shared" si="63"/>
        <v>#NAME?</v>
      </c>
      <c r="Q1859" s="177">
        <v>483.04999999998302</v>
      </c>
      <c r="R1859" s="166">
        <v>483.55999999998301</v>
      </c>
      <c r="S1859" s="166">
        <v>7.5568000000037383</v>
      </c>
    </row>
    <row r="1860" spans="15:19">
      <c r="O1860" s="166">
        <v>483.05999999998301</v>
      </c>
      <c r="P1860" s="169" t="e">
        <f t="shared" ref="P1860:P1923" si="64">VLOOKUP(O1860,THONGSOHO_BTS,2,1)+(VLOOKUP(O1860+5,THONGSOHO_BTS,2,1)-VLOOKUP(O1860,THONGSOHO_BTS,2,1))/5*(O1860-VLOOKUP(O1860,THONGSOHO_BTS,1,1))-264.29</f>
        <v>#NAME?</v>
      </c>
      <c r="Q1860" s="177">
        <v>483.05999999998301</v>
      </c>
      <c r="R1860" s="166">
        <v>483.569999999983</v>
      </c>
      <c r="S1860" s="166">
        <v>7.5546000000037408</v>
      </c>
    </row>
    <row r="1861" spans="15:19">
      <c r="O1861" s="166">
        <v>483.069999999983</v>
      </c>
      <c r="P1861" s="169" t="e">
        <f t="shared" si="64"/>
        <v>#NAME?</v>
      </c>
      <c r="Q1861" s="177">
        <v>483.069999999983</v>
      </c>
      <c r="R1861" s="166">
        <v>483.57999999998299</v>
      </c>
      <c r="S1861" s="166">
        <v>7.5524000000037423</v>
      </c>
    </row>
    <row r="1862" spans="15:19">
      <c r="O1862" s="166">
        <v>483.07999999998299</v>
      </c>
      <c r="P1862" s="169" t="e">
        <f t="shared" si="64"/>
        <v>#NAME?</v>
      </c>
      <c r="Q1862" s="177">
        <v>483.07999999998299</v>
      </c>
      <c r="R1862" s="166">
        <v>483.58999999998298</v>
      </c>
      <c r="S1862" s="166">
        <v>7.5502000000037448</v>
      </c>
    </row>
    <row r="1863" spans="15:19">
      <c r="O1863" s="166">
        <v>483.08999999998298</v>
      </c>
      <c r="P1863" s="169" t="e">
        <f t="shared" si="64"/>
        <v>#NAME?</v>
      </c>
      <c r="Q1863" s="177">
        <v>483.08999999998298</v>
      </c>
      <c r="R1863" s="166">
        <v>483.59999999998303</v>
      </c>
      <c r="S1863" s="166">
        <v>7.5480000000037339</v>
      </c>
    </row>
    <row r="1864" spans="15:19">
      <c r="O1864" s="166">
        <v>483.09999999998303</v>
      </c>
      <c r="P1864" s="169" t="e">
        <f t="shared" si="64"/>
        <v>#NAME?</v>
      </c>
      <c r="Q1864" s="177">
        <v>483.09999999998303</v>
      </c>
      <c r="R1864" s="166">
        <v>483.60999999998302</v>
      </c>
      <c r="S1864" s="166">
        <v>7.5458000000037364</v>
      </c>
    </row>
    <row r="1865" spans="15:19">
      <c r="O1865" s="166">
        <v>483.10999999998302</v>
      </c>
      <c r="P1865" s="169" t="e">
        <f t="shared" si="64"/>
        <v>#NAME?</v>
      </c>
      <c r="Q1865" s="177">
        <v>483.10999999998302</v>
      </c>
      <c r="R1865" s="166">
        <v>483.61999999998301</v>
      </c>
      <c r="S1865" s="166">
        <v>7.543600000003738</v>
      </c>
    </row>
    <row r="1866" spans="15:19">
      <c r="O1866" s="166">
        <v>483.11999999998301</v>
      </c>
      <c r="P1866" s="169" t="e">
        <f t="shared" si="64"/>
        <v>#NAME?</v>
      </c>
      <c r="Q1866" s="177">
        <v>483.11999999998301</v>
      </c>
      <c r="R1866" s="166">
        <v>483.629999999983</v>
      </c>
      <c r="S1866" s="166">
        <v>7.5414000000037404</v>
      </c>
    </row>
    <row r="1867" spans="15:19">
      <c r="O1867" s="166">
        <v>483.129999999983</v>
      </c>
      <c r="P1867" s="169" t="e">
        <f t="shared" si="64"/>
        <v>#NAME?</v>
      </c>
      <c r="Q1867" s="177">
        <v>483.129999999983</v>
      </c>
      <c r="R1867" s="166">
        <v>483.63999999998299</v>
      </c>
      <c r="S1867" s="166">
        <v>7.539200000003742</v>
      </c>
    </row>
    <row r="1868" spans="15:19">
      <c r="O1868" s="166">
        <v>483.13999999998299</v>
      </c>
      <c r="P1868" s="169" t="e">
        <f t="shared" si="64"/>
        <v>#NAME?</v>
      </c>
      <c r="Q1868" s="177">
        <v>483.13999999998299</v>
      </c>
      <c r="R1868" s="166">
        <v>483.64999999998298</v>
      </c>
      <c r="S1868" s="166">
        <v>7.5370000000037436</v>
      </c>
    </row>
    <row r="1869" spans="15:19">
      <c r="O1869" s="166">
        <v>483.14999999998298</v>
      </c>
      <c r="P1869" s="169" t="e">
        <f t="shared" si="64"/>
        <v>#NAME?</v>
      </c>
      <c r="Q1869" s="177">
        <v>483.14999999998298</v>
      </c>
      <c r="R1869" s="166">
        <v>483.65999999998297</v>
      </c>
      <c r="S1869" s="166">
        <v>7.5348000000037461</v>
      </c>
    </row>
    <row r="1870" spans="15:19">
      <c r="O1870" s="166">
        <v>483.15999999998297</v>
      </c>
      <c r="P1870" s="169" t="e">
        <f t="shared" si="64"/>
        <v>#NAME?</v>
      </c>
      <c r="Q1870" s="177">
        <v>483.15999999998297</v>
      </c>
      <c r="R1870" s="166">
        <v>483.66999999998302</v>
      </c>
      <c r="S1870" s="166">
        <v>7.5326000000037352</v>
      </c>
    </row>
    <row r="1871" spans="15:19">
      <c r="O1871" s="166">
        <v>483.16999999998302</v>
      </c>
      <c r="P1871" s="169" t="e">
        <f t="shared" si="64"/>
        <v>#NAME?</v>
      </c>
      <c r="Q1871" s="177">
        <v>483.16999999998302</v>
      </c>
      <c r="R1871" s="166">
        <v>483.67999999998301</v>
      </c>
      <c r="S1871" s="166">
        <v>7.5304000000037377</v>
      </c>
    </row>
    <row r="1872" spans="15:19">
      <c r="O1872" s="166">
        <v>483.17999999998301</v>
      </c>
      <c r="P1872" s="169" t="e">
        <f t="shared" si="64"/>
        <v>#NAME?</v>
      </c>
      <c r="Q1872" s="177">
        <v>483.17999999998301</v>
      </c>
      <c r="R1872" s="166">
        <v>483.689999999983</v>
      </c>
      <c r="S1872" s="166">
        <v>7.5282000000037392</v>
      </c>
    </row>
    <row r="1873" spans="15:19">
      <c r="O1873" s="166">
        <v>483.189999999983</v>
      </c>
      <c r="P1873" s="169" t="e">
        <f t="shared" si="64"/>
        <v>#NAME?</v>
      </c>
      <c r="Q1873" s="177">
        <v>483.189999999983</v>
      </c>
      <c r="R1873" s="166">
        <v>483.69999999998299</v>
      </c>
      <c r="S1873" s="166">
        <v>7.5260000000037417</v>
      </c>
    </row>
    <row r="1874" spans="15:19">
      <c r="O1874" s="166">
        <v>483.19999999998299</v>
      </c>
      <c r="P1874" s="169" t="e">
        <f t="shared" si="64"/>
        <v>#NAME?</v>
      </c>
      <c r="Q1874" s="177">
        <v>483.19999999998299</v>
      </c>
      <c r="R1874" s="166">
        <v>483.70999999998298</v>
      </c>
      <c r="S1874" s="166">
        <v>7.5238000000037433</v>
      </c>
    </row>
    <row r="1875" spans="15:19">
      <c r="O1875" s="166">
        <v>483.20999999998298</v>
      </c>
      <c r="P1875" s="169" t="e">
        <f t="shared" si="64"/>
        <v>#NAME?</v>
      </c>
      <c r="Q1875" s="177">
        <v>483.20999999998298</v>
      </c>
      <c r="R1875" s="166">
        <v>483.71999999998297</v>
      </c>
      <c r="S1875" s="166">
        <v>7.5216000000037457</v>
      </c>
    </row>
    <row r="1876" spans="15:19">
      <c r="O1876" s="166">
        <v>483.21999999998297</v>
      </c>
      <c r="P1876" s="169" t="e">
        <f t="shared" si="64"/>
        <v>#NAME?</v>
      </c>
      <c r="Q1876" s="177">
        <v>483.21999999998297</v>
      </c>
      <c r="R1876" s="166">
        <v>483.72999999998302</v>
      </c>
      <c r="S1876" s="166">
        <v>7.5194000000037349</v>
      </c>
    </row>
    <row r="1877" spans="15:19">
      <c r="O1877" s="166">
        <v>483.22999999998302</v>
      </c>
      <c r="P1877" s="169" t="e">
        <f t="shared" si="64"/>
        <v>#NAME?</v>
      </c>
      <c r="Q1877" s="177">
        <v>483.22999999998302</v>
      </c>
      <c r="R1877" s="166">
        <v>483.73999999998301</v>
      </c>
      <c r="S1877" s="166">
        <v>7.5172000000037373</v>
      </c>
    </row>
    <row r="1878" spans="15:19">
      <c r="O1878" s="166">
        <v>483.23999999998301</v>
      </c>
      <c r="P1878" s="169" t="e">
        <f t="shared" si="64"/>
        <v>#NAME?</v>
      </c>
      <c r="Q1878" s="177">
        <v>483.23999999998301</v>
      </c>
      <c r="R1878" s="166">
        <v>483.749999999983</v>
      </c>
      <c r="S1878" s="166">
        <v>7.5150000000037389</v>
      </c>
    </row>
    <row r="1879" spans="15:19">
      <c r="O1879" s="166">
        <v>483.249999999983</v>
      </c>
      <c r="P1879" s="169" t="e">
        <f t="shared" si="64"/>
        <v>#NAME?</v>
      </c>
      <c r="Q1879" s="177">
        <v>483.249999999983</v>
      </c>
      <c r="R1879" s="166">
        <v>483.75999999998299</v>
      </c>
      <c r="S1879" s="166">
        <v>7.5128000000037414</v>
      </c>
    </row>
    <row r="1880" spans="15:19">
      <c r="O1880" s="166">
        <v>483.25999999998299</v>
      </c>
      <c r="P1880" s="169" t="e">
        <f t="shared" si="64"/>
        <v>#NAME?</v>
      </c>
      <c r="Q1880" s="177">
        <v>483.25999999998299</v>
      </c>
      <c r="R1880" s="166">
        <v>483.76999999998299</v>
      </c>
      <c r="S1880" s="166">
        <v>7.5106000000037429</v>
      </c>
    </row>
    <row r="1881" spans="15:19">
      <c r="O1881" s="166">
        <v>483.26999999998299</v>
      </c>
      <c r="P1881" s="169" t="e">
        <f t="shared" si="64"/>
        <v>#NAME?</v>
      </c>
      <c r="Q1881" s="177">
        <v>483.26999999998299</v>
      </c>
      <c r="R1881" s="166">
        <v>483.77999999998298</v>
      </c>
      <c r="S1881" s="166">
        <v>7.5084000000037454</v>
      </c>
    </row>
    <row r="1882" spans="15:19">
      <c r="O1882" s="166">
        <v>483.27999999998298</v>
      </c>
      <c r="P1882" s="169" t="e">
        <f t="shared" si="64"/>
        <v>#NAME?</v>
      </c>
      <c r="Q1882" s="177">
        <v>483.27999999998298</v>
      </c>
      <c r="R1882" s="166">
        <v>483.78999999998302</v>
      </c>
      <c r="S1882" s="166">
        <v>7.5062000000037346</v>
      </c>
    </row>
    <row r="1883" spans="15:19">
      <c r="O1883" s="166">
        <v>483.28999999998302</v>
      </c>
      <c r="P1883" s="169" t="e">
        <f t="shared" si="64"/>
        <v>#NAME?</v>
      </c>
      <c r="Q1883" s="177">
        <v>483.28999999998302</v>
      </c>
      <c r="R1883" s="166">
        <v>483.79999999998302</v>
      </c>
      <c r="S1883" s="166">
        <v>7.504000000003737</v>
      </c>
    </row>
    <row r="1884" spans="15:19">
      <c r="O1884" s="166">
        <v>483.29999999998302</v>
      </c>
      <c r="P1884" s="169" t="e">
        <f t="shared" si="64"/>
        <v>#NAME?</v>
      </c>
      <c r="Q1884" s="177">
        <v>483.29999999998302</v>
      </c>
      <c r="R1884" s="166">
        <v>483.80999999998301</v>
      </c>
      <c r="S1884" s="166">
        <v>7.5018000000037386</v>
      </c>
    </row>
    <row r="1885" spans="15:19">
      <c r="O1885" s="166">
        <v>483.30999999998301</v>
      </c>
      <c r="P1885" s="169" t="e">
        <f t="shared" si="64"/>
        <v>#NAME?</v>
      </c>
      <c r="Q1885" s="177">
        <v>483.30999999998301</v>
      </c>
      <c r="R1885" s="166">
        <v>483.819999999983</v>
      </c>
      <c r="S1885" s="166">
        <v>7.4996000000037402</v>
      </c>
    </row>
    <row r="1886" spans="15:19">
      <c r="O1886" s="166">
        <v>483.319999999983</v>
      </c>
      <c r="P1886" s="169" t="e">
        <f t="shared" si="64"/>
        <v>#NAME?</v>
      </c>
      <c r="Q1886" s="177">
        <v>483.319999999983</v>
      </c>
      <c r="R1886" s="166">
        <v>483.82999999998299</v>
      </c>
      <c r="S1886" s="166">
        <v>7.4974000000037426</v>
      </c>
    </row>
    <row r="1887" spans="15:19">
      <c r="O1887" s="166">
        <v>483.32999999998299</v>
      </c>
      <c r="P1887" s="169" t="e">
        <f t="shared" si="64"/>
        <v>#NAME?</v>
      </c>
      <c r="Q1887" s="177">
        <v>483.32999999998299</v>
      </c>
      <c r="R1887" s="166">
        <v>483.83999999998298</v>
      </c>
      <c r="S1887" s="166">
        <v>7.4952000000037442</v>
      </c>
    </row>
    <row r="1888" spans="15:19">
      <c r="O1888" s="166">
        <v>483.33999999998298</v>
      </c>
      <c r="P1888" s="169" t="e">
        <f t="shared" si="64"/>
        <v>#NAME?</v>
      </c>
      <c r="Q1888" s="177">
        <v>483.33999999998298</v>
      </c>
      <c r="R1888" s="166">
        <v>483.84999999998303</v>
      </c>
      <c r="S1888" s="166">
        <v>7.4930000000037342</v>
      </c>
    </row>
    <row r="1889" spans="15:19">
      <c r="O1889" s="166">
        <v>483.34999999998303</v>
      </c>
      <c r="P1889" s="169" t="e">
        <f t="shared" si="64"/>
        <v>#NAME?</v>
      </c>
      <c r="Q1889" s="177">
        <v>483.34999999998303</v>
      </c>
      <c r="R1889" s="166">
        <v>483.85999999998302</v>
      </c>
      <c r="S1889" s="166">
        <v>7.4908000000037358</v>
      </c>
    </row>
    <row r="1890" spans="15:19">
      <c r="O1890" s="166">
        <v>483.35999999998302</v>
      </c>
      <c r="P1890" s="169" t="e">
        <f t="shared" si="64"/>
        <v>#NAME?</v>
      </c>
      <c r="Q1890" s="177">
        <v>483.35999999998302</v>
      </c>
      <c r="R1890" s="166">
        <v>483.86999999998301</v>
      </c>
      <c r="S1890" s="166">
        <v>7.4886000000037383</v>
      </c>
    </row>
    <row r="1891" spans="15:19">
      <c r="O1891" s="166">
        <v>483.36999999998301</v>
      </c>
      <c r="P1891" s="169" t="e">
        <f t="shared" si="64"/>
        <v>#NAME?</v>
      </c>
      <c r="Q1891" s="177">
        <v>483.36999999998301</v>
      </c>
      <c r="R1891" s="166">
        <v>483.879999999983</v>
      </c>
      <c r="S1891" s="166">
        <v>7.4864000000037398</v>
      </c>
    </row>
    <row r="1892" spans="15:19">
      <c r="O1892" s="166">
        <v>483.379999999983</v>
      </c>
      <c r="P1892" s="169" t="e">
        <f t="shared" si="64"/>
        <v>#NAME?</v>
      </c>
      <c r="Q1892" s="177">
        <v>483.379999999983</v>
      </c>
      <c r="R1892" s="166">
        <v>483.88999999998299</v>
      </c>
      <c r="S1892" s="166">
        <v>7.4842000000037423</v>
      </c>
    </row>
    <row r="1893" spans="15:19">
      <c r="O1893" s="166">
        <v>483.38999999998299</v>
      </c>
      <c r="P1893" s="169" t="e">
        <f t="shared" si="64"/>
        <v>#NAME?</v>
      </c>
      <c r="Q1893" s="177">
        <v>483.38999999998299</v>
      </c>
      <c r="R1893" s="166">
        <v>483.89999999998298</v>
      </c>
      <c r="S1893" s="166">
        <v>7.4820000000037439</v>
      </c>
    </row>
    <row r="1894" spans="15:19">
      <c r="O1894" s="166">
        <v>483.39999999998298</v>
      </c>
      <c r="P1894" s="169" t="e">
        <f t="shared" si="64"/>
        <v>#NAME?</v>
      </c>
      <c r="Q1894" s="177">
        <v>483.39999999998298</v>
      </c>
      <c r="R1894" s="166">
        <v>483.90999999998297</v>
      </c>
      <c r="S1894" s="166">
        <v>7.4798000000037463</v>
      </c>
    </row>
    <row r="1895" spans="15:19">
      <c r="O1895" s="166">
        <v>483.40999999998297</v>
      </c>
      <c r="P1895" s="169" t="e">
        <f t="shared" si="64"/>
        <v>#NAME?</v>
      </c>
      <c r="Q1895" s="177">
        <v>483.40999999998297</v>
      </c>
      <c r="R1895" s="166">
        <v>483.91999999998302</v>
      </c>
      <c r="S1895" s="166">
        <v>7.4776000000037355</v>
      </c>
    </row>
    <row r="1896" spans="15:19">
      <c r="O1896" s="166">
        <v>483.41999999998302</v>
      </c>
      <c r="P1896" s="169" t="e">
        <f t="shared" si="64"/>
        <v>#NAME?</v>
      </c>
      <c r="Q1896" s="177">
        <v>483.41999999998302</v>
      </c>
      <c r="R1896" s="166">
        <v>483.92999999998301</v>
      </c>
      <c r="S1896" s="166">
        <v>7.4754000000037379</v>
      </c>
    </row>
    <row r="1897" spans="15:19">
      <c r="O1897" s="166">
        <v>483.42999999998301</v>
      </c>
      <c r="P1897" s="169" t="e">
        <f t="shared" si="64"/>
        <v>#NAME?</v>
      </c>
      <c r="Q1897" s="177">
        <v>483.42999999998301</v>
      </c>
      <c r="R1897" s="166">
        <v>483.939999999983</v>
      </c>
      <c r="S1897" s="166">
        <v>7.4732000000037395</v>
      </c>
    </row>
    <row r="1898" spans="15:19">
      <c r="O1898" s="166">
        <v>483.439999999983</v>
      </c>
      <c r="P1898" s="169" t="e">
        <f t="shared" si="64"/>
        <v>#NAME?</v>
      </c>
      <c r="Q1898" s="177">
        <v>483.439999999983</v>
      </c>
      <c r="R1898" s="166">
        <v>483.94999999998299</v>
      </c>
      <c r="S1898" s="166">
        <v>7.471000000003742</v>
      </c>
    </row>
    <row r="1899" spans="15:19">
      <c r="O1899" s="166">
        <v>483.44999999998299</v>
      </c>
      <c r="P1899" s="169" t="e">
        <f t="shared" si="64"/>
        <v>#NAME?</v>
      </c>
      <c r="Q1899" s="177">
        <v>483.44999999998299</v>
      </c>
      <c r="R1899" s="166">
        <v>483.95999999998298</v>
      </c>
      <c r="S1899" s="166">
        <v>7.4688000000037436</v>
      </c>
    </row>
    <row r="1900" spans="15:19">
      <c r="O1900" s="166">
        <v>483.45999999998298</v>
      </c>
      <c r="P1900" s="169" t="e">
        <f t="shared" si="64"/>
        <v>#NAME?</v>
      </c>
      <c r="Q1900" s="177">
        <v>483.45999999998298</v>
      </c>
      <c r="R1900" s="166">
        <v>483.96999999998297</v>
      </c>
      <c r="S1900" s="166">
        <v>7.466600000003746</v>
      </c>
    </row>
    <row r="1901" spans="15:19">
      <c r="O1901" s="166">
        <v>483.46999999998297</v>
      </c>
      <c r="P1901" s="169" t="e">
        <f t="shared" si="64"/>
        <v>#NAME?</v>
      </c>
      <c r="Q1901" s="177">
        <v>483.46999999998297</v>
      </c>
      <c r="R1901" s="166">
        <v>483.97999999998302</v>
      </c>
      <c r="S1901" s="166">
        <v>7.4644000000037352</v>
      </c>
    </row>
    <row r="1902" spans="15:19">
      <c r="O1902" s="166">
        <v>483.47999999998302</v>
      </c>
      <c r="P1902" s="169" t="e">
        <f t="shared" si="64"/>
        <v>#NAME?</v>
      </c>
      <c r="Q1902" s="177">
        <v>483.47999999998302</v>
      </c>
      <c r="R1902" s="166">
        <v>483.98999999998301</v>
      </c>
      <c r="S1902" s="166">
        <v>7.4622000000037367</v>
      </c>
    </row>
    <row r="1903" spans="15:19">
      <c r="O1903" s="166">
        <v>483.48999999998301</v>
      </c>
      <c r="P1903" s="169" t="e">
        <f t="shared" si="64"/>
        <v>#NAME?</v>
      </c>
      <c r="Q1903" s="177">
        <v>483.48999999998301</v>
      </c>
      <c r="R1903" s="166">
        <v>483.999999999983</v>
      </c>
      <c r="S1903" s="166">
        <v>7.4600000000037392</v>
      </c>
    </row>
    <row r="1904" spans="15:19">
      <c r="O1904" s="166">
        <v>483.499999999983</v>
      </c>
      <c r="P1904" s="169" t="e">
        <f t="shared" si="64"/>
        <v>#NAME?</v>
      </c>
      <c r="Q1904" s="177">
        <v>483.499999999983</v>
      </c>
      <c r="R1904" s="166">
        <v>484.00999999998299</v>
      </c>
      <c r="S1904" s="166">
        <v>7.4594000000010201</v>
      </c>
    </row>
    <row r="1905" spans="15:19">
      <c r="O1905" s="166">
        <v>483.50999999998299</v>
      </c>
      <c r="P1905" s="169" t="e">
        <f t="shared" si="64"/>
        <v>#NAME?</v>
      </c>
      <c r="Q1905" s="177">
        <v>483.50999999998299</v>
      </c>
      <c r="R1905" s="166">
        <v>484.01999999998299</v>
      </c>
      <c r="S1905" s="166">
        <v>7.4588000000010206</v>
      </c>
    </row>
    <row r="1906" spans="15:19">
      <c r="O1906" s="166">
        <v>483.51999999998299</v>
      </c>
      <c r="P1906" s="169" t="e">
        <f t="shared" si="64"/>
        <v>#NAME?</v>
      </c>
      <c r="Q1906" s="177">
        <v>483.51999999998299</v>
      </c>
      <c r="R1906" s="166">
        <v>484.02999999998298</v>
      </c>
      <c r="S1906" s="166">
        <v>7.4582000000010211</v>
      </c>
    </row>
    <row r="1907" spans="15:19">
      <c r="O1907" s="166">
        <v>483.52999999998298</v>
      </c>
      <c r="P1907" s="169" t="e">
        <f t="shared" si="64"/>
        <v>#NAME?</v>
      </c>
      <c r="Q1907" s="177">
        <v>483.52999999998298</v>
      </c>
      <c r="R1907" s="166">
        <v>484.03999999998302</v>
      </c>
      <c r="S1907" s="166">
        <v>7.4576000000010181</v>
      </c>
    </row>
    <row r="1908" spans="15:19">
      <c r="O1908" s="166">
        <v>483.53999999998302</v>
      </c>
      <c r="P1908" s="169" t="e">
        <f t="shared" si="64"/>
        <v>#NAME?</v>
      </c>
      <c r="Q1908" s="177">
        <v>483.53999999998302</v>
      </c>
      <c r="R1908" s="166">
        <v>484.04999999998302</v>
      </c>
      <c r="S1908" s="166">
        <v>7.4570000000010195</v>
      </c>
    </row>
    <row r="1909" spans="15:19">
      <c r="O1909" s="166">
        <v>483.54999999998302</v>
      </c>
      <c r="P1909" s="169" t="e">
        <f t="shared" si="64"/>
        <v>#NAME?</v>
      </c>
      <c r="Q1909" s="177">
        <v>483.54999999998302</v>
      </c>
      <c r="R1909" s="166">
        <v>484.05999999998301</v>
      </c>
      <c r="S1909" s="166">
        <v>7.45640000000102</v>
      </c>
    </row>
    <row r="1910" spans="15:19">
      <c r="O1910" s="166">
        <v>483.55999999998301</v>
      </c>
      <c r="P1910" s="169" t="e">
        <f t="shared" si="64"/>
        <v>#NAME?</v>
      </c>
      <c r="Q1910" s="177">
        <v>483.55999999998301</v>
      </c>
      <c r="R1910" s="166">
        <v>484.069999999983</v>
      </c>
      <c r="S1910" s="166">
        <v>7.4558000000010205</v>
      </c>
    </row>
    <row r="1911" spans="15:19">
      <c r="O1911" s="166">
        <v>483.569999999983</v>
      </c>
      <c r="P1911" s="169" t="e">
        <f t="shared" si="64"/>
        <v>#NAME?</v>
      </c>
      <c r="Q1911" s="177">
        <v>483.569999999983</v>
      </c>
      <c r="R1911" s="166">
        <v>484.07999999998299</v>
      </c>
      <c r="S1911" s="166">
        <v>7.455200000001021</v>
      </c>
    </row>
    <row r="1912" spans="15:19">
      <c r="O1912" s="166">
        <v>483.57999999998299</v>
      </c>
      <c r="P1912" s="169" t="e">
        <f t="shared" si="64"/>
        <v>#NAME?</v>
      </c>
      <c r="Q1912" s="177">
        <v>483.57999999998299</v>
      </c>
      <c r="R1912" s="166">
        <v>484.08999999998298</v>
      </c>
      <c r="S1912" s="166">
        <v>7.4546000000010215</v>
      </c>
    </row>
    <row r="1913" spans="15:19">
      <c r="O1913" s="166">
        <v>483.58999999998298</v>
      </c>
      <c r="P1913" s="169" t="e">
        <f t="shared" si="64"/>
        <v>#NAME?</v>
      </c>
      <c r="Q1913" s="177">
        <v>483.58999999998298</v>
      </c>
      <c r="R1913" s="166">
        <v>484.09999999998303</v>
      </c>
      <c r="S1913" s="166">
        <v>7.4540000000010185</v>
      </c>
    </row>
    <row r="1914" spans="15:19">
      <c r="O1914" s="166">
        <v>483.59999999998303</v>
      </c>
      <c r="P1914" s="169" t="e">
        <f t="shared" si="64"/>
        <v>#NAME?</v>
      </c>
      <c r="Q1914" s="177">
        <v>483.59999999998303</v>
      </c>
      <c r="R1914" s="166">
        <v>484.10999999998302</v>
      </c>
      <c r="S1914" s="166">
        <v>7.453400000001019</v>
      </c>
    </row>
    <row r="1915" spans="15:19">
      <c r="O1915" s="166">
        <v>483.60999999998302</v>
      </c>
      <c r="P1915" s="169" t="e">
        <f t="shared" si="64"/>
        <v>#NAME?</v>
      </c>
      <c r="Q1915" s="177">
        <v>483.60999999998302</v>
      </c>
      <c r="R1915" s="166">
        <v>484.11999999998301</v>
      </c>
      <c r="S1915" s="166">
        <v>7.4528000000010195</v>
      </c>
    </row>
    <row r="1916" spans="15:19">
      <c r="O1916" s="166">
        <v>483.61999999998301</v>
      </c>
      <c r="P1916" s="169" t="e">
        <f t="shared" si="64"/>
        <v>#NAME?</v>
      </c>
      <c r="Q1916" s="177">
        <v>483.61999999998301</v>
      </c>
      <c r="R1916" s="166">
        <v>484.129999999983</v>
      </c>
      <c r="S1916" s="166">
        <v>7.45220000000102</v>
      </c>
    </row>
    <row r="1917" spans="15:19">
      <c r="O1917" s="166">
        <v>483.629999999983</v>
      </c>
      <c r="P1917" s="169" t="e">
        <f t="shared" si="64"/>
        <v>#NAME?</v>
      </c>
      <c r="Q1917" s="177">
        <v>483.629999999983</v>
      </c>
      <c r="R1917" s="166">
        <v>484.13999999998299</v>
      </c>
      <c r="S1917" s="166">
        <v>7.4516000000010205</v>
      </c>
    </row>
    <row r="1918" spans="15:19">
      <c r="O1918" s="166">
        <v>483.63999999998299</v>
      </c>
      <c r="P1918" s="169" t="e">
        <f t="shared" si="64"/>
        <v>#NAME?</v>
      </c>
      <c r="Q1918" s="177">
        <v>483.63999999998299</v>
      </c>
      <c r="R1918" s="166">
        <v>484.14999999998298</v>
      </c>
      <c r="S1918" s="166">
        <v>7.451000000001021</v>
      </c>
    </row>
    <row r="1919" spans="15:19">
      <c r="O1919" s="166">
        <v>483.64999999998298</v>
      </c>
      <c r="P1919" s="169" t="e">
        <f t="shared" si="64"/>
        <v>#NAME?</v>
      </c>
      <c r="Q1919" s="177">
        <v>483.64999999998298</v>
      </c>
      <c r="R1919" s="166">
        <v>484.15999999998297</v>
      </c>
      <c r="S1919" s="166">
        <v>7.4504000000010215</v>
      </c>
    </row>
    <row r="1920" spans="15:19">
      <c r="O1920" s="166">
        <v>483.65999999998297</v>
      </c>
      <c r="P1920" s="169" t="e">
        <f t="shared" si="64"/>
        <v>#NAME?</v>
      </c>
      <c r="Q1920" s="177">
        <v>483.65999999998297</v>
      </c>
      <c r="R1920" s="166">
        <v>484.16999999998302</v>
      </c>
      <c r="S1920" s="166">
        <v>7.4498000000010185</v>
      </c>
    </row>
    <row r="1921" spans="15:19">
      <c r="O1921" s="166">
        <v>483.66999999998302</v>
      </c>
      <c r="P1921" s="169" t="e">
        <f t="shared" si="64"/>
        <v>#NAME?</v>
      </c>
      <c r="Q1921" s="177">
        <v>483.66999999998302</v>
      </c>
      <c r="R1921" s="166">
        <v>484.17999999998301</v>
      </c>
      <c r="S1921" s="166">
        <v>7.449200000001019</v>
      </c>
    </row>
    <row r="1922" spans="15:19">
      <c r="O1922" s="166">
        <v>483.67999999998301</v>
      </c>
      <c r="P1922" s="169" t="e">
        <f t="shared" si="64"/>
        <v>#NAME?</v>
      </c>
      <c r="Q1922" s="177">
        <v>483.67999999998301</v>
      </c>
      <c r="R1922" s="166">
        <v>484.189999999983</v>
      </c>
      <c r="S1922" s="166">
        <v>7.4486000000010195</v>
      </c>
    </row>
    <row r="1923" spans="15:19">
      <c r="O1923" s="166">
        <v>483.68999999998198</v>
      </c>
      <c r="P1923" s="169" t="e">
        <f t="shared" si="64"/>
        <v>#NAME?</v>
      </c>
      <c r="Q1923" s="177">
        <v>483.68999999998198</v>
      </c>
      <c r="R1923" s="166">
        <v>484.19999999998203</v>
      </c>
      <c r="S1923" s="166">
        <v>7.4480000000010786</v>
      </c>
    </row>
    <row r="1924" spans="15:19">
      <c r="O1924" s="166">
        <v>483.69999999998203</v>
      </c>
      <c r="P1924" s="169" t="e">
        <f t="shared" ref="P1924:P1987" si="65">VLOOKUP(O1924,THONGSOHO_BTS,2,1)+(VLOOKUP(O1924+5,THONGSOHO_BTS,2,1)-VLOOKUP(O1924,THONGSOHO_BTS,2,1))/5*(O1924-VLOOKUP(O1924,THONGSOHO_BTS,1,1))-264.29</f>
        <v>#NAME?</v>
      </c>
      <c r="Q1924" s="177">
        <v>483.69999999998203</v>
      </c>
      <c r="R1924" s="166">
        <v>484.20999999998202</v>
      </c>
      <c r="S1924" s="166">
        <v>7.4474000000010792</v>
      </c>
    </row>
    <row r="1925" spans="15:19">
      <c r="O1925" s="166">
        <v>483.70999999998298</v>
      </c>
      <c r="P1925" s="169" t="e">
        <f t="shared" si="65"/>
        <v>#NAME?</v>
      </c>
      <c r="Q1925" s="177">
        <v>483.70999999998298</v>
      </c>
      <c r="R1925" s="166">
        <v>484.21999999998297</v>
      </c>
      <c r="S1925" s="166">
        <v>7.4468000000010219</v>
      </c>
    </row>
    <row r="1926" spans="15:19">
      <c r="O1926" s="166">
        <v>483.71999999998297</v>
      </c>
      <c r="P1926" s="169" t="e">
        <f t="shared" si="65"/>
        <v>#NAME?</v>
      </c>
      <c r="Q1926" s="177">
        <v>483.71999999998297</v>
      </c>
      <c r="R1926" s="166">
        <v>484.22999999998302</v>
      </c>
      <c r="S1926" s="166">
        <v>7.4462000000010189</v>
      </c>
    </row>
    <row r="1927" spans="15:19">
      <c r="O1927" s="166">
        <v>483.72999999998302</v>
      </c>
      <c r="P1927" s="169" t="e">
        <f t="shared" si="65"/>
        <v>#NAME?</v>
      </c>
      <c r="Q1927" s="177">
        <v>483.72999999998302</v>
      </c>
      <c r="R1927" s="166">
        <v>484.23999999998301</v>
      </c>
      <c r="S1927" s="166">
        <v>7.4456000000010194</v>
      </c>
    </row>
    <row r="1928" spans="15:19">
      <c r="O1928" s="166">
        <v>483.73999999998301</v>
      </c>
      <c r="P1928" s="169" t="e">
        <f t="shared" si="65"/>
        <v>#NAME?</v>
      </c>
      <c r="Q1928" s="177">
        <v>483.73999999998301</v>
      </c>
      <c r="R1928" s="166">
        <v>484.24999999998198</v>
      </c>
      <c r="S1928" s="166">
        <v>7.4450000000010812</v>
      </c>
    </row>
    <row r="1929" spans="15:19">
      <c r="O1929" s="166">
        <v>483.74999999998198</v>
      </c>
      <c r="P1929" s="169" t="e">
        <f t="shared" si="65"/>
        <v>#NAME?</v>
      </c>
      <c r="Q1929" s="177">
        <v>483.74999999998198</v>
      </c>
      <c r="R1929" s="166">
        <v>484.25999999998203</v>
      </c>
      <c r="S1929" s="166">
        <v>7.4444000000010782</v>
      </c>
    </row>
    <row r="1930" spans="15:19">
      <c r="O1930" s="166">
        <v>483.75999999998203</v>
      </c>
      <c r="P1930" s="169" t="e">
        <f t="shared" si="65"/>
        <v>#NAME?</v>
      </c>
      <c r="Q1930" s="177">
        <v>483.75999999998203</v>
      </c>
      <c r="R1930" s="166">
        <v>484.26999999998202</v>
      </c>
      <c r="S1930" s="166">
        <v>7.4438000000010787</v>
      </c>
    </row>
    <row r="1931" spans="15:19">
      <c r="O1931" s="166">
        <v>483.76999999998202</v>
      </c>
      <c r="P1931" s="169" t="e">
        <f t="shared" si="65"/>
        <v>#NAME?</v>
      </c>
      <c r="Q1931" s="177">
        <v>483.76999999998202</v>
      </c>
      <c r="R1931" s="166">
        <v>484.27999999998201</v>
      </c>
      <c r="S1931" s="166">
        <v>7.4432000000010792</v>
      </c>
    </row>
    <row r="1932" spans="15:19">
      <c r="O1932" s="166">
        <v>483.77999999998298</v>
      </c>
      <c r="P1932" s="169" t="e">
        <f t="shared" si="65"/>
        <v>#NAME?</v>
      </c>
      <c r="Q1932" s="177">
        <v>483.77999999998298</v>
      </c>
      <c r="R1932" s="166">
        <v>484.28999999998302</v>
      </c>
      <c r="S1932" s="166">
        <v>7.4426000000010184</v>
      </c>
    </row>
    <row r="1933" spans="15:19">
      <c r="O1933" s="166">
        <v>483.78999999998302</v>
      </c>
      <c r="P1933" s="169" t="e">
        <f t="shared" si="65"/>
        <v>#NAME?</v>
      </c>
      <c r="Q1933" s="177">
        <v>483.78999999998302</v>
      </c>
      <c r="R1933" s="166">
        <v>484.29999999998302</v>
      </c>
      <c r="S1933" s="166">
        <v>7.4420000000010189</v>
      </c>
    </row>
    <row r="1934" spans="15:19">
      <c r="O1934" s="166">
        <v>483.79999999998199</v>
      </c>
      <c r="P1934" s="169" t="e">
        <f t="shared" si="65"/>
        <v>#NAME?</v>
      </c>
      <c r="Q1934" s="177">
        <v>483.79999999998199</v>
      </c>
      <c r="R1934" s="166">
        <v>484.30999999998198</v>
      </c>
      <c r="S1934" s="166">
        <v>7.4414000000010807</v>
      </c>
    </row>
    <row r="1935" spans="15:19">
      <c r="O1935" s="166">
        <v>483.80999999998198</v>
      </c>
      <c r="P1935" s="169" t="e">
        <f t="shared" si="65"/>
        <v>#NAME?</v>
      </c>
      <c r="Q1935" s="177">
        <v>483.80999999998198</v>
      </c>
      <c r="R1935" s="166">
        <v>484.31999999998197</v>
      </c>
      <c r="S1935" s="166">
        <v>7.4408000000010812</v>
      </c>
    </row>
    <row r="1936" spans="15:19">
      <c r="O1936" s="166">
        <v>483.81999999998197</v>
      </c>
      <c r="P1936" s="169" t="e">
        <f t="shared" si="65"/>
        <v>#NAME?</v>
      </c>
      <c r="Q1936" s="177">
        <v>483.81999999998197</v>
      </c>
      <c r="R1936" s="166">
        <v>484.32999999998202</v>
      </c>
      <c r="S1936" s="166">
        <v>7.4402000000010791</v>
      </c>
    </row>
    <row r="1937" spans="15:19">
      <c r="O1937" s="166">
        <v>483.82999999998202</v>
      </c>
      <c r="P1937" s="169" t="e">
        <f t="shared" si="65"/>
        <v>#NAME?</v>
      </c>
      <c r="Q1937" s="177">
        <v>483.82999999998202</v>
      </c>
      <c r="R1937" s="166">
        <v>484.33999999998201</v>
      </c>
      <c r="S1937" s="166">
        <v>7.4396000000010796</v>
      </c>
    </row>
    <row r="1938" spans="15:19">
      <c r="O1938" s="166">
        <v>483.83999999998201</v>
      </c>
      <c r="P1938" s="169" t="e">
        <f t="shared" si="65"/>
        <v>#NAME?</v>
      </c>
      <c r="Q1938" s="177">
        <v>483.83999999998201</v>
      </c>
      <c r="R1938" s="166">
        <v>484.349999999982</v>
      </c>
      <c r="S1938" s="166">
        <v>7.4390000000010801</v>
      </c>
    </row>
    <row r="1939" spans="15:19">
      <c r="O1939" s="166">
        <v>483.849999999982</v>
      </c>
      <c r="P1939" s="169" t="e">
        <f t="shared" si="65"/>
        <v>#NAME?</v>
      </c>
      <c r="Q1939" s="177">
        <v>483.849999999982</v>
      </c>
      <c r="R1939" s="166">
        <v>484.35999999998199</v>
      </c>
      <c r="S1939" s="166">
        <v>7.4384000000010806</v>
      </c>
    </row>
    <row r="1940" spans="15:19">
      <c r="O1940" s="166">
        <v>483.85999999998199</v>
      </c>
      <c r="P1940" s="169" t="e">
        <f t="shared" si="65"/>
        <v>#NAME?</v>
      </c>
      <c r="Q1940" s="177">
        <v>483.85999999998199</v>
      </c>
      <c r="R1940" s="166">
        <v>484.36999999998199</v>
      </c>
      <c r="S1940" s="166">
        <v>7.4378000000010811</v>
      </c>
    </row>
    <row r="1941" spans="15:19">
      <c r="O1941" s="166">
        <v>483.86999999998199</v>
      </c>
      <c r="P1941" s="169" t="e">
        <f t="shared" si="65"/>
        <v>#NAME?</v>
      </c>
      <c r="Q1941" s="177">
        <v>483.86999999998199</v>
      </c>
      <c r="R1941" s="166">
        <v>484.37999999998198</v>
      </c>
      <c r="S1941" s="166">
        <v>7.4372000000010816</v>
      </c>
    </row>
    <row r="1942" spans="15:19">
      <c r="O1942" s="166">
        <v>483.87999999998198</v>
      </c>
      <c r="P1942" s="169" t="e">
        <f t="shared" si="65"/>
        <v>#NAME?</v>
      </c>
      <c r="Q1942" s="177">
        <v>483.87999999998198</v>
      </c>
      <c r="R1942" s="166">
        <v>484.38999999998202</v>
      </c>
      <c r="S1942" s="166">
        <v>7.4366000000010786</v>
      </c>
    </row>
    <row r="1943" spans="15:19">
      <c r="O1943" s="166">
        <v>483.88999999998202</v>
      </c>
      <c r="P1943" s="169" t="e">
        <f t="shared" si="65"/>
        <v>#NAME?</v>
      </c>
      <c r="Q1943" s="177">
        <v>483.88999999998202</v>
      </c>
      <c r="R1943" s="166">
        <v>484.39999999998201</v>
      </c>
      <c r="S1943" s="166">
        <v>7.4360000000010791</v>
      </c>
    </row>
    <row r="1944" spans="15:19">
      <c r="O1944" s="166">
        <v>483.89999999998201</v>
      </c>
      <c r="P1944" s="169" t="e">
        <f t="shared" si="65"/>
        <v>#NAME?</v>
      </c>
      <c r="Q1944" s="177">
        <v>483.89999999998201</v>
      </c>
      <c r="R1944" s="166">
        <v>484.40999999998201</v>
      </c>
      <c r="S1944" s="166">
        <v>7.4354000000010796</v>
      </c>
    </row>
    <row r="1945" spans="15:19">
      <c r="O1945" s="166">
        <v>483.90999999998201</v>
      </c>
      <c r="P1945" s="169" t="e">
        <f t="shared" si="65"/>
        <v>#NAME?</v>
      </c>
      <c r="Q1945" s="177">
        <v>483.90999999998201</v>
      </c>
      <c r="R1945" s="166">
        <v>484.419999999982</v>
      </c>
      <c r="S1945" s="166">
        <v>7.4348000000010801</v>
      </c>
    </row>
    <row r="1946" spans="15:19">
      <c r="O1946" s="166">
        <v>483.919999999982</v>
      </c>
      <c r="P1946" s="169" t="e">
        <f t="shared" si="65"/>
        <v>#NAME?</v>
      </c>
      <c r="Q1946" s="177">
        <v>483.919999999982</v>
      </c>
      <c r="R1946" s="166">
        <v>484.42999999998199</v>
      </c>
      <c r="S1946" s="166">
        <v>7.4342000000010806</v>
      </c>
    </row>
    <row r="1947" spans="15:19">
      <c r="O1947" s="166">
        <v>483.92999999998199</v>
      </c>
      <c r="P1947" s="169" t="e">
        <f t="shared" si="65"/>
        <v>#NAME?</v>
      </c>
      <c r="Q1947" s="177">
        <v>483.92999999998199</v>
      </c>
      <c r="R1947" s="166">
        <v>484.43999999998198</v>
      </c>
      <c r="S1947" s="166">
        <v>7.4336000000010811</v>
      </c>
    </row>
    <row r="1948" spans="15:19">
      <c r="O1948" s="166">
        <v>483.93999999998198</v>
      </c>
      <c r="P1948" s="169" t="e">
        <f t="shared" si="65"/>
        <v>#NAME?</v>
      </c>
      <c r="Q1948" s="177">
        <v>483.93999999998198</v>
      </c>
      <c r="R1948" s="166">
        <v>484.44999999998203</v>
      </c>
      <c r="S1948" s="166">
        <v>7.433000000001079</v>
      </c>
    </row>
    <row r="1949" spans="15:19">
      <c r="O1949" s="166">
        <v>483.94999999998203</v>
      </c>
      <c r="P1949" s="169" t="e">
        <f t="shared" si="65"/>
        <v>#NAME?</v>
      </c>
      <c r="Q1949" s="177">
        <v>483.94999999998203</v>
      </c>
      <c r="R1949" s="166">
        <v>484.45999999998202</v>
      </c>
      <c r="S1949" s="166">
        <v>7.4324000000010795</v>
      </c>
    </row>
    <row r="1950" spans="15:19">
      <c r="O1950" s="166">
        <v>483.95999999998202</v>
      </c>
      <c r="P1950" s="169" t="e">
        <f t="shared" si="65"/>
        <v>#NAME?</v>
      </c>
      <c r="Q1950" s="177">
        <v>483.95999999998202</v>
      </c>
      <c r="R1950" s="166">
        <v>484.46999999998201</v>
      </c>
      <c r="S1950" s="166">
        <v>7.43180000000108</v>
      </c>
    </row>
    <row r="1951" spans="15:19">
      <c r="O1951" s="166">
        <v>483.96999999998201</v>
      </c>
      <c r="P1951" s="169" t="e">
        <f t="shared" si="65"/>
        <v>#NAME?</v>
      </c>
      <c r="Q1951" s="177">
        <v>483.96999999998201</v>
      </c>
      <c r="R1951" s="166">
        <v>484.479999999982</v>
      </c>
      <c r="S1951" s="166">
        <v>7.4312000000010805</v>
      </c>
    </row>
    <row r="1952" spans="15:19">
      <c r="O1952" s="166">
        <v>483.979999999982</v>
      </c>
      <c r="P1952" s="169" t="e">
        <f t="shared" si="65"/>
        <v>#NAME?</v>
      </c>
      <c r="Q1952" s="177">
        <v>483.979999999982</v>
      </c>
      <c r="R1952" s="166">
        <v>484.48999999998199</v>
      </c>
      <c r="S1952" s="166">
        <v>7.430600000001081</v>
      </c>
    </row>
    <row r="1953" spans="15:19">
      <c r="O1953" s="166">
        <v>483.98999999998199</v>
      </c>
      <c r="P1953" s="169" t="e">
        <f t="shared" si="65"/>
        <v>#NAME?</v>
      </c>
      <c r="Q1953" s="177">
        <v>483.98999999998199</v>
      </c>
      <c r="R1953" s="166">
        <v>484.49999999998198</v>
      </c>
      <c r="S1953" s="166">
        <v>7.4300000000010815</v>
      </c>
    </row>
    <row r="1954" spans="15:19">
      <c r="O1954" s="166">
        <v>483.99999999998198</v>
      </c>
      <c r="P1954" s="169" t="e">
        <f t="shared" si="65"/>
        <v>#NAME?</v>
      </c>
      <c r="Q1954" s="177">
        <v>483.99999999998198</v>
      </c>
      <c r="R1954" s="166">
        <v>484.50999999998203</v>
      </c>
      <c r="S1954" s="166">
        <v>7.4294000000010785</v>
      </c>
    </row>
    <row r="1955" spans="15:19">
      <c r="O1955" s="166">
        <v>484.00999999998203</v>
      </c>
      <c r="P1955" s="169" t="e">
        <f t="shared" si="65"/>
        <v>#NAME?</v>
      </c>
      <c r="Q1955" s="177">
        <v>484.00999999998203</v>
      </c>
      <c r="R1955" s="166">
        <v>484.51999999998202</v>
      </c>
      <c r="S1955" s="166">
        <v>7.428800000001079</v>
      </c>
    </row>
    <row r="1956" spans="15:19">
      <c r="O1956" s="166">
        <v>484.01999999998202</v>
      </c>
      <c r="P1956" s="169" t="e">
        <f t="shared" si="65"/>
        <v>#NAME?</v>
      </c>
      <c r="Q1956" s="177">
        <v>484.01999999998202</v>
      </c>
      <c r="R1956" s="166">
        <v>484.52999999998201</v>
      </c>
      <c r="S1956" s="166">
        <v>7.4282000000010795</v>
      </c>
    </row>
    <row r="1957" spans="15:19">
      <c r="O1957" s="166">
        <v>484.02999999998201</v>
      </c>
      <c r="P1957" s="169" t="e">
        <f t="shared" si="65"/>
        <v>#NAME?</v>
      </c>
      <c r="Q1957" s="177">
        <v>484.02999999998201</v>
      </c>
      <c r="R1957" s="166">
        <v>484.539999999982</v>
      </c>
      <c r="S1957" s="166">
        <v>7.42760000000108</v>
      </c>
    </row>
    <row r="1958" spans="15:19">
      <c r="O1958" s="166">
        <v>484.039999999982</v>
      </c>
      <c r="P1958" s="169" t="e">
        <f t="shared" si="65"/>
        <v>#NAME?</v>
      </c>
      <c r="Q1958" s="177">
        <v>484.039999999982</v>
      </c>
      <c r="R1958" s="166">
        <v>484.54999999998199</v>
      </c>
      <c r="S1958" s="166">
        <v>7.4270000000010805</v>
      </c>
    </row>
    <row r="1959" spans="15:19">
      <c r="O1959" s="166">
        <v>484.04999999998199</v>
      </c>
      <c r="P1959" s="169" t="e">
        <f t="shared" si="65"/>
        <v>#NAME?</v>
      </c>
      <c r="Q1959" s="177">
        <v>484.04999999998199</v>
      </c>
      <c r="R1959" s="166">
        <v>484.55999999998198</v>
      </c>
      <c r="S1959" s="166">
        <v>7.426400000001081</v>
      </c>
    </row>
    <row r="1960" spans="15:19">
      <c r="O1960" s="166">
        <v>484.05999999998198</v>
      </c>
      <c r="P1960" s="169" t="e">
        <f t="shared" si="65"/>
        <v>#NAME?</v>
      </c>
      <c r="Q1960" s="177">
        <v>484.05999999998198</v>
      </c>
      <c r="R1960" s="166">
        <v>484.56999999998197</v>
      </c>
      <c r="S1960" s="166">
        <v>7.4258000000010815</v>
      </c>
    </row>
    <row r="1961" spans="15:19">
      <c r="O1961" s="166">
        <v>484.06999999998197</v>
      </c>
      <c r="P1961" s="169" t="e">
        <f t="shared" si="65"/>
        <v>#NAME?</v>
      </c>
      <c r="Q1961" s="177">
        <v>484.06999999998197</v>
      </c>
      <c r="R1961" s="166">
        <v>484.57999999998202</v>
      </c>
      <c r="S1961" s="166">
        <v>7.4252000000010785</v>
      </c>
    </row>
    <row r="1962" spans="15:19">
      <c r="O1962" s="166">
        <v>484.07999999998202</v>
      </c>
      <c r="P1962" s="169" t="e">
        <f t="shared" si="65"/>
        <v>#NAME?</v>
      </c>
      <c r="Q1962" s="177">
        <v>484.07999999998202</v>
      </c>
      <c r="R1962" s="166">
        <v>484.58999999998201</v>
      </c>
      <c r="S1962" s="166">
        <v>7.4246000000010799</v>
      </c>
    </row>
    <row r="1963" spans="15:19">
      <c r="O1963" s="166">
        <v>484.08999999998201</v>
      </c>
      <c r="P1963" s="169" t="e">
        <f t="shared" si="65"/>
        <v>#NAME?</v>
      </c>
      <c r="Q1963" s="177">
        <v>484.08999999998201</v>
      </c>
      <c r="R1963" s="166">
        <v>484.599999999982</v>
      </c>
      <c r="S1963" s="166">
        <v>7.4240000000010804</v>
      </c>
    </row>
    <row r="1964" spans="15:19">
      <c r="O1964" s="166">
        <v>484.099999999982</v>
      </c>
      <c r="P1964" s="169" t="e">
        <f t="shared" si="65"/>
        <v>#NAME?</v>
      </c>
      <c r="Q1964" s="177">
        <v>484.099999999982</v>
      </c>
      <c r="R1964" s="166">
        <v>484.60999999998199</v>
      </c>
      <c r="S1964" s="166">
        <v>7.4234000000010809</v>
      </c>
    </row>
    <row r="1965" spans="15:19">
      <c r="O1965" s="166">
        <v>484.10999999998199</v>
      </c>
      <c r="P1965" s="169" t="e">
        <f t="shared" si="65"/>
        <v>#NAME?</v>
      </c>
      <c r="Q1965" s="177">
        <v>484.10999999998199</v>
      </c>
      <c r="R1965" s="166">
        <v>484.61999999998199</v>
      </c>
      <c r="S1965" s="166">
        <v>7.4228000000010814</v>
      </c>
    </row>
    <row r="1966" spans="15:19">
      <c r="O1966" s="166">
        <v>484.11999999998199</v>
      </c>
      <c r="P1966" s="169" t="e">
        <f t="shared" si="65"/>
        <v>#NAME?</v>
      </c>
      <c r="Q1966" s="177">
        <v>484.11999999998199</v>
      </c>
      <c r="R1966" s="166">
        <v>484.62999999998198</v>
      </c>
      <c r="S1966" s="166">
        <v>7.4222000000010819</v>
      </c>
    </row>
    <row r="1967" spans="15:19">
      <c r="O1967" s="166">
        <v>484.12999999998198</v>
      </c>
      <c r="P1967" s="169" t="e">
        <f t="shared" si="65"/>
        <v>#NAME?</v>
      </c>
      <c r="Q1967" s="177">
        <v>484.12999999998198</v>
      </c>
      <c r="R1967" s="166">
        <v>484.63999999998202</v>
      </c>
      <c r="S1967" s="166">
        <v>7.4216000000010789</v>
      </c>
    </row>
    <row r="1968" spans="15:19">
      <c r="O1968" s="166">
        <v>484.13999999998202</v>
      </c>
      <c r="P1968" s="169" t="e">
        <f t="shared" si="65"/>
        <v>#NAME?</v>
      </c>
      <c r="Q1968" s="177">
        <v>484.13999999998202</v>
      </c>
      <c r="R1968" s="166">
        <v>484.64999999998201</v>
      </c>
      <c r="S1968" s="166">
        <v>7.4210000000010794</v>
      </c>
    </row>
    <row r="1969" spans="15:19">
      <c r="O1969" s="166">
        <v>484.14999999998201</v>
      </c>
      <c r="P1969" s="169" t="e">
        <f t="shared" si="65"/>
        <v>#NAME?</v>
      </c>
      <c r="Q1969" s="177">
        <v>484.14999999998201</v>
      </c>
      <c r="R1969" s="166">
        <v>484.65999999998201</v>
      </c>
      <c r="S1969" s="166">
        <v>7.4204000000010799</v>
      </c>
    </row>
    <row r="1970" spans="15:19">
      <c r="O1970" s="166">
        <v>484.15999999998201</v>
      </c>
      <c r="P1970" s="169" t="e">
        <f t="shared" si="65"/>
        <v>#NAME?</v>
      </c>
      <c r="Q1970" s="177">
        <v>484.15999999998201</v>
      </c>
      <c r="R1970" s="166">
        <v>484.669999999982</v>
      </c>
      <c r="S1970" s="166">
        <v>7.4198000000010804</v>
      </c>
    </row>
    <row r="1971" spans="15:19">
      <c r="O1971" s="166">
        <v>484.169999999982</v>
      </c>
      <c r="P1971" s="169" t="e">
        <f t="shared" si="65"/>
        <v>#NAME?</v>
      </c>
      <c r="Q1971" s="177">
        <v>484.169999999982</v>
      </c>
      <c r="R1971" s="166">
        <v>484.67999999998199</v>
      </c>
      <c r="S1971" s="166">
        <v>7.4192000000010809</v>
      </c>
    </row>
    <row r="1972" spans="15:19">
      <c r="O1972" s="166">
        <v>484.17999999998199</v>
      </c>
      <c r="P1972" s="169" t="e">
        <f t="shared" si="65"/>
        <v>#NAME?</v>
      </c>
      <c r="Q1972" s="177">
        <v>484.17999999998199</v>
      </c>
      <c r="R1972" s="166">
        <v>484.68999999998198</v>
      </c>
      <c r="S1972" s="166">
        <v>7.4186000000010814</v>
      </c>
    </row>
    <row r="1973" spans="15:19">
      <c r="O1973" s="166">
        <v>484.18999999998198</v>
      </c>
      <c r="P1973" s="169" t="e">
        <f t="shared" si="65"/>
        <v>#NAME?</v>
      </c>
      <c r="Q1973" s="177">
        <v>484.18999999998198</v>
      </c>
      <c r="R1973" s="166">
        <v>484.69999999998203</v>
      </c>
      <c r="S1973" s="166">
        <v>7.4180000000010784</v>
      </c>
    </row>
    <row r="1974" spans="15:19">
      <c r="O1974" s="166">
        <v>484.19999999998203</v>
      </c>
      <c r="P1974" s="169" t="e">
        <f t="shared" si="65"/>
        <v>#NAME?</v>
      </c>
      <c r="Q1974" s="177">
        <v>484.19999999998203</v>
      </c>
      <c r="R1974" s="166">
        <v>484.70999999998202</v>
      </c>
      <c r="S1974" s="166">
        <v>7.4174000000010789</v>
      </c>
    </row>
    <row r="1975" spans="15:19">
      <c r="O1975" s="166">
        <v>484.20999999998202</v>
      </c>
      <c r="P1975" s="169" t="e">
        <f t="shared" si="65"/>
        <v>#NAME?</v>
      </c>
      <c r="Q1975" s="177">
        <v>484.20999999998202</v>
      </c>
      <c r="R1975" s="166">
        <v>484.71999999998201</v>
      </c>
      <c r="S1975" s="166">
        <v>7.4168000000010794</v>
      </c>
    </row>
    <row r="1976" spans="15:19">
      <c r="O1976" s="166">
        <v>484.21999999998201</v>
      </c>
      <c r="P1976" s="169" t="e">
        <f t="shared" si="65"/>
        <v>#NAME?</v>
      </c>
      <c r="Q1976" s="177">
        <v>484.21999999998201</v>
      </c>
      <c r="R1976" s="166">
        <v>484.729999999982</v>
      </c>
      <c r="S1976" s="166">
        <v>7.4162000000010799</v>
      </c>
    </row>
    <row r="1977" spans="15:19">
      <c r="O1977" s="166">
        <v>484.229999999982</v>
      </c>
      <c r="P1977" s="169" t="e">
        <f t="shared" si="65"/>
        <v>#NAME?</v>
      </c>
      <c r="Q1977" s="177">
        <v>484.229999999982</v>
      </c>
      <c r="R1977" s="166">
        <v>484.73999999998199</v>
      </c>
      <c r="S1977" s="166">
        <v>7.4156000000010804</v>
      </c>
    </row>
    <row r="1978" spans="15:19">
      <c r="O1978" s="166">
        <v>484.23999999998199</v>
      </c>
      <c r="P1978" s="169" t="e">
        <f t="shared" si="65"/>
        <v>#NAME?</v>
      </c>
      <c r="Q1978" s="177">
        <v>484.23999999998199</v>
      </c>
      <c r="R1978" s="166">
        <v>484.74999999998198</v>
      </c>
      <c r="S1978" s="166">
        <v>7.4150000000010818</v>
      </c>
    </row>
    <row r="1979" spans="15:19">
      <c r="O1979" s="166">
        <v>484.24999999998198</v>
      </c>
      <c r="P1979" s="169" t="e">
        <f t="shared" si="65"/>
        <v>#NAME?</v>
      </c>
      <c r="Q1979" s="177">
        <v>484.24999999998198</v>
      </c>
      <c r="R1979" s="166">
        <v>484.75999999998203</v>
      </c>
      <c r="S1979" s="166">
        <v>7.4144000000010788</v>
      </c>
    </row>
    <row r="1980" spans="15:19">
      <c r="O1980" s="166">
        <v>484.25999999998203</v>
      </c>
      <c r="P1980" s="169" t="e">
        <f t="shared" si="65"/>
        <v>#NAME?</v>
      </c>
      <c r="Q1980" s="177">
        <v>484.25999999998203</v>
      </c>
      <c r="R1980" s="166">
        <v>484.76999999998202</v>
      </c>
      <c r="S1980" s="166">
        <v>7.4138000000010793</v>
      </c>
    </row>
    <row r="1981" spans="15:19">
      <c r="O1981" s="166">
        <v>484.26999999998202</v>
      </c>
      <c r="P1981" s="169" t="e">
        <f t="shared" si="65"/>
        <v>#NAME?</v>
      </c>
      <c r="Q1981" s="177">
        <v>484.26999999998202</v>
      </c>
      <c r="R1981" s="166">
        <v>484.77999999998201</v>
      </c>
      <c r="S1981" s="166">
        <v>7.4132000000010798</v>
      </c>
    </row>
    <row r="1982" spans="15:19">
      <c r="O1982" s="166">
        <v>484.27999999998201</v>
      </c>
      <c r="P1982" s="169" t="e">
        <f t="shared" si="65"/>
        <v>#NAME?</v>
      </c>
      <c r="Q1982" s="177">
        <v>484.27999999998201</v>
      </c>
      <c r="R1982" s="166">
        <v>484.789999999982</v>
      </c>
      <c r="S1982" s="166">
        <v>7.4126000000010803</v>
      </c>
    </row>
    <row r="1983" spans="15:19">
      <c r="O1983" s="166">
        <v>484.289999999982</v>
      </c>
      <c r="P1983" s="169" t="e">
        <f t="shared" si="65"/>
        <v>#NAME?</v>
      </c>
      <c r="Q1983" s="177">
        <v>484.289999999982</v>
      </c>
      <c r="R1983" s="166">
        <v>484.79999999998199</v>
      </c>
      <c r="S1983" s="166">
        <v>7.4120000000010808</v>
      </c>
    </row>
    <row r="1984" spans="15:19">
      <c r="O1984" s="166">
        <v>484.29999999998199</v>
      </c>
      <c r="P1984" s="169" t="e">
        <f t="shared" si="65"/>
        <v>#NAME?</v>
      </c>
      <c r="Q1984" s="177">
        <v>484.29999999998199</v>
      </c>
      <c r="R1984" s="166">
        <v>484.80999999998198</v>
      </c>
      <c r="S1984" s="166">
        <v>7.4114000000010813</v>
      </c>
    </row>
    <row r="1985" spans="15:19">
      <c r="O1985" s="166">
        <v>484.30999999998198</v>
      </c>
      <c r="P1985" s="169" t="e">
        <f t="shared" si="65"/>
        <v>#NAME?</v>
      </c>
      <c r="Q1985" s="177">
        <v>484.30999999998198</v>
      </c>
      <c r="R1985" s="166">
        <v>484.81999999998197</v>
      </c>
      <c r="S1985" s="166">
        <v>7.4108000000010819</v>
      </c>
    </row>
    <row r="1986" spans="15:19">
      <c r="O1986" s="166">
        <v>484.31999999998197</v>
      </c>
      <c r="P1986" s="169" t="e">
        <f t="shared" si="65"/>
        <v>#NAME?</v>
      </c>
      <c r="Q1986" s="177">
        <v>484.31999999998197</v>
      </c>
      <c r="R1986" s="166">
        <v>484.82999999998202</v>
      </c>
      <c r="S1986" s="166">
        <v>7.4102000000010788</v>
      </c>
    </row>
    <row r="1987" spans="15:19">
      <c r="O1987" s="166">
        <v>484.32999999998202</v>
      </c>
      <c r="P1987" s="169" t="e">
        <f t="shared" si="65"/>
        <v>#NAME?</v>
      </c>
      <c r="Q1987" s="177">
        <v>484.32999999998202</v>
      </c>
      <c r="R1987" s="166">
        <v>484.83999999998201</v>
      </c>
      <c r="S1987" s="166">
        <v>7.4096000000010793</v>
      </c>
    </row>
    <row r="1988" spans="15:19">
      <c r="O1988" s="166">
        <v>484.33999999998201</v>
      </c>
      <c r="P1988" s="169" t="e">
        <f t="shared" ref="P1988:P2051" si="66">VLOOKUP(O1988,THONGSOHO_BTS,2,1)+(VLOOKUP(O1988+5,THONGSOHO_BTS,2,1)-VLOOKUP(O1988,THONGSOHO_BTS,2,1))/5*(O1988-VLOOKUP(O1988,THONGSOHO_BTS,1,1))-264.29</f>
        <v>#NAME?</v>
      </c>
      <c r="Q1988" s="177">
        <v>484.33999999998201</v>
      </c>
      <c r="R1988" s="166">
        <v>484.849999999982</v>
      </c>
      <c r="S1988" s="166">
        <v>7.4090000000010798</v>
      </c>
    </row>
    <row r="1989" spans="15:19">
      <c r="O1989" s="166">
        <v>484.349999999982</v>
      </c>
      <c r="P1989" s="169" t="e">
        <f t="shared" si="66"/>
        <v>#NAME?</v>
      </c>
      <c r="Q1989" s="177">
        <v>484.349999999982</v>
      </c>
      <c r="R1989" s="166">
        <v>484.85999999998199</v>
      </c>
      <c r="S1989" s="166">
        <v>7.4084000000010803</v>
      </c>
    </row>
    <row r="1990" spans="15:19">
      <c r="O1990" s="166">
        <v>484.35999999998199</v>
      </c>
      <c r="P1990" s="169" t="e">
        <f t="shared" si="66"/>
        <v>#NAME?</v>
      </c>
      <c r="Q1990" s="177">
        <v>484.35999999998199</v>
      </c>
      <c r="R1990" s="166">
        <v>484.86999999998199</v>
      </c>
      <c r="S1990" s="166">
        <v>7.4078000000010809</v>
      </c>
    </row>
    <row r="1991" spans="15:19">
      <c r="O1991" s="166">
        <v>484.36999999998199</v>
      </c>
      <c r="P1991" s="169" t="e">
        <f t="shared" si="66"/>
        <v>#NAME?</v>
      </c>
      <c r="Q1991" s="177">
        <v>484.36999999998199</v>
      </c>
      <c r="R1991" s="166">
        <v>484.87999999998198</v>
      </c>
      <c r="S1991" s="166">
        <v>7.4072000000010814</v>
      </c>
    </row>
    <row r="1992" spans="15:19">
      <c r="O1992" s="166">
        <v>484.37999999998198</v>
      </c>
      <c r="P1992" s="169" t="e">
        <f t="shared" si="66"/>
        <v>#NAME?</v>
      </c>
      <c r="Q1992" s="177">
        <v>484.37999999998198</v>
      </c>
      <c r="R1992" s="166">
        <v>484.88999999998202</v>
      </c>
      <c r="S1992" s="166">
        <v>7.4066000000010792</v>
      </c>
    </row>
    <row r="1993" spans="15:19">
      <c r="O1993" s="166">
        <v>484.38999999998202</v>
      </c>
      <c r="P1993" s="169" t="e">
        <f t="shared" si="66"/>
        <v>#NAME?</v>
      </c>
      <c r="Q1993" s="177">
        <v>484.38999999998202</v>
      </c>
      <c r="R1993" s="166">
        <v>484.89999999998201</v>
      </c>
      <c r="S1993" s="166">
        <v>7.4060000000010797</v>
      </c>
    </row>
    <row r="1994" spans="15:19">
      <c r="O1994" s="166">
        <v>484.39999999998201</v>
      </c>
      <c r="P1994" s="169" t="e">
        <f t="shared" si="66"/>
        <v>#NAME?</v>
      </c>
      <c r="Q1994" s="177">
        <v>484.39999999998201</v>
      </c>
      <c r="R1994" s="166">
        <v>484.90999999998201</v>
      </c>
      <c r="S1994" s="166">
        <v>7.4054000000010802</v>
      </c>
    </row>
    <row r="1995" spans="15:19">
      <c r="O1995" s="166">
        <v>484.40999999998201</v>
      </c>
      <c r="P1995" s="169" t="e">
        <f t="shared" si="66"/>
        <v>#NAME?</v>
      </c>
      <c r="Q1995" s="177">
        <v>484.40999999998201</v>
      </c>
      <c r="R1995" s="166">
        <v>484.919999999982</v>
      </c>
      <c r="S1995" s="166">
        <v>7.4048000000010807</v>
      </c>
    </row>
    <row r="1996" spans="15:19">
      <c r="O1996" s="166">
        <v>484.419999999982</v>
      </c>
      <c r="P1996" s="169" t="e">
        <f t="shared" si="66"/>
        <v>#NAME?</v>
      </c>
      <c r="Q1996" s="177">
        <v>484.419999999982</v>
      </c>
      <c r="R1996" s="166">
        <v>484.92999999998199</v>
      </c>
      <c r="S1996" s="166">
        <v>7.4042000000010812</v>
      </c>
    </row>
    <row r="1997" spans="15:19">
      <c r="O1997" s="166">
        <v>484.42999999998199</v>
      </c>
      <c r="P1997" s="169" t="e">
        <f t="shared" si="66"/>
        <v>#NAME?</v>
      </c>
      <c r="Q1997" s="177">
        <v>484.42999999998199</v>
      </c>
      <c r="R1997" s="166">
        <v>484.93999999998198</v>
      </c>
      <c r="S1997" s="166">
        <v>7.4036000000010818</v>
      </c>
    </row>
    <row r="1998" spans="15:19">
      <c r="O1998" s="166">
        <v>484.43999999998198</v>
      </c>
      <c r="P1998" s="169" t="e">
        <f t="shared" si="66"/>
        <v>#NAME?</v>
      </c>
      <c r="Q1998" s="177">
        <v>484.43999999998198</v>
      </c>
      <c r="R1998" s="166">
        <v>484.94999999998203</v>
      </c>
      <c r="S1998" s="166">
        <v>7.4030000000010787</v>
      </c>
    </row>
    <row r="1999" spans="15:19">
      <c r="O1999" s="166">
        <v>484.44999999998203</v>
      </c>
      <c r="P1999" s="169" t="e">
        <f t="shared" si="66"/>
        <v>#NAME?</v>
      </c>
      <c r="Q1999" s="177">
        <v>484.44999999998203</v>
      </c>
      <c r="R1999" s="166">
        <v>484.95999999998202</v>
      </c>
      <c r="S1999" s="166">
        <v>7.4024000000010792</v>
      </c>
    </row>
    <row r="2000" spans="15:19">
      <c r="O2000" s="166">
        <v>484.45999999998202</v>
      </c>
      <c r="P2000" s="169" t="e">
        <f t="shared" si="66"/>
        <v>#NAME?</v>
      </c>
      <c r="Q2000" s="177">
        <v>484.45999999998202</v>
      </c>
      <c r="R2000" s="166">
        <v>484.96999999998201</v>
      </c>
      <c r="S2000" s="166">
        <v>7.4018000000010797</v>
      </c>
    </row>
    <row r="2001" spans="15:19">
      <c r="O2001" s="166">
        <v>484.46999999998201</v>
      </c>
      <c r="P2001" s="169" t="e">
        <f t="shared" si="66"/>
        <v>#NAME?</v>
      </c>
      <c r="Q2001" s="177">
        <v>484.46999999998201</v>
      </c>
      <c r="R2001" s="166">
        <v>484.979999999982</v>
      </c>
      <c r="S2001" s="166">
        <v>7.4012000000010802</v>
      </c>
    </row>
    <row r="2002" spans="15:19">
      <c r="O2002" s="166">
        <v>484.479999999982</v>
      </c>
      <c r="P2002" s="169" t="e">
        <f t="shared" si="66"/>
        <v>#NAME?</v>
      </c>
      <c r="Q2002" s="177">
        <v>484.479999999982</v>
      </c>
      <c r="R2002" s="166">
        <v>484.98999999998199</v>
      </c>
      <c r="S2002" s="166">
        <v>7.4006000000010808</v>
      </c>
    </row>
    <row r="2003" spans="15:19">
      <c r="O2003" s="166">
        <v>484.48999999998199</v>
      </c>
      <c r="P2003" s="169" t="e">
        <f t="shared" si="66"/>
        <v>#NAME?</v>
      </c>
      <c r="Q2003" s="177">
        <v>484.48999999998199</v>
      </c>
      <c r="R2003" s="166">
        <v>484.99999999998198</v>
      </c>
      <c r="S2003" s="166">
        <v>7.4000000000010813</v>
      </c>
    </row>
    <row r="2004" spans="15:19">
      <c r="O2004" s="166">
        <v>484.49999999998198</v>
      </c>
      <c r="P2004" s="169" t="e">
        <f t="shared" si="66"/>
        <v>#NAME?</v>
      </c>
      <c r="Q2004" s="177">
        <v>484.49999999998198</v>
      </c>
      <c r="R2004" s="166">
        <v>485.00999999998203</v>
      </c>
      <c r="S2004" s="166">
        <v>7.398800000002157</v>
      </c>
    </row>
    <row r="2005" spans="15:19">
      <c r="O2005" s="166">
        <v>484.50999999998203</v>
      </c>
      <c r="P2005" s="169" t="e">
        <f t="shared" si="66"/>
        <v>#NAME?</v>
      </c>
      <c r="Q2005" s="177">
        <v>484.50999999998203</v>
      </c>
      <c r="R2005" s="166">
        <v>485.01999999998202</v>
      </c>
      <c r="S2005" s="166">
        <v>7.397600000002158</v>
      </c>
    </row>
    <row r="2006" spans="15:19">
      <c r="O2006" s="166">
        <v>484.51999999998202</v>
      </c>
      <c r="P2006" s="169" t="e">
        <f t="shared" si="66"/>
        <v>#NAME?</v>
      </c>
      <c r="Q2006" s="177">
        <v>484.51999999998202</v>
      </c>
      <c r="R2006" s="166">
        <v>485.02999999998201</v>
      </c>
      <c r="S2006" s="166">
        <v>7.396400000002159</v>
      </c>
    </row>
    <row r="2007" spans="15:19">
      <c r="O2007" s="166">
        <v>484.52999999998201</v>
      </c>
      <c r="P2007" s="169" t="e">
        <f t="shared" si="66"/>
        <v>#NAME?</v>
      </c>
      <c r="Q2007" s="177">
        <v>484.52999999998201</v>
      </c>
      <c r="R2007" s="166">
        <v>485.039999999982</v>
      </c>
      <c r="S2007" s="166">
        <v>7.39520000000216</v>
      </c>
    </row>
    <row r="2008" spans="15:19">
      <c r="O2008" s="166">
        <v>484.539999999982</v>
      </c>
      <c r="P2008" s="169" t="e">
        <f t="shared" si="66"/>
        <v>#NAME?</v>
      </c>
      <c r="Q2008" s="177">
        <v>484.539999999982</v>
      </c>
      <c r="R2008" s="166">
        <v>485.04999999998199</v>
      </c>
      <c r="S2008" s="166">
        <v>7.3940000000021611</v>
      </c>
    </row>
    <row r="2009" spans="15:19">
      <c r="O2009" s="166">
        <v>484.54999999998199</v>
      </c>
      <c r="P2009" s="169" t="e">
        <f t="shared" si="66"/>
        <v>#NAME?</v>
      </c>
      <c r="Q2009" s="177">
        <v>484.54999999998199</v>
      </c>
      <c r="R2009" s="166">
        <v>485.05999999998198</v>
      </c>
      <c r="S2009" s="166">
        <v>7.3928000000021621</v>
      </c>
    </row>
    <row r="2010" spans="15:19">
      <c r="O2010" s="166">
        <v>484.55999999998198</v>
      </c>
      <c r="P2010" s="169" t="e">
        <f t="shared" si="66"/>
        <v>#NAME?</v>
      </c>
      <c r="Q2010" s="177">
        <v>484.55999999998198</v>
      </c>
      <c r="R2010" s="166">
        <v>485.06999999998197</v>
      </c>
      <c r="S2010" s="166">
        <v>7.3916000000021631</v>
      </c>
    </row>
    <row r="2011" spans="15:19">
      <c r="O2011" s="166">
        <v>484.56999999998197</v>
      </c>
      <c r="P2011" s="169" t="e">
        <f t="shared" si="66"/>
        <v>#NAME?</v>
      </c>
      <c r="Q2011" s="177">
        <v>484.56999999998197</v>
      </c>
      <c r="R2011" s="166">
        <v>485.07999999998202</v>
      </c>
      <c r="S2011" s="166">
        <v>7.3904000000021579</v>
      </c>
    </row>
    <row r="2012" spans="15:19">
      <c r="O2012" s="166">
        <v>484.57999999998202</v>
      </c>
      <c r="P2012" s="169" t="e">
        <f t="shared" si="66"/>
        <v>#NAME?</v>
      </c>
      <c r="Q2012" s="177">
        <v>484.57999999998202</v>
      </c>
      <c r="R2012" s="166">
        <v>485.08999999998201</v>
      </c>
      <c r="S2012" s="166">
        <v>7.3892000000021589</v>
      </c>
    </row>
    <row r="2013" spans="15:19">
      <c r="O2013" s="166">
        <v>484.58999999998201</v>
      </c>
      <c r="P2013" s="169" t="e">
        <f t="shared" si="66"/>
        <v>#NAME?</v>
      </c>
      <c r="Q2013" s="177">
        <v>484.58999999998201</v>
      </c>
      <c r="R2013" s="166">
        <v>485.099999999982</v>
      </c>
      <c r="S2013" s="166">
        <v>7.38800000000216</v>
      </c>
    </row>
    <row r="2014" spans="15:19">
      <c r="O2014" s="166">
        <v>484.599999999982</v>
      </c>
      <c r="P2014" s="169" t="e">
        <f t="shared" si="66"/>
        <v>#NAME?</v>
      </c>
      <c r="Q2014" s="177">
        <v>484.599999999982</v>
      </c>
      <c r="R2014" s="166">
        <v>485.10999999998199</v>
      </c>
      <c r="S2014" s="166">
        <v>7.386800000002161</v>
      </c>
    </row>
    <row r="2015" spans="15:19">
      <c r="O2015" s="166">
        <v>484.60999999998199</v>
      </c>
      <c r="P2015" s="169" t="e">
        <f t="shared" si="66"/>
        <v>#NAME?</v>
      </c>
      <c r="Q2015" s="177">
        <v>484.60999999998199</v>
      </c>
      <c r="R2015" s="166">
        <v>485.11999999998199</v>
      </c>
      <c r="S2015" s="166">
        <v>7.385600000002162</v>
      </c>
    </row>
    <row r="2016" spans="15:19">
      <c r="O2016" s="166">
        <v>484.61999999998199</v>
      </c>
      <c r="P2016" s="169" t="e">
        <f t="shared" si="66"/>
        <v>#NAME?</v>
      </c>
      <c r="Q2016" s="177">
        <v>484.61999999998199</v>
      </c>
      <c r="R2016" s="166">
        <v>485.12999999998198</v>
      </c>
      <c r="S2016" s="166">
        <v>7.384400000002163</v>
      </c>
    </row>
    <row r="2017" spans="15:19">
      <c r="O2017" s="166">
        <v>484.62999999998198</v>
      </c>
      <c r="P2017" s="169" t="e">
        <f t="shared" si="66"/>
        <v>#NAME?</v>
      </c>
      <c r="Q2017" s="177">
        <v>484.62999999998198</v>
      </c>
      <c r="R2017" s="166">
        <v>485.13999999998202</v>
      </c>
      <c r="S2017" s="166">
        <v>7.3832000000021578</v>
      </c>
    </row>
    <row r="2018" spans="15:19">
      <c r="O2018" s="166">
        <v>484.63999999998202</v>
      </c>
      <c r="P2018" s="169" t="e">
        <f t="shared" si="66"/>
        <v>#NAME?</v>
      </c>
      <c r="Q2018" s="177">
        <v>484.63999999998202</v>
      </c>
      <c r="R2018" s="166">
        <v>485.14999999998201</v>
      </c>
      <c r="S2018" s="166">
        <v>7.3820000000021588</v>
      </c>
    </row>
    <row r="2019" spans="15:19">
      <c r="O2019" s="166">
        <v>484.64999999998201</v>
      </c>
      <c r="P2019" s="169" t="e">
        <f t="shared" si="66"/>
        <v>#NAME?</v>
      </c>
      <c r="Q2019" s="177">
        <v>484.64999999998201</v>
      </c>
      <c r="R2019" s="166">
        <v>485.15999999998201</v>
      </c>
      <c r="S2019" s="166">
        <v>7.3808000000021599</v>
      </c>
    </row>
    <row r="2020" spans="15:19">
      <c r="O2020" s="166">
        <v>484.65999999998201</v>
      </c>
      <c r="P2020" s="169" t="e">
        <f t="shared" si="66"/>
        <v>#NAME?</v>
      </c>
      <c r="Q2020" s="177">
        <v>484.65999999998201</v>
      </c>
      <c r="R2020" s="166">
        <v>485.169999999982</v>
      </c>
      <c r="S2020" s="166">
        <v>7.3796000000021609</v>
      </c>
    </row>
    <row r="2021" spans="15:19">
      <c r="O2021" s="166">
        <v>484.669999999982</v>
      </c>
      <c r="P2021" s="169" t="e">
        <f t="shared" si="66"/>
        <v>#NAME?</v>
      </c>
      <c r="Q2021" s="177">
        <v>484.669999999982</v>
      </c>
      <c r="R2021" s="166">
        <v>485.17999999998199</v>
      </c>
      <c r="S2021" s="166">
        <v>7.3784000000021619</v>
      </c>
    </row>
    <row r="2022" spans="15:19">
      <c r="O2022" s="166">
        <v>484.67999999998199</v>
      </c>
      <c r="P2022" s="169" t="e">
        <f t="shared" si="66"/>
        <v>#NAME?</v>
      </c>
      <c r="Q2022" s="177">
        <v>484.67999999998199</v>
      </c>
      <c r="R2022" s="166">
        <v>485.18999999998198</v>
      </c>
      <c r="S2022" s="166">
        <v>7.3772000000021629</v>
      </c>
    </row>
    <row r="2023" spans="15:19">
      <c r="O2023" s="166">
        <v>484.68999999998198</v>
      </c>
      <c r="P2023" s="169" t="e">
        <f t="shared" si="66"/>
        <v>#NAME?</v>
      </c>
      <c r="Q2023" s="177">
        <v>484.68999999998198</v>
      </c>
      <c r="R2023" s="166">
        <v>485.19999999998203</v>
      </c>
      <c r="S2023" s="166">
        <v>7.3760000000021568</v>
      </c>
    </row>
    <row r="2024" spans="15:19">
      <c r="O2024" s="166">
        <v>484.69999999998203</v>
      </c>
      <c r="P2024" s="169" t="e">
        <f t="shared" si="66"/>
        <v>#NAME?</v>
      </c>
      <c r="Q2024" s="177">
        <v>484.69999999998203</v>
      </c>
      <c r="R2024" s="166">
        <v>485.20999999998202</v>
      </c>
      <c r="S2024" s="166">
        <v>7.3748000000021579</v>
      </c>
    </row>
    <row r="2025" spans="15:19">
      <c r="O2025" s="166">
        <v>484.70999999998202</v>
      </c>
      <c r="P2025" s="169" t="e">
        <f t="shared" si="66"/>
        <v>#NAME?</v>
      </c>
      <c r="Q2025" s="177">
        <v>484.70999999998202</v>
      </c>
      <c r="R2025" s="166">
        <v>485.21999999998201</v>
      </c>
      <c r="S2025" s="166">
        <v>7.3736000000021598</v>
      </c>
    </row>
    <row r="2026" spans="15:19">
      <c r="O2026" s="166">
        <v>484.71999999998201</v>
      </c>
      <c r="P2026" s="169" t="e">
        <f t="shared" si="66"/>
        <v>#NAME?</v>
      </c>
      <c r="Q2026" s="177">
        <v>484.71999999998201</v>
      </c>
      <c r="R2026" s="166">
        <v>485.229999999982</v>
      </c>
      <c r="S2026" s="166">
        <v>7.3724000000021608</v>
      </c>
    </row>
    <row r="2027" spans="15:19">
      <c r="O2027" s="166">
        <v>484.729999999982</v>
      </c>
      <c r="P2027" s="169" t="e">
        <f t="shared" si="66"/>
        <v>#NAME?</v>
      </c>
      <c r="Q2027" s="177">
        <v>484.729999999982</v>
      </c>
      <c r="R2027" s="166">
        <v>485.23999999998199</v>
      </c>
      <c r="S2027" s="166">
        <v>7.3712000000021618</v>
      </c>
    </row>
    <row r="2028" spans="15:19">
      <c r="O2028" s="166">
        <v>484.73999999998199</v>
      </c>
      <c r="P2028" s="169" t="e">
        <f t="shared" si="66"/>
        <v>#NAME?</v>
      </c>
      <c r="Q2028" s="177">
        <v>484.73999999998199</v>
      </c>
      <c r="R2028" s="166">
        <v>485.24999999998198</v>
      </c>
      <c r="S2028" s="166">
        <v>7.3700000000021628</v>
      </c>
    </row>
    <row r="2029" spans="15:19">
      <c r="O2029" s="166">
        <v>484.74999999998198</v>
      </c>
      <c r="P2029" s="169" t="e">
        <f t="shared" si="66"/>
        <v>#NAME?</v>
      </c>
      <c r="Q2029" s="177">
        <v>484.74999999998198</v>
      </c>
      <c r="R2029" s="166">
        <v>485.25999999998203</v>
      </c>
      <c r="S2029" s="166">
        <v>7.3688000000021567</v>
      </c>
    </row>
    <row r="2030" spans="15:19">
      <c r="O2030" s="166">
        <v>484.75999999998203</v>
      </c>
      <c r="P2030" s="169" t="e">
        <f t="shared" si="66"/>
        <v>#NAME?</v>
      </c>
      <c r="Q2030" s="177">
        <v>484.75999999998203</v>
      </c>
      <c r="R2030" s="166">
        <v>485.26999999998202</v>
      </c>
      <c r="S2030" s="166">
        <v>7.3676000000021578</v>
      </c>
    </row>
    <row r="2031" spans="15:19">
      <c r="O2031" s="166">
        <v>484.76999999998202</v>
      </c>
      <c r="P2031" s="169" t="e">
        <f t="shared" si="66"/>
        <v>#NAME?</v>
      </c>
      <c r="Q2031" s="177">
        <v>484.76999999998202</v>
      </c>
      <c r="R2031" s="166">
        <v>485.27999999998201</v>
      </c>
      <c r="S2031" s="166">
        <v>7.3664000000021588</v>
      </c>
    </row>
    <row r="2032" spans="15:19">
      <c r="O2032" s="166">
        <v>484.77999999998201</v>
      </c>
      <c r="P2032" s="169" t="e">
        <f t="shared" si="66"/>
        <v>#NAME?</v>
      </c>
      <c r="Q2032" s="177">
        <v>484.77999999998201</v>
      </c>
      <c r="R2032" s="166">
        <v>485.289999999982</v>
      </c>
      <c r="S2032" s="166">
        <v>7.3652000000021598</v>
      </c>
    </row>
    <row r="2033" spans="15:19">
      <c r="O2033" s="166">
        <v>484.78999999998098</v>
      </c>
      <c r="P2033" s="169" t="e">
        <f t="shared" si="66"/>
        <v>#NAME?</v>
      </c>
      <c r="Q2033" s="177">
        <v>484.78999999998098</v>
      </c>
      <c r="R2033" s="166">
        <v>485.29999999998103</v>
      </c>
      <c r="S2033" s="166">
        <v>7.3640000000022772</v>
      </c>
    </row>
    <row r="2034" spans="15:19">
      <c r="O2034" s="166">
        <v>484.79999999998103</v>
      </c>
      <c r="P2034" s="169" t="e">
        <f t="shared" si="66"/>
        <v>#NAME?</v>
      </c>
      <c r="Q2034" s="177">
        <v>484.79999999998103</v>
      </c>
      <c r="R2034" s="166">
        <v>485.30999999998102</v>
      </c>
      <c r="S2034" s="166">
        <v>7.3628000000022782</v>
      </c>
    </row>
    <row r="2035" spans="15:19">
      <c r="O2035" s="166">
        <v>484.80999999998198</v>
      </c>
      <c r="P2035" s="169" t="e">
        <f t="shared" si="66"/>
        <v>#NAME?</v>
      </c>
      <c r="Q2035" s="177">
        <v>484.80999999998198</v>
      </c>
      <c r="R2035" s="166">
        <v>485.31999999998197</v>
      </c>
      <c r="S2035" s="166">
        <v>7.3616000000021637</v>
      </c>
    </row>
    <row r="2036" spans="15:19">
      <c r="O2036" s="166">
        <v>484.81999999998197</v>
      </c>
      <c r="P2036" s="169" t="e">
        <f t="shared" si="66"/>
        <v>#NAME?</v>
      </c>
      <c r="Q2036" s="177">
        <v>484.81999999998197</v>
      </c>
      <c r="R2036" s="166">
        <v>485.32999999998202</v>
      </c>
      <c r="S2036" s="166">
        <v>7.3604000000021577</v>
      </c>
    </row>
    <row r="2037" spans="15:19">
      <c r="O2037" s="166">
        <v>484.82999999998202</v>
      </c>
      <c r="P2037" s="169" t="e">
        <f t="shared" si="66"/>
        <v>#NAME?</v>
      </c>
      <c r="Q2037" s="177">
        <v>484.82999999998202</v>
      </c>
      <c r="R2037" s="166">
        <v>485.33999999998201</v>
      </c>
      <c r="S2037" s="166">
        <v>7.3592000000021587</v>
      </c>
    </row>
    <row r="2038" spans="15:19">
      <c r="O2038" s="166">
        <v>484.83999999998201</v>
      </c>
      <c r="P2038" s="169" t="e">
        <f t="shared" si="66"/>
        <v>#NAME?</v>
      </c>
      <c r="Q2038" s="177">
        <v>484.83999999998201</v>
      </c>
      <c r="R2038" s="166">
        <v>485.34999999998098</v>
      </c>
      <c r="S2038" s="166">
        <v>7.3580000000022823</v>
      </c>
    </row>
    <row r="2039" spans="15:19">
      <c r="O2039" s="166">
        <v>484.84999999998098</v>
      </c>
      <c r="P2039" s="169" t="e">
        <f t="shared" si="66"/>
        <v>#NAME?</v>
      </c>
      <c r="Q2039" s="177">
        <v>484.84999999998098</v>
      </c>
      <c r="R2039" s="166">
        <v>485.35999999998103</v>
      </c>
      <c r="S2039" s="166">
        <v>7.3568000000022771</v>
      </c>
    </row>
    <row r="2040" spans="15:19">
      <c r="O2040" s="166">
        <v>484.85999999998103</v>
      </c>
      <c r="P2040" s="169" t="e">
        <f t="shared" si="66"/>
        <v>#NAME?</v>
      </c>
      <c r="Q2040" s="177">
        <v>484.85999999998103</v>
      </c>
      <c r="R2040" s="166">
        <v>485.36999999998102</v>
      </c>
      <c r="S2040" s="166">
        <v>7.3556000000022781</v>
      </c>
    </row>
    <row r="2041" spans="15:19">
      <c r="O2041" s="166">
        <v>484.86999999998102</v>
      </c>
      <c r="P2041" s="169" t="e">
        <f t="shared" si="66"/>
        <v>#NAME?</v>
      </c>
      <c r="Q2041" s="177">
        <v>484.86999999998102</v>
      </c>
      <c r="R2041" s="166">
        <v>485.37999999998101</v>
      </c>
      <c r="S2041" s="166">
        <v>7.3544000000022791</v>
      </c>
    </row>
    <row r="2042" spans="15:19">
      <c r="O2042" s="166">
        <v>484.87999999998198</v>
      </c>
      <c r="P2042" s="169" t="e">
        <f t="shared" si="66"/>
        <v>#NAME?</v>
      </c>
      <c r="Q2042" s="177">
        <v>484.87999999998198</v>
      </c>
      <c r="R2042" s="166">
        <v>485.38999999998202</v>
      </c>
      <c r="S2042" s="166">
        <v>7.3532000000021576</v>
      </c>
    </row>
    <row r="2043" spans="15:19">
      <c r="O2043" s="166">
        <v>484.88999999998202</v>
      </c>
      <c r="P2043" s="169" t="e">
        <f t="shared" si="66"/>
        <v>#NAME?</v>
      </c>
      <c r="Q2043" s="177">
        <v>484.88999999998202</v>
      </c>
      <c r="R2043" s="166">
        <v>485.39999999998201</v>
      </c>
      <c r="S2043" s="166">
        <v>7.3520000000021586</v>
      </c>
    </row>
    <row r="2044" spans="15:19">
      <c r="O2044" s="166">
        <v>484.89999999998099</v>
      </c>
      <c r="P2044" s="169" t="e">
        <f t="shared" si="66"/>
        <v>#NAME?</v>
      </c>
      <c r="Q2044" s="177">
        <v>484.89999999998099</v>
      </c>
      <c r="R2044" s="166">
        <v>485.40999999998098</v>
      </c>
      <c r="S2044" s="166">
        <v>7.3508000000022822</v>
      </c>
    </row>
    <row r="2045" spans="15:19">
      <c r="O2045" s="166">
        <v>484.90999999998098</v>
      </c>
      <c r="P2045" s="169" t="e">
        <f t="shared" si="66"/>
        <v>#NAME?</v>
      </c>
      <c r="Q2045" s="177">
        <v>484.90999999998098</v>
      </c>
      <c r="R2045" s="166">
        <v>485.41999999998097</v>
      </c>
      <c r="S2045" s="166">
        <v>7.3496000000022832</v>
      </c>
    </row>
    <row r="2046" spans="15:19">
      <c r="O2046" s="166">
        <v>484.91999999998097</v>
      </c>
      <c r="P2046" s="169" t="e">
        <f t="shared" si="66"/>
        <v>#NAME?</v>
      </c>
      <c r="Q2046" s="177">
        <v>484.91999999998097</v>
      </c>
      <c r="R2046" s="166">
        <v>485.42999999998102</v>
      </c>
      <c r="S2046" s="166">
        <v>7.348400000002278</v>
      </c>
    </row>
    <row r="2047" spans="15:19">
      <c r="O2047" s="166">
        <v>484.92999999998102</v>
      </c>
      <c r="P2047" s="169" t="e">
        <f t="shared" si="66"/>
        <v>#NAME?</v>
      </c>
      <c r="Q2047" s="177">
        <v>484.92999999998102</v>
      </c>
      <c r="R2047" s="166">
        <v>485.43999999998101</v>
      </c>
      <c r="S2047" s="166">
        <v>7.347200000002279</v>
      </c>
    </row>
    <row r="2048" spans="15:19">
      <c r="O2048" s="166">
        <v>484.93999999998101</v>
      </c>
      <c r="P2048" s="169" t="e">
        <f t="shared" si="66"/>
        <v>#NAME?</v>
      </c>
      <c r="Q2048" s="177">
        <v>484.93999999998101</v>
      </c>
      <c r="R2048" s="166">
        <v>485.449999999981</v>
      </c>
      <c r="S2048" s="166">
        <v>7.34600000000228</v>
      </c>
    </row>
    <row r="2049" spans="15:19">
      <c r="O2049" s="166">
        <v>484.949999999981</v>
      </c>
      <c r="P2049" s="169" t="e">
        <f t="shared" si="66"/>
        <v>#NAME?</v>
      </c>
      <c r="Q2049" s="177">
        <v>484.949999999981</v>
      </c>
      <c r="R2049" s="166">
        <v>485.45999999998099</v>
      </c>
      <c r="S2049" s="166">
        <v>7.3448000000022811</v>
      </c>
    </row>
    <row r="2050" spans="15:19">
      <c r="O2050" s="166">
        <v>484.95999999998099</v>
      </c>
      <c r="P2050" s="169" t="e">
        <f t="shared" si="66"/>
        <v>#NAME?</v>
      </c>
      <c r="Q2050" s="177">
        <v>484.95999999998099</v>
      </c>
      <c r="R2050" s="166">
        <v>485.46999999998098</v>
      </c>
      <c r="S2050" s="166">
        <v>7.3436000000022821</v>
      </c>
    </row>
    <row r="2051" spans="15:19">
      <c r="O2051" s="166">
        <v>484.96999999998098</v>
      </c>
      <c r="P2051" s="169" t="e">
        <f t="shared" si="66"/>
        <v>#NAME?</v>
      </c>
      <c r="Q2051" s="177">
        <v>484.96999999998098</v>
      </c>
      <c r="R2051" s="166">
        <v>485.47999999998098</v>
      </c>
      <c r="S2051" s="166">
        <v>7.3424000000022831</v>
      </c>
    </row>
    <row r="2052" spans="15:19">
      <c r="O2052" s="166">
        <v>484.97999999998098</v>
      </c>
      <c r="P2052" s="169" t="e">
        <f t="shared" ref="P2052:P2115" si="67">VLOOKUP(O2052,THONGSOHO_BTS,2,1)+(VLOOKUP(O2052+5,THONGSOHO_BTS,2,1)-VLOOKUP(O2052,THONGSOHO_BTS,2,1))/5*(O2052-VLOOKUP(O2052,THONGSOHO_BTS,1,1))-264.29</f>
        <v>#NAME?</v>
      </c>
      <c r="Q2052" s="177">
        <v>484.97999999998098</v>
      </c>
      <c r="R2052" s="166">
        <v>485.48999999998102</v>
      </c>
      <c r="S2052" s="166">
        <v>7.3412000000022779</v>
      </c>
    </row>
    <row r="2053" spans="15:19">
      <c r="O2053" s="166">
        <v>484.98999999998102</v>
      </c>
      <c r="P2053" s="169" t="e">
        <f t="shared" si="67"/>
        <v>#NAME?</v>
      </c>
      <c r="Q2053" s="177">
        <v>484.98999999998102</v>
      </c>
      <c r="R2053" s="166">
        <v>485.49999999998101</v>
      </c>
      <c r="S2053" s="166">
        <v>7.3400000000022789</v>
      </c>
    </row>
    <row r="2054" spans="15:19">
      <c r="O2054" s="166">
        <v>484.99999999998101</v>
      </c>
      <c r="P2054" s="169" t="e">
        <f t="shared" si="67"/>
        <v>#NAME?</v>
      </c>
      <c r="Q2054" s="177">
        <v>484.99999999998101</v>
      </c>
      <c r="R2054" s="166">
        <v>485.50999999998101</v>
      </c>
      <c r="S2054" s="166">
        <v>7.3388000000022799</v>
      </c>
    </row>
    <row r="2055" spans="15:19">
      <c r="O2055" s="166">
        <v>485.00999999998101</v>
      </c>
      <c r="P2055" s="169" t="e">
        <f t="shared" si="67"/>
        <v>#NAME?</v>
      </c>
      <c r="Q2055" s="177">
        <v>485.00999999998101</v>
      </c>
      <c r="R2055" s="166">
        <v>485.519999999981</v>
      </c>
      <c r="S2055" s="166">
        <v>7.337600000002281</v>
      </c>
    </row>
    <row r="2056" spans="15:19">
      <c r="O2056" s="166">
        <v>485.019999999981</v>
      </c>
      <c r="P2056" s="169" t="e">
        <f t="shared" si="67"/>
        <v>#NAME?</v>
      </c>
      <c r="Q2056" s="177">
        <v>485.019999999981</v>
      </c>
      <c r="R2056" s="166">
        <v>485.52999999998099</v>
      </c>
      <c r="S2056" s="166">
        <v>7.336400000002282</v>
      </c>
    </row>
    <row r="2057" spans="15:19">
      <c r="O2057" s="166">
        <v>485.02999999998099</v>
      </c>
      <c r="P2057" s="169" t="e">
        <f t="shared" si="67"/>
        <v>#NAME?</v>
      </c>
      <c r="Q2057" s="177">
        <v>485.02999999998099</v>
      </c>
      <c r="R2057" s="166">
        <v>485.53999999998098</v>
      </c>
      <c r="S2057" s="166">
        <v>7.335200000002283</v>
      </c>
    </row>
    <row r="2058" spans="15:19">
      <c r="O2058" s="166">
        <v>485.03999999998098</v>
      </c>
      <c r="P2058" s="169" t="e">
        <f t="shared" si="67"/>
        <v>#NAME?</v>
      </c>
      <c r="Q2058" s="177">
        <v>485.03999999998098</v>
      </c>
      <c r="R2058" s="166">
        <v>485.54999999998103</v>
      </c>
      <c r="S2058" s="166">
        <v>7.3340000000022769</v>
      </c>
    </row>
    <row r="2059" spans="15:19">
      <c r="O2059" s="166">
        <v>485.04999999998103</v>
      </c>
      <c r="P2059" s="169" t="e">
        <f t="shared" si="67"/>
        <v>#NAME?</v>
      </c>
      <c r="Q2059" s="177">
        <v>485.04999999998103</v>
      </c>
      <c r="R2059" s="166">
        <v>485.55999999998102</v>
      </c>
      <c r="S2059" s="166">
        <v>7.3328000000022779</v>
      </c>
    </row>
    <row r="2060" spans="15:19">
      <c r="O2060" s="166">
        <v>485.05999999998102</v>
      </c>
      <c r="P2060" s="169" t="e">
        <f t="shared" si="67"/>
        <v>#NAME?</v>
      </c>
      <c r="Q2060" s="177">
        <v>485.05999999998102</v>
      </c>
      <c r="R2060" s="166">
        <v>485.56999999998101</v>
      </c>
      <c r="S2060" s="166">
        <v>7.331600000002279</v>
      </c>
    </row>
    <row r="2061" spans="15:19">
      <c r="O2061" s="166">
        <v>485.06999999998101</v>
      </c>
      <c r="P2061" s="169" t="e">
        <f t="shared" si="67"/>
        <v>#NAME?</v>
      </c>
      <c r="Q2061" s="177">
        <v>485.06999999998101</v>
      </c>
      <c r="R2061" s="166">
        <v>485.579999999981</v>
      </c>
      <c r="S2061" s="166">
        <v>7.3304000000022809</v>
      </c>
    </row>
    <row r="2062" spans="15:19">
      <c r="O2062" s="166">
        <v>485.079999999981</v>
      </c>
      <c r="P2062" s="169" t="e">
        <f t="shared" si="67"/>
        <v>#NAME?</v>
      </c>
      <c r="Q2062" s="177">
        <v>485.079999999981</v>
      </c>
      <c r="R2062" s="166">
        <v>485.58999999998099</v>
      </c>
      <c r="S2062" s="166">
        <v>7.3292000000022819</v>
      </c>
    </row>
    <row r="2063" spans="15:19">
      <c r="O2063" s="166">
        <v>485.08999999998099</v>
      </c>
      <c r="P2063" s="169" t="e">
        <f t="shared" si="67"/>
        <v>#NAME?</v>
      </c>
      <c r="Q2063" s="177">
        <v>485.08999999998099</v>
      </c>
      <c r="R2063" s="166">
        <v>485.59999999998098</v>
      </c>
      <c r="S2063" s="166">
        <v>7.3280000000022829</v>
      </c>
    </row>
    <row r="2064" spans="15:19">
      <c r="O2064" s="166">
        <v>485.09999999998098</v>
      </c>
      <c r="P2064" s="169" t="e">
        <f t="shared" si="67"/>
        <v>#NAME?</v>
      </c>
      <c r="Q2064" s="177">
        <v>485.09999999998098</v>
      </c>
      <c r="R2064" s="166">
        <v>485.60999999998103</v>
      </c>
      <c r="S2064" s="166">
        <v>7.3268000000022768</v>
      </c>
    </row>
    <row r="2065" spans="15:19">
      <c r="O2065" s="166">
        <v>485.10999999998103</v>
      </c>
      <c r="P2065" s="169" t="e">
        <f t="shared" si="67"/>
        <v>#NAME?</v>
      </c>
      <c r="Q2065" s="177">
        <v>485.10999999998103</v>
      </c>
      <c r="R2065" s="166">
        <v>485.61999999998102</v>
      </c>
      <c r="S2065" s="166">
        <v>7.3256000000022778</v>
      </c>
    </row>
    <row r="2066" spans="15:19">
      <c r="O2066" s="166">
        <v>485.11999999998102</v>
      </c>
      <c r="P2066" s="169" t="e">
        <f t="shared" si="67"/>
        <v>#NAME?</v>
      </c>
      <c r="Q2066" s="177">
        <v>485.11999999998102</v>
      </c>
      <c r="R2066" s="166">
        <v>485.62999999998101</v>
      </c>
      <c r="S2066" s="166">
        <v>7.3244000000022789</v>
      </c>
    </row>
    <row r="2067" spans="15:19">
      <c r="O2067" s="166">
        <v>485.12999999998101</v>
      </c>
      <c r="P2067" s="169" t="e">
        <f t="shared" si="67"/>
        <v>#NAME?</v>
      </c>
      <c r="Q2067" s="177">
        <v>485.12999999998101</v>
      </c>
      <c r="R2067" s="166">
        <v>485.639999999981</v>
      </c>
      <c r="S2067" s="166">
        <v>7.3232000000022799</v>
      </c>
    </row>
    <row r="2068" spans="15:19">
      <c r="O2068" s="166">
        <v>485.139999999981</v>
      </c>
      <c r="P2068" s="169" t="e">
        <f t="shared" si="67"/>
        <v>#NAME?</v>
      </c>
      <c r="Q2068" s="177">
        <v>485.139999999981</v>
      </c>
      <c r="R2068" s="166">
        <v>485.64999999998099</v>
      </c>
      <c r="S2068" s="166">
        <v>7.3220000000022809</v>
      </c>
    </row>
    <row r="2069" spans="15:19">
      <c r="O2069" s="166">
        <v>485.14999999998099</v>
      </c>
      <c r="P2069" s="169" t="e">
        <f t="shared" si="67"/>
        <v>#NAME?</v>
      </c>
      <c r="Q2069" s="177">
        <v>485.14999999998099</v>
      </c>
      <c r="R2069" s="166">
        <v>485.65999999998098</v>
      </c>
      <c r="S2069" s="166">
        <v>7.3208000000022828</v>
      </c>
    </row>
    <row r="2070" spans="15:19">
      <c r="O2070" s="166">
        <v>485.15999999998098</v>
      </c>
      <c r="P2070" s="169" t="e">
        <f t="shared" si="67"/>
        <v>#NAME?</v>
      </c>
      <c r="Q2070" s="177">
        <v>485.15999999998098</v>
      </c>
      <c r="R2070" s="166">
        <v>485.66999999998097</v>
      </c>
      <c r="S2070" s="166">
        <v>7.3196000000022838</v>
      </c>
    </row>
    <row r="2071" spans="15:19">
      <c r="O2071" s="166">
        <v>485.16999999998097</v>
      </c>
      <c r="P2071" s="169" t="e">
        <f t="shared" si="67"/>
        <v>#NAME?</v>
      </c>
      <c r="Q2071" s="177">
        <v>485.16999999998097</v>
      </c>
      <c r="R2071" s="166">
        <v>485.67999999998102</v>
      </c>
      <c r="S2071" s="166">
        <v>7.3184000000022777</v>
      </c>
    </row>
    <row r="2072" spans="15:19">
      <c r="O2072" s="166">
        <v>485.17999999998102</v>
      </c>
      <c r="P2072" s="169" t="e">
        <f t="shared" si="67"/>
        <v>#NAME?</v>
      </c>
      <c r="Q2072" s="177">
        <v>485.17999999998102</v>
      </c>
      <c r="R2072" s="166">
        <v>485.68999999998101</v>
      </c>
      <c r="S2072" s="166">
        <v>7.3172000000022788</v>
      </c>
    </row>
    <row r="2073" spans="15:19">
      <c r="O2073" s="166">
        <v>485.18999999998101</v>
      </c>
      <c r="P2073" s="169" t="e">
        <f t="shared" si="67"/>
        <v>#NAME?</v>
      </c>
      <c r="Q2073" s="177">
        <v>485.18999999998101</v>
      </c>
      <c r="R2073" s="166">
        <v>485.699999999981</v>
      </c>
      <c r="S2073" s="166">
        <v>7.3160000000022798</v>
      </c>
    </row>
    <row r="2074" spans="15:19">
      <c r="O2074" s="166">
        <v>485.199999999981</v>
      </c>
      <c r="P2074" s="169" t="e">
        <f t="shared" si="67"/>
        <v>#NAME?</v>
      </c>
      <c r="Q2074" s="177">
        <v>485.199999999981</v>
      </c>
      <c r="R2074" s="166">
        <v>485.70999999998099</v>
      </c>
      <c r="S2074" s="166">
        <v>7.3148000000022808</v>
      </c>
    </row>
    <row r="2075" spans="15:19">
      <c r="O2075" s="166">
        <v>485.20999999998099</v>
      </c>
      <c r="P2075" s="169" t="e">
        <f t="shared" si="67"/>
        <v>#NAME?</v>
      </c>
      <c r="Q2075" s="177">
        <v>485.20999999998099</v>
      </c>
      <c r="R2075" s="166">
        <v>485.71999999998098</v>
      </c>
      <c r="S2075" s="166">
        <v>7.3136000000022818</v>
      </c>
    </row>
    <row r="2076" spans="15:19">
      <c r="O2076" s="166">
        <v>485.21999999998098</v>
      </c>
      <c r="P2076" s="169" t="e">
        <f t="shared" si="67"/>
        <v>#NAME?</v>
      </c>
      <c r="Q2076" s="177">
        <v>485.21999999998098</v>
      </c>
      <c r="R2076" s="166">
        <v>485.72999999998098</v>
      </c>
      <c r="S2076" s="166">
        <v>7.3124000000022829</v>
      </c>
    </row>
    <row r="2077" spans="15:19">
      <c r="O2077" s="166">
        <v>485.22999999998098</v>
      </c>
      <c r="P2077" s="169" t="e">
        <f t="shared" si="67"/>
        <v>#NAME?</v>
      </c>
      <c r="Q2077" s="177">
        <v>485.22999999998098</v>
      </c>
      <c r="R2077" s="166">
        <v>485.73999999998102</v>
      </c>
      <c r="S2077" s="166">
        <v>7.3112000000022777</v>
      </c>
    </row>
    <row r="2078" spans="15:19">
      <c r="O2078" s="166">
        <v>485.23999999998102</v>
      </c>
      <c r="P2078" s="169" t="e">
        <f t="shared" si="67"/>
        <v>#NAME?</v>
      </c>
      <c r="Q2078" s="177">
        <v>485.23999999998102</v>
      </c>
      <c r="R2078" s="166">
        <v>485.74999999998101</v>
      </c>
      <c r="S2078" s="166">
        <v>7.3100000000022787</v>
      </c>
    </row>
    <row r="2079" spans="15:19">
      <c r="O2079" s="166">
        <v>485.24999999998101</v>
      </c>
      <c r="P2079" s="169" t="e">
        <f t="shared" si="67"/>
        <v>#NAME?</v>
      </c>
      <c r="Q2079" s="177">
        <v>485.24999999998101</v>
      </c>
      <c r="R2079" s="166">
        <v>485.75999999998101</v>
      </c>
      <c r="S2079" s="166">
        <v>7.3088000000022797</v>
      </c>
    </row>
    <row r="2080" spans="15:19">
      <c r="O2080" s="166">
        <v>485.25999999998101</v>
      </c>
      <c r="P2080" s="169" t="e">
        <f t="shared" si="67"/>
        <v>#NAME?</v>
      </c>
      <c r="Q2080" s="177">
        <v>485.25999999998101</v>
      </c>
      <c r="R2080" s="166">
        <v>485.769999999981</v>
      </c>
      <c r="S2080" s="166">
        <v>7.3076000000022807</v>
      </c>
    </row>
    <row r="2081" spans="15:19">
      <c r="O2081" s="166">
        <v>485.269999999981</v>
      </c>
      <c r="P2081" s="169" t="e">
        <f t="shared" si="67"/>
        <v>#NAME?</v>
      </c>
      <c r="Q2081" s="177">
        <v>485.269999999981</v>
      </c>
      <c r="R2081" s="166">
        <v>485.77999999998099</v>
      </c>
      <c r="S2081" s="166">
        <v>7.3064000000022817</v>
      </c>
    </row>
    <row r="2082" spans="15:19">
      <c r="O2082" s="166">
        <v>485.27999999998099</v>
      </c>
      <c r="P2082" s="169" t="e">
        <f t="shared" si="67"/>
        <v>#NAME?</v>
      </c>
      <c r="Q2082" s="177">
        <v>485.27999999998099</v>
      </c>
      <c r="R2082" s="166">
        <v>485.78999999998098</v>
      </c>
      <c r="S2082" s="166">
        <v>7.3052000000022828</v>
      </c>
    </row>
    <row r="2083" spans="15:19">
      <c r="O2083" s="166">
        <v>485.28999999998098</v>
      </c>
      <c r="P2083" s="169" t="e">
        <f t="shared" si="67"/>
        <v>#NAME?</v>
      </c>
      <c r="Q2083" s="177">
        <v>485.28999999998098</v>
      </c>
      <c r="R2083" s="166">
        <v>485.79999999998103</v>
      </c>
      <c r="S2083" s="166">
        <v>7.3040000000022776</v>
      </c>
    </row>
    <row r="2084" spans="15:19">
      <c r="O2084" s="166">
        <v>485.29999999998103</v>
      </c>
      <c r="P2084" s="169" t="e">
        <f t="shared" si="67"/>
        <v>#NAME?</v>
      </c>
      <c r="Q2084" s="177">
        <v>485.29999999998103</v>
      </c>
      <c r="R2084" s="166">
        <v>485.80999999998102</v>
      </c>
      <c r="S2084" s="166">
        <v>7.3028000000022786</v>
      </c>
    </row>
    <row r="2085" spans="15:19">
      <c r="O2085" s="166">
        <v>485.30999999998102</v>
      </c>
      <c r="P2085" s="169" t="e">
        <f t="shared" si="67"/>
        <v>#NAME?</v>
      </c>
      <c r="Q2085" s="177">
        <v>485.30999999998102</v>
      </c>
      <c r="R2085" s="166">
        <v>485.81999999998101</v>
      </c>
      <c r="S2085" s="166">
        <v>7.3016000000022796</v>
      </c>
    </row>
    <row r="2086" spans="15:19">
      <c r="O2086" s="166">
        <v>485.31999999998101</v>
      </c>
      <c r="P2086" s="169" t="e">
        <f t="shared" si="67"/>
        <v>#NAME?</v>
      </c>
      <c r="Q2086" s="177">
        <v>485.31999999998101</v>
      </c>
      <c r="R2086" s="166">
        <v>485.829999999981</v>
      </c>
      <c r="S2086" s="166">
        <v>7.3004000000022806</v>
      </c>
    </row>
    <row r="2087" spans="15:19">
      <c r="O2087" s="166">
        <v>485.329999999981</v>
      </c>
      <c r="P2087" s="169" t="e">
        <f t="shared" si="67"/>
        <v>#NAME?</v>
      </c>
      <c r="Q2087" s="177">
        <v>485.329999999981</v>
      </c>
      <c r="R2087" s="166">
        <v>485.83999999998099</v>
      </c>
      <c r="S2087" s="166">
        <v>7.2992000000022816</v>
      </c>
    </row>
    <row r="2088" spans="15:19">
      <c r="O2088" s="166">
        <v>485.33999999998099</v>
      </c>
      <c r="P2088" s="169" t="e">
        <f t="shared" si="67"/>
        <v>#NAME?</v>
      </c>
      <c r="Q2088" s="177">
        <v>485.33999999998099</v>
      </c>
      <c r="R2088" s="166">
        <v>485.84999999998098</v>
      </c>
      <c r="S2088" s="166">
        <v>7.2980000000022827</v>
      </c>
    </row>
    <row r="2089" spans="15:19">
      <c r="O2089" s="166">
        <v>485.34999999998098</v>
      </c>
      <c r="P2089" s="169" t="e">
        <f t="shared" si="67"/>
        <v>#NAME?</v>
      </c>
      <c r="Q2089" s="177">
        <v>485.34999999998098</v>
      </c>
      <c r="R2089" s="166">
        <v>485.85999999998103</v>
      </c>
      <c r="S2089" s="166">
        <v>7.2968000000022766</v>
      </c>
    </row>
    <row r="2090" spans="15:19">
      <c r="O2090" s="166">
        <v>485.35999999998103</v>
      </c>
      <c r="P2090" s="169" t="e">
        <f t="shared" si="67"/>
        <v>#NAME?</v>
      </c>
      <c r="Q2090" s="177">
        <v>485.35999999998103</v>
      </c>
      <c r="R2090" s="166">
        <v>485.86999999998102</v>
      </c>
      <c r="S2090" s="166">
        <v>7.2956000000022776</v>
      </c>
    </row>
    <row r="2091" spans="15:19">
      <c r="O2091" s="166">
        <v>485.36999999998102</v>
      </c>
      <c r="P2091" s="169" t="e">
        <f t="shared" si="67"/>
        <v>#NAME?</v>
      </c>
      <c r="Q2091" s="177">
        <v>485.36999999998102</v>
      </c>
      <c r="R2091" s="166">
        <v>485.87999999998101</v>
      </c>
      <c r="S2091" s="166">
        <v>7.2944000000022795</v>
      </c>
    </row>
    <row r="2092" spans="15:19">
      <c r="O2092" s="166">
        <v>485.37999999998101</v>
      </c>
      <c r="P2092" s="169" t="e">
        <f t="shared" si="67"/>
        <v>#NAME?</v>
      </c>
      <c r="Q2092" s="177">
        <v>485.37999999998101</v>
      </c>
      <c r="R2092" s="166">
        <v>485.889999999981</v>
      </c>
      <c r="S2092" s="166">
        <v>7.2932000000022805</v>
      </c>
    </row>
    <row r="2093" spans="15:19">
      <c r="O2093" s="166">
        <v>485.389999999981</v>
      </c>
      <c r="P2093" s="169" t="e">
        <f t="shared" si="67"/>
        <v>#NAME?</v>
      </c>
      <c r="Q2093" s="177">
        <v>485.389999999981</v>
      </c>
      <c r="R2093" s="166">
        <v>485.89999999998099</v>
      </c>
      <c r="S2093" s="166">
        <v>7.2920000000022815</v>
      </c>
    </row>
    <row r="2094" spans="15:19">
      <c r="O2094" s="166">
        <v>485.39999999998099</v>
      </c>
      <c r="P2094" s="169" t="e">
        <f t="shared" si="67"/>
        <v>#NAME?</v>
      </c>
      <c r="Q2094" s="177">
        <v>485.39999999998099</v>
      </c>
      <c r="R2094" s="166">
        <v>485.90999999998098</v>
      </c>
      <c r="S2094" s="166">
        <v>7.2908000000022826</v>
      </c>
    </row>
    <row r="2095" spans="15:19">
      <c r="O2095" s="166">
        <v>485.40999999998098</v>
      </c>
      <c r="P2095" s="169" t="e">
        <f t="shared" si="67"/>
        <v>#NAME?</v>
      </c>
      <c r="Q2095" s="177">
        <v>485.40999999998098</v>
      </c>
      <c r="R2095" s="166">
        <v>485.91999999998097</v>
      </c>
      <c r="S2095" s="166">
        <v>7.2896000000022836</v>
      </c>
    </row>
    <row r="2096" spans="15:19">
      <c r="O2096" s="166">
        <v>485.41999999998097</v>
      </c>
      <c r="P2096" s="169" t="e">
        <f t="shared" si="67"/>
        <v>#NAME?</v>
      </c>
      <c r="Q2096" s="177">
        <v>485.41999999998097</v>
      </c>
      <c r="R2096" s="166">
        <v>485.92999999998102</v>
      </c>
      <c r="S2096" s="166">
        <v>7.2884000000022775</v>
      </c>
    </row>
    <row r="2097" spans="15:19">
      <c r="O2097" s="166">
        <v>485.42999999998102</v>
      </c>
      <c r="P2097" s="169" t="e">
        <f t="shared" si="67"/>
        <v>#NAME?</v>
      </c>
      <c r="Q2097" s="177">
        <v>485.42999999998102</v>
      </c>
      <c r="R2097" s="166">
        <v>485.93999999998101</v>
      </c>
      <c r="S2097" s="166">
        <v>7.2872000000022785</v>
      </c>
    </row>
    <row r="2098" spans="15:19">
      <c r="O2098" s="166">
        <v>485.43999999998101</v>
      </c>
      <c r="P2098" s="169" t="e">
        <f t="shared" si="67"/>
        <v>#NAME?</v>
      </c>
      <c r="Q2098" s="177">
        <v>485.43999999998101</v>
      </c>
      <c r="R2098" s="166">
        <v>485.949999999981</v>
      </c>
      <c r="S2098" s="166">
        <v>7.2860000000022795</v>
      </c>
    </row>
    <row r="2099" spans="15:19">
      <c r="O2099" s="166">
        <v>485.449999999981</v>
      </c>
      <c r="P2099" s="169" t="e">
        <f t="shared" si="67"/>
        <v>#NAME?</v>
      </c>
      <c r="Q2099" s="177">
        <v>485.449999999981</v>
      </c>
      <c r="R2099" s="166">
        <v>485.95999999998099</v>
      </c>
      <c r="S2099" s="166">
        <v>7.2848000000022806</v>
      </c>
    </row>
    <row r="2100" spans="15:19">
      <c r="O2100" s="166">
        <v>485.45999999998099</v>
      </c>
      <c r="P2100" s="169" t="e">
        <f t="shared" si="67"/>
        <v>#NAME?</v>
      </c>
      <c r="Q2100" s="177">
        <v>485.45999999998099</v>
      </c>
      <c r="R2100" s="166">
        <v>485.96999999998098</v>
      </c>
      <c r="S2100" s="166">
        <v>7.2836000000022825</v>
      </c>
    </row>
    <row r="2101" spans="15:19">
      <c r="O2101" s="166">
        <v>485.46999999998098</v>
      </c>
      <c r="P2101" s="169" t="e">
        <f t="shared" si="67"/>
        <v>#NAME?</v>
      </c>
      <c r="Q2101" s="177">
        <v>485.46999999998098</v>
      </c>
      <c r="R2101" s="166">
        <v>485.97999999998098</v>
      </c>
      <c r="S2101" s="166">
        <v>7.2824000000022835</v>
      </c>
    </row>
    <row r="2102" spans="15:19">
      <c r="O2102" s="166">
        <v>485.47999999998098</v>
      </c>
      <c r="P2102" s="169" t="e">
        <f t="shared" si="67"/>
        <v>#NAME?</v>
      </c>
      <c r="Q2102" s="177">
        <v>485.47999999998098</v>
      </c>
      <c r="R2102" s="166">
        <v>485.98999999998102</v>
      </c>
      <c r="S2102" s="166">
        <v>7.2812000000022774</v>
      </c>
    </row>
    <row r="2103" spans="15:19">
      <c r="O2103" s="166">
        <v>485.48999999998102</v>
      </c>
      <c r="P2103" s="169" t="e">
        <f t="shared" si="67"/>
        <v>#NAME?</v>
      </c>
      <c r="Q2103" s="177">
        <v>485.48999999998102</v>
      </c>
      <c r="R2103" s="166">
        <v>485.99999999998101</v>
      </c>
      <c r="S2103" s="166">
        <v>7.2800000000022784</v>
      </c>
    </row>
    <row r="2104" spans="15:19">
      <c r="O2104" s="166">
        <v>485.49999999998101</v>
      </c>
      <c r="P2104" s="169" t="e">
        <f t="shared" si="67"/>
        <v>#NAME?</v>
      </c>
      <c r="Q2104" s="177">
        <v>485.49999999998101</v>
      </c>
      <c r="R2104" s="166">
        <v>486.00999999998101</v>
      </c>
      <c r="S2104" s="166">
        <v>7.2797000000005703</v>
      </c>
    </row>
    <row r="2105" spans="15:19">
      <c r="O2105" s="166">
        <v>485.50999999998101</v>
      </c>
      <c r="P2105" s="169" t="e">
        <f t="shared" si="67"/>
        <v>#NAME?</v>
      </c>
      <c r="Q2105" s="177">
        <v>485.50999999998101</v>
      </c>
      <c r="R2105" s="166">
        <v>486.019999999981</v>
      </c>
      <c r="S2105" s="166">
        <v>7.2794000000005701</v>
      </c>
    </row>
    <row r="2106" spans="15:19">
      <c r="O2106" s="166">
        <v>485.519999999981</v>
      </c>
      <c r="P2106" s="169" t="e">
        <f t="shared" si="67"/>
        <v>#NAME?</v>
      </c>
      <c r="Q2106" s="177">
        <v>485.519999999981</v>
      </c>
      <c r="R2106" s="166">
        <v>486.02999999998099</v>
      </c>
      <c r="S2106" s="166">
        <v>7.2791000000005708</v>
      </c>
    </row>
    <row r="2107" spans="15:19">
      <c r="O2107" s="166">
        <v>485.52999999998099</v>
      </c>
      <c r="P2107" s="169" t="e">
        <f t="shared" si="67"/>
        <v>#NAME?</v>
      </c>
      <c r="Q2107" s="177">
        <v>485.52999999998099</v>
      </c>
      <c r="R2107" s="166">
        <v>486.03999999998098</v>
      </c>
      <c r="S2107" s="166">
        <v>7.2788000000005706</v>
      </c>
    </row>
    <row r="2108" spans="15:19">
      <c r="O2108" s="166">
        <v>485.53999999998098</v>
      </c>
      <c r="P2108" s="169" t="e">
        <f t="shared" si="67"/>
        <v>#NAME?</v>
      </c>
      <c r="Q2108" s="177">
        <v>485.53999999998098</v>
      </c>
      <c r="R2108" s="166">
        <v>486.04999999998103</v>
      </c>
      <c r="S2108" s="166">
        <v>7.2785000000005695</v>
      </c>
    </row>
    <row r="2109" spans="15:19">
      <c r="O2109" s="166">
        <v>485.54999999998103</v>
      </c>
      <c r="P2109" s="169" t="e">
        <f t="shared" si="67"/>
        <v>#NAME?</v>
      </c>
      <c r="Q2109" s="177">
        <v>485.54999999998103</v>
      </c>
      <c r="R2109" s="166">
        <v>486.05999999998102</v>
      </c>
      <c r="S2109" s="166">
        <v>7.2782000000005693</v>
      </c>
    </row>
    <row r="2110" spans="15:19">
      <c r="O2110" s="166">
        <v>485.55999999998102</v>
      </c>
      <c r="P2110" s="169" t="e">
        <f t="shared" si="67"/>
        <v>#NAME?</v>
      </c>
      <c r="Q2110" s="177">
        <v>485.55999999998102</v>
      </c>
      <c r="R2110" s="166">
        <v>486.06999999998101</v>
      </c>
      <c r="S2110" s="166">
        <v>7.27790000000057</v>
      </c>
    </row>
    <row r="2111" spans="15:19">
      <c r="O2111" s="166">
        <v>485.56999999998101</v>
      </c>
      <c r="P2111" s="169" t="e">
        <f t="shared" si="67"/>
        <v>#NAME?</v>
      </c>
      <c r="Q2111" s="177">
        <v>485.56999999998101</v>
      </c>
      <c r="R2111" s="166">
        <v>486.079999999981</v>
      </c>
      <c r="S2111" s="166">
        <v>7.2776000000005698</v>
      </c>
    </row>
    <row r="2112" spans="15:19">
      <c r="O2112" s="166">
        <v>485.579999999981</v>
      </c>
      <c r="P2112" s="169" t="e">
        <f t="shared" si="67"/>
        <v>#NAME?</v>
      </c>
      <c r="Q2112" s="177">
        <v>485.579999999981</v>
      </c>
      <c r="R2112" s="166">
        <v>486.08999999998099</v>
      </c>
      <c r="S2112" s="166">
        <v>7.2773000000005705</v>
      </c>
    </row>
    <row r="2113" spans="15:19">
      <c r="O2113" s="166">
        <v>485.58999999998099</v>
      </c>
      <c r="P2113" s="169" t="e">
        <f t="shared" si="67"/>
        <v>#NAME?</v>
      </c>
      <c r="Q2113" s="177">
        <v>485.58999999998099</v>
      </c>
      <c r="R2113" s="166">
        <v>486.09999999998098</v>
      </c>
      <c r="S2113" s="166">
        <v>7.2770000000005712</v>
      </c>
    </row>
    <row r="2114" spans="15:19">
      <c r="O2114" s="166">
        <v>485.59999999998098</v>
      </c>
      <c r="P2114" s="169" t="e">
        <f t="shared" si="67"/>
        <v>#NAME?</v>
      </c>
      <c r="Q2114" s="177">
        <v>485.59999999998098</v>
      </c>
      <c r="R2114" s="166">
        <v>486.10999999998103</v>
      </c>
      <c r="S2114" s="166">
        <v>7.2767000000005693</v>
      </c>
    </row>
    <row r="2115" spans="15:19">
      <c r="O2115" s="166">
        <v>485.60999999998103</v>
      </c>
      <c r="P2115" s="169" t="e">
        <f t="shared" si="67"/>
        <v>#NAME?</v>
      </c>
      <c r="Q2115" s="177">
        <v>485.60999999998103</v>
      </c>
      <c r="R2115" s="166">
        <v>486.11999999998102</v>
      </c>
      <c r="S2115" s="166">
        <v>7.27640000000057</v>
      </c>
    </row>
    <row r="2116" spans="15:19">
      <c r="O2116" s="166">
        <v>485.61999999998102</v>
      </c>
      <c r="P2116" s="169" t="e">
        <f t="shared" ref="P2116:P2179" si="68">VLOOKUP(O2116,THONGSOHO_BTS,2,1)+(VLOOKUP(O2116+5,THONGSOHO_BTS,2,1)-VLOOKUP(O2116,THONGSOHO_BTS,2,1))/5*(O2116-VLOOKUP(O2116,THONGSOHO_BTS,1,1))-264.29</f>
        <v>#NAME?</v>
      </c>
      <c r="Q2116" s="177">
        <v>485.61999999998102</v>
      </c>
      <c r="R2116" s="166">
        <v>486.12999999998101</v>
      </c>
      <c r="S2116" s="166">
        <v>7.2761000000005698</v>
      </c>
    </row>
    <row r="2117" spans="15:19">
      <c r="O2117" s="166">
        <v>485.62999999998101</v>
      </c>
      <c r="P2117" s="169" t="e">
        <f t="shared" si="68"/>
        <v>#NAME?</v>
      </c>
      <c r="Q2117" s="177">
        <v>485.62999999998101</v>
      </c>
      <c r="R2117" s="166">
        <v>486.139999999981</v>
      </c>
      <c r="S2117" s="166">
        <v>7.2758000000005705</v>
      </c>
    </row>
    <row r="2118" spans="15:19">
      <c r="O2118" s="166">
        <v>485.639999999981</v>
      </c>
      <c r="P2118" s="169" t="e">
        <f t="shared" si="68"/>
        <v>#NAME?</v>
      </c>
      <c r="Q2118" s="177">
        <v>485.639999999981</v>
      </c>
      <c r="R2118" s="166">
        <v>486.14999999998099</v>
      </c>
      <c r="S2118" s="166">
        <v>7.2755000000005703</v>
      </c>
    </row>
    <row r="2119" spans="15:19">
      <c r="O2119" s="166">
        <v>485.64999999998099</v>
      </c>
      <c r="P2119" s="169" t="e">
        <f t="shared" si="68"/>
        <v>#NAME?</v>
      </c>
      <c r="Q2119" s="177">
        <v>485.64999999998099</v>
      </c>
      <c r="R2119" s="166">
        <v>486.15999999998098</v>
      </c>
      <c r="S2119" s="166">
        <v>7.275200000000571</v>
      </c>
    </row>
    <row r="2120" spans="15:19">
      <c r="O2120" s="166">
        <v>485.65999999998098</v>
      </c>
      <c r="P2120" s="169" t="e">
        <f t="shared" si="68"/>
        <v>#NAME?</v>
      </c>
      <c r="Q2120" s="177">
        <v>485.65999999998098</v>
      </c>
      <c r="R2120" s="166">
        <v>486.16999999998097</v>
      </c>
      <c r="S2120" s="166">
        <v>7.2749000000005708</v>
      </c>
    </row>
    <row r="2121" spans="15:19">
      <c r="O2121" s="166">
        <v>485.66999999998097</v>
      </c>
      <c r="P2121" s="169" t="e">
        <f t="shared" si="68"/>
        <v>#NAME?</v>
      </c>
      <c r="Q2121" s="177">
        <v>485.66999999998097</v>
      </c>
      <c r="R2121" s="166">
        <v>486.17999999998102</v>
      </c>
      <c r="S2121" s="166">
        <v>7.2746000000005697</v>
      </c>
    </row>
    <row r="2122" spans="15:19">
      <c r="O2122" s="166">
        <v>485.67999999998102</v>
      </c>
      <c r="P2122" s="169" t="e">
        <f t="shared" si="68"/>
        <v>#NAME?</v>
      </c>
      <c r="Q2122" s="177">
        <v>485.67999999998102</v>
      </c>
      <c r="R2122" s="166">
        <v>486.18999999998101</v>
      </c>
      <c r="S2122" s="166">
        <v>7.2743000000005695</v>
      </c>
    </row>
    <row r="2123" spans="15:19">
      <c r="O2123" s="166">
        <v>485.68999999998101</v>
      </c>
      <c r="P2123" s="169" t="e">
        <f t="shared" si="68"/>
        <v>#NAME?</v>
      </c>
      <c r="Q2123" s="177">
        <v>485.68999999998101</v>
      </c>
      <c r="R2123" s="166">
        <v>486.199999999981</v>
      </c>
      <c r="S2123" s="166">
        <v>7.2740000000005702</v>
      </c>
    </row>
    <row r="2124" spans="15:19">
      <c r="O2124" s="166">
        <v>485.699999999981</v>
      </c>
      <c r="P2124" s="169" t="e">
        <f t="shared" si="68"/>
        <v>#NAME?</v>
      </c>
      <c r="Q2124" s="177">
        <v>485.699999999981</v>
      </c>
      <c r="R2124" s="166">
        <v>486.20999999998099</v>
      </c>
      <c r="S2124" s="166">
        <v>7.27370000000057</v>
      </c>
    </row>
    <row r="2125" spans="15:19">
      <c r="O2125" s="166">
        <v>485.70999999998099</v>
      </c>
      <c r="P2125" s="169" t="e">
        <f t="shared" si="68"/>
        <v>#NAME?</v>
      </c>
      <c r="Q2125" s="177">
        <v>485.70999999998099</v>
      </c>
      <c r="R2125" s="166">
        <v>486.21999999998098</v>
      </c>
      <c r="S2125" s="166">
        <v>7.2734000000005707</v>
      </c>
    </row>
    <row r="2126" spans="15:19">
      <c r="O2126" s="166">
        <v>485.71999999998098</v>
      </c>
      <c r="P2126" s="169" t="e">
        <f t="shared" si="68"/>
        <v>#NAME?</v>
      </c>
      <c r="Q2126" s="177">
        <v>485.71999999998098</v>
      </c>
      <c r="R2126" s="166">
        <v>486.22999999998098</v>
      </c>
      <c r="S2126" s="166">
        <v>7.2731000000005706</v>
      </c>
    </row>
    <row r="2127" spans="15:19">
      <c r="O2127" s="166">
        <v>485.72999999998098</v>
      </c>
      <c r="P2127" s="169" t="e">
        <f t="shared" si="68"/>
        <v>#NAME?</v>
      </c>
      <c r="Q2127" s="177">
        <v>485.72999999998098</v>
      </c>
      <c r="R2127" s="166">
        <v>486.23999999998102</v>
      </c>
      <c r="S2127" s="166">
        <v>7.2728000000005695</v>
      </c>
    </row>
    <row r="2128" spans="15:19">
      <c r="O2128" s="166">
        <v>485.73999999998102</v>
      </c>
      <c r="P2128" s="169" t="e">
        <f t="shared" si="68"/>
        <v>#NAME?</v>
      </c>
      <c r="Q2128" s="177">
        <v>485.73999999998102</v>
      </c>
      <c r="R2128" s="166">
        <v>486.24999999998101</v>
      </c>
      <c r="S2128" s="166">
        <v>7.2725000000005702</v>
      </c>
    </row>
    <row r="2129" spans="15:19">
      <c r="O2129" s="166">
        <v>485.74999999998101</v>
      </c>
      <c r="P2129" s="169" t="e">
        <f t="shared" si="68"/>
        <v>#NAME?</v>
      </c>
      <c r="Q2129" s="177">
        <v>485.74999999998101</v>
      </c>
      <c r="R2129" s="166">
        <v>486.25999999998101</v>
      </c>
      <c r="S2129" s="166">
        <v>7.27220000000057</v>
      </c>
    </row>
    <row r="2130" spans="15:19">
      <c r="O2130" s="166">
        <v>485.75999999998101</v>
      </c>
      <c r="P2130" s="169" t="e">
        <f t="shared" si="68"/>
        <v>#NAME?</v>
      </c>
      <c r="Q2130" s="177">
        <v>485.75999999998101</v>
      </c>
      <c r="R2130" s="166">
        <v>486.269999999981</v>
      </c>
      <c r="S2130" s="166">
        <v>7.2719000000005707</v>
      </c>
    </row>
    <row r="2131" spans="15:19">
      <c r="O2131" s="166">
        <v>485.769999999981</v>
      </c>
      <c r="P2131" s="169" t="e">
        <f t="shared" si="68"/>
        <v>#NAME?</v>
      </c>
      <c r="Q2131" s="177">
        <v>485.769999999981</v>
      </c>
      <c r="R2131" s="166">
        <v>486.27999999998099</v>
      </c>
      <c r="S2131" s="166">
        <v>7.2716000000005705</v>
      </c>
    </row>
    <row r="2132" spans="15:19">
      <c r="O2132" s="166">
        <v>485.77999999998099</v>
      </c>
      <c r="P2132" s="169" t="e">
        <f t="shared" si="68"/>
        <v>#NAME?</v>
      </c>
      <c r="Q2132" s="177">
        <v>485.77999999998099</v>
      </c>
      <c r="R2132" s="166">
        <v>486.28999999998098</v>
      </c>
      <c r="S2132" s="166">
        <v>7.2713000000005712</v>
      </c>
    </row>
    <row r="2133" spans="15:19">
      <c r="O2133" s="166">
        <v>485.78999999998098</v>
      </c>
      <c r="P2133" s="169" t="e">
        <f t="shared" si="68"/>
        <v>#NAME?</v>
      </c>
      <c r="Q2133" s="177">
        <v>485.78999999998098</v>
      </c>
      <c r="R2133" s="166">
        <v>486.29999999998103</v>
      </c>
      <c r="S2133" s="166">
        <v>7.2710000000005692</v>
      </c>
    </row>
    <row r="2134" spans="15:19">
      <c r="O2134" s="166">
        <v>485.79999999998103</v>
      </c>
      <c r="P2134" s="169" t="e">
        <f t="shared" si="68"/>
        <v>#NAME?</v>
      </c>
      <c r="Q2134" s="177">
        <v>485.79999999998103</v>
      </c>
      <c r="R2134" s="166">
        <v>486.30999999998102</v>
      </c>
      <c r="S2134" s="166">
        <v>7.2707000000005699</v>
      </c>
    </row>
    <row r="2135" spans="15:19">
      <c r="O2135" s="166">
        <v>485.80999999998102</v>
      </c>
      <c r="P2135" s="169" t="e">
        <f t="shared" si="68"/>
        <v>#NAME?</v>
      </c>
      <c r="Q2135" s="177">
        <v>485.80999999998102</v>
      </c>
      <c r="R2135" s="166">
        <v>486.31999999998101</v>
      </c>
      <c r="S2135" s="166">
        <v>7.2704000000005697</v>
      </c>
    </row>
    <row r="2136" spans="15:19">
      <c r="O2136" s="166">
        <v>485.81999999998101</v>
      </c>
      <c r="P2136" s="169" t="e">
        <f t="shared" si="68"/>
        <v>#NAME?</v>
      </c>
      <c r="Q2136" s="177">
        <v>485.81999999998101</v>
      </c>
      <c r="R2136" s="166">
        <v>486.329999999981</v>
      </c>
      <c r="S2136" s="166">
        <v>7.2701000000005704</v>
      </c>
    </row>
    <row r="2137" spans="15:19">
      <c r="O2137" s="166">
        <v>485.829999999981</v>
      </c>
      <c r="P2137" s="169" t="e">
        <f t="shared" si="68"/>
        <v>#NAME?</v>
      </c>
      <c r="Q2137" s="177">
        <v>485.829999999981</v>
      </c>
      <c r="R2137" s="166">
        <v>486.33999999998099</v>
      </c>
      <c r="S2137" s="166">
        <v>7.2698000000005703</v>
      </c>
    </row>
    <row r="2138" spans="15:19">
      <c r="O2138" s="166">
        <v>485.83999999998099</v>
      </c>
      <c r="P2138" s="169" t="e">
        <f t="shared" si="68"/>
        <v>#NAME?</v>
      </c>
      <c r="Q2138" s="177">
        <v>485.83999999998099</v>
      </c>
      <c r="R2138" s="166">
        <v>486.34999999998098</v>
      </c>
      <c r="S2138" s="166">
        <v>7.2695000000005709</v>
      </c>
    </row>
    <row r="2139" spans="15:19">
      <c r="O2139" s="166">
        <v>485.84999999998098</v>
      </c>
      <c r="P2139" s="169" t="e">
        <f t="shared" si="68"/>
        <v>#NAME?</v>
      </c>
      <c r="Q2139" s="177">
        <v>485.84999999998098</v>
      </c>
      <c r="R2139" s="166">
        <v>486.35999999998103</v>
      </c>
      <c r="S2139" s="166">
        <v>7.269200000000569</v>
      </c>
    </row>
    <row r="2140" spans="15:19">
      <c r="O2140" s="166">
        <v>485.85999999998103</v>
      </c>
      <c r="P2140" s="169" t="e">
        <f t="shared" si="68"/>
        <v>#NAME?</v>
      </c>
      <c r="Q2140" s="177">
        <v>485.85999999998103</v>
      </c>
      <c r="R2140" s="166">
        <v>486.36999999998102</v>
      </c>
      <c r="S2140" s="166">
        <v>7.2689000000005697</v>
      </c>
    </row>
    <row r="2141" spans="15:19">
      <c r="O2141" s="166">
        <v>485.86999999998102</v>
      </c>
      <c r="P2141" s="169" t="e">
        <f t="shared" si="68"/>
        <v>#NAME?</v>
      </c>
      <c r="Q2141" s="177">
        <v>485.86999999998102</v>
      </c>
      <c r="R2141" s="166">
        <v>486.37999999998101</v>
      </c>
      <c r="S2141" s="166">
        <v>7.2686000000005695</v>
      </c>
    </row>
    <row r="2142" spans="15:19">
      <c r="O2142" s="166">
        <v>485.87999999998101</v>
      </c>
      <c r="P2142" s="169" t="e">
        <f t="shared" si="68"/>
        <v>#NAME?</v>
      </c>
      <c r="Q2142" s="177">
        <v>485.87999999998101</v>
      </c>
      <c r="R2142" s="166">
        <v>486.389999999981</v>
      </c>
      <c r="S2142" s="166">
        <v>7.2683000000005702</v>
      </c>
    </row>
    <row r="2143" spans="15:19">
      <c r="O2143" s="166">
        <v>485.88999999997998</v>
      </c>
      <c r="P2143" s="169" t="e">
        <f t="shared" si="68"/>
        <v>#NAME?</v>
      </c>
      <c r="Q2143" s="177">
        <v>485.88999999997998</v>
      </c>
      <c r="R2143" s="166">
        <v>486.39999999998003</v>
      </c>
      <c r="S2143" s="166">
        <v>7.2680000000005993</v>
      </c>
    </row>
    <row r="2144" spans="15:19">
      <c r="O2144" s="166">
        <v>485.89999999998003</v>
      </c>
      <c r="P2144" s="169" t="e">
        <f t="shared" si="68"/>
        <v>#NAME?</v>
      </c>
      <c r="Q2144" s="177">
        <v>485.89999999998003</v>
      </c>
      <c r="R2144" s="166">
        <v>486.40999999998002</v>
      </c>
      <c r="S2144" s="166">
        <v>7.2677000000006</v>
      </c>
    </row>
    <row r="2145" spans="15:19">
      <c r="O2145" s="166">
        <v>485.90999999998098</v>
      </c>
      <c r="P2145" s="169" t="e">
        <f t="shared" si="68"/>
        <v>#NAME?</v>
      </c>
      <c r="Q2145" s="177">
        <v>485.90999999998098</v>
      </c>
      <c r="R2145" s="166">
        <v>486.41999999998097</v>
      </c>
      <c r="S2145" s="166">
        <v>7.2674000000005705</v>
      </c>
    </row>
    <row r="2146" spans="15:19">
      <c r="O2146" s="166">
        <v>485.91999999998097</v>
      </c>
      <c r="P2146" s="169" t="e">
        <f t="shared" si="68"/>
        <v>#NAME?</v>
      </c>
      <c r="Q2146" s="177">
        <v>485.91999999998097</v>
      </c>
      <c r="R2146" s="166">
        <v>486.42999999998102</v>
      </c>
      <c r="S2146" s="166">
        <v>7.2671000000005694</v>
      </c>
    </row>
    <row r="2147" spans="15:19">
      <c r="O2147" s="166">
        <v>485.92999999998102</v>
      </c>
      <c r="P2147" s="169" t="e">
        <f t="shared" si="68"/>
        <v>#NAME?</v>
      </c>
      <c r="Q2147" s="177">
        <v>485.92999999998102</v>
      </c>
      <c r="R2147" s="166">
        <v>486.43999999998101</v>
      </c>
      <c r="S2147" s="166">
        <v>7.2668000000005701</v>
      </c>
    </row>
    <row r="2148" spans="15:19">
      <c r="O2148" s="166">
        <v>485.93999999998101</v>
      </c>
      <c r="P2148" s="169" t="e">
        <f t="shared" si="68"/>
        <v>#NAME?</v>
      </c>
      <c r="Q2148" s="177">
        <v>485.93999999998101</v>
      </c>
      <c r="R2148" s="166">
        <v>486.44999999997998</v>
      </c>
      <c r="S2148" s="166">
        <v>7.266500000000601</v>
      </c>
    </row>
    <row r="2149" spans="15:19">
      <c r="O2149" s="166">
        <v>485.94999999997998</v>
      </c>
      <c r="P2149" s="169" t="e">
        <f t="shared" si="68"/>
        <v>#NAME?</v>
      </c>
      <c r="Q2149" s="177">
        <v>485.94999999997998</v>
      </c>
      <c r="R2149" s="166">
        <v>486.45999999998003</v>
      </c>
      <c r="S2149" s="166">
        <v>7.2662000000005991</v>
      </c>
    </row>
    <row r="2150" spans="15:19">
      <c r="O2150" s="166">
        <v>485.95999999998003</v>
      </c>
      <c r="P2150" s="169" t="e">
        <f t="shared" si="68"/>
        <v>#NAME?</v>
      </c>
      <c r="Q2150" s="177">
        <v>485.95999999998003</v>
      </c>
      <c r="R2150" s="166">
        <v>486.46999999998002</v>
      </c>
      <c r="S2150" s="166">
        <v>7.2659000000005998</v>
      </c>
    </row>
    <row r="2151" spans="15:19">
      <c r="O2151" s="166">
        <v>485.96999999998002</v>
      </c>
      <c r="P2151" s="169" t="e">
        <f t="shared" si="68"/>
        <v>#NAME?</v>
      </c>
      <c r="Q2151" s="177">
        <v>485.96999999998002</v>
      </c>
      <c r="R2151" s="166">
        <v>486.47999999998001</v>
      </c>
      <c r="S2151" s="166">
        <v>7.2656000000005996</v>
      </c>
    </row>
    <row r="2152" spans="15:19">
      <c r="O2152" s="166">
        <v>485.97999999998098</v>
      </c>
      <c r="P2152" s="169" t="e">
        <f t="shared" si="68"/>
        <v>#NAME?</v>
      </c>
      <c r="Q2152" s="177">
        <v>485.97999999998098</v>
      </c>
      <c r="R2152" s="166">
        <v>486.48999999998102</v>
      </c>
      <c r="S2152" s="166">
        <v>7.2653000000005692</v>
      </c>
    </row>
    <row r="2153" spans="15:19">
      <c r="O2153" s="166">
        <v>485.98999999998102</v>
      </c>
      <c r="P2153" s="169" t="e">
        <f t="shared" si="68"/>
        <v>#NAME?</v>
      </c>
      <c r="Q2153" s="177">
        <v>485.98999999998102</v>
      </c>
      <c r="R2153" s="166">
        <v>486.49999999998101</v>
      </c>
      <c r="S2153" s="166">
        <v>7.2650000000005699</v>
      </c>
    </row>
    <row r="2154" spans="15:19">
      <c r="O2154" s="166">
        <v>485.99999999997999</v>
      </c>
      <c r="P2154" s="169" t="e">
        <f t="shared" si="68"/>
        <v>#NAME?</v>
      </c>
      <c r="Q2154" s="177">
        <v>485.99999999997999</v>
      </c>
      <c r="R2154" s="166">
        <v>486.50999999997998</v>
      </c>
      <c r="S2154" s="166">
        <v>7.2647000000006008</v>
      </c>
    </row>
    <row r="2155" spans="15:19">
      <c r="O2155" s="166">
        <v>486.00999999997998</v>
      </c>
      <c r="P2155" s="169" t="e">
        <f t="shared" si="68"/>
        <v>#NAME?</v>
      </c>
      <c r="Q2155" s="177">
        <v>486.00999999997998</v>
      </c>
      <c r="R2155" s="166">
        <v>486.51999999997997</v>
      </c>
      <c r="S2155" s="166">
        <v>7.2644000000006006</v>
      </c>
    </row>
    <row r="2156" spans="15:19">
      <c r="O2156" s="166">
        <v>486.01999999997997</v>
      </c>
      <c r="P2156" s="169" t="e">
        <f t="shared" si="68"/>
        <v>#NAME?</v>
      </c>
      <c r="Q2156" s="177">
        <v>486.01999999997997</v>
      </c>
      <c r="R2156" s="166">
        <v>486.52999999998002</v>
      </c>
      <c r="S2156" s="166">
        <v>7.2641000000005995</v>
      </c>
    </row>
    <row r="2157" spans="15:19">
      <c r="O2157" s="166">
        <v>486.02999999998002</v>
      </c>
      <c r="P2157" s="169" t="e">
        <f t="shared" si="68"/>
        <v>#NAME?</v>
      </c>
      <c r="Q2157" s="177">
        <v>486.02999999998002</v>
      </c>
      <c r="R2157" s="166">
        <v>486.53999999998001</v>
      </c>
      <c r="S2157" s="166">
        <v>7.2638000000005993</v>
      </c>
    </row>
    <row r="2158" spans="15:19">
      <c r="O2158" s="166">
        <v>486.03999999998001</v>
      </c>
      <c r="P2158" s="169" t="e">
        <f t="shared" si="68"/>
        <v>#NAME?</v>
      </c>
      <c r="Q2158" s="177">
        <v>486.03999999998001</v>
      </c>
      <c r="R2158" s="166">
        <v>486.54999999998</v>
      </c>
      <c r="S2158" s="166">
        <v>7.2635000000006</v>
      </c>
    </row>
    <row r="2159" spans="15:19">
      <c r="O2159" s="166">
        <v>486.04999999998</v>
      </c>
      <c r="P2159" s="169" t="e">
        <f t="shared" si="68"/>
        <v>#NAME?</v>
      </c>
      <c r="Q2159" s="177">
        <v>486.04999999998</v>
      </c>
      <c r="R2159" s="166">
        <v>486.55999999997999</v>
      </c>
      <c r="S2159" s="166">
        <v>7.2632000000006007</v>
      </c>
    </row>
    <row r="2160" spans="15:19">
      <c r="O2160" s="166">
        <v>486.05999999997999</v>
      </c>
      <c r="P2160" s="169" t="e">
        <f t="shared" si="68"/>
        <v>#NAME?</v>
      </c>
      <c r="Q2160" s="177">
        <v>486.05999999997999</v>
      </c>
      <c r="R2160" s="166">
        <v>486.56999999997998</v>
      </c>
      <c r="S2160" s="166">
        <v>7.2629000000006005</v>
      </c>
    </row>
    <row r="2161" spans="15:19">
      <c r="O2161" s="166">
        <v>486.06999999997998</v>
      </c>
      <c r="P2161" s="169" t="e">
        <f t="shared" si="68"/>
        <v>#NAME?</v>
      </c>
      <c r="Q2161" s="177">
        <v>486.06999999997998</v>
      </c>
      <c r="R2161" s="166">
        <v>486.57999999997998</v>
      </c>
      <c r="S2161" s="166">
        <v>7.2626000000006012</v>
      </c>
    </row>
    <row r="2162" spans="15:19">
      <c r="O2162" s="166">
        <v>486.07999999997998</v>
      </c>
      <c r="P2162" s="169" t="e">
        <f t="shared" si="68"/>
        <v>#NAME?</v>
      </c>
      <c r="Q2162" s="177">
        <v>486.07999999997998</v>
      </c>
      <c r="R2162" s="166">
        <v>486.58999999998002</v>
      </c>
      <c r="S2162" s="166">
        <v>7.2623000000005993</v>
      </c>
    </row>
    <row r="2163" spans="15:19">
      <c r="O2163" s="166">
        <v>486.08999999998002</v>
      </c>
      <c r="P2163" s="169" t="e">
        <f t="shared" si="68"/>
        <v>#NAME?</v>
      </c>
      <c r="Q2163" s="177">
        <v>486.08999999998002</v>
      </c>
      <c r="R2163" s="166">
        <v>486.59999999998001</v>
      </c>
      <c r="S2163" s="166">
        <v>7.2620000000006</v>
      </c>
    </row>
    <row r="2164" spans="15:19">
      <c r="O2164" s="166">
        <v>486.09999999998001</v>
      </c>
      <c r="P2164" s="169" t="e">
        <f t="shared" si="68"/>
        <v>#NAME?</v>
      </c>
      <c r="Q2164" s="177">
        <v>486.09999999998001</v>
      </c>
      <c r="R2164" s="166">
        <v>486.60999999998</v>
      </c>
      <c r="S2164" s="166">
        <v>7.2617000000005998</v>
      </c>
    </row>
    <row r="2165" spans="15:19">
      <c r="O2165" s="166">
        <v>486.10999999998</v>
      </c>
      <c r="P2165" s="169" t="e">
        <f t="shared" si="68"/>
        <v>#NAME?</v>
      </c>
      <c r="Q2165" s="177">
        <v>486.10999999998</v>
      </c>
      <c r="R2165" s="166">
        <v>486.61999999998</v>
      </c>
      <c r="S2165" s="166">
        <v>7.2614000000006005</v>
      </c>
    </row>
    <row r="2166" spans="15:19">
      <c r="O2166" s="166">
        <v>486.11999999998</v>
      </c>
      <c r="P2166" s="169" t="e">
        <f t="shared" si="68"/>
        <v>#NAME?</v>
      </c>
      <c r="Q2166" s="177">
        <v>486.11999999998</v>
      </c>
      <c r="R2166" s="166">
        <v>486.62999999997999</v>
      </c>
      <c r="S2166" s="166">
        <v>7.2611000000006003</v>
      </c>
    </row>
    <row r="2167" spans="15:19">
      <c r="O2167" s="166">
        <v>486.12999999997999</v>
      </c>
      <c r="P2167" s="169" t="e">
        <f t="shared" si="68"/>
        <v>#NAME?</v>
      </c>
      <c r="Q2167" s="177">
        <v>486.12999999997999</v>
      </c>
      <c r="R2167" s="166">
        <v>486.63999999997998</v>
      </c>
      <c r="S2167" s="166">
        <v>7.260800000000601</v>
      </c>
    </row>
    <row r="2168" spans="15:19">
      <c r="O2168" s="166">
        <v>486.13999999997998</v>
      </c>
      <c r="P2168" s="169" t="e">
        <f t="shared" si="68"/>
        <v>#NAME?</v>
      </c>
      <c r="Q2168" s="177">
        <v>486.13999999997998</v>
      </c>
      <c r="R2168" s="166">
        <v>486.64999999998003</v>
      </c>
      <c r="S2168" s="166">
        <v>7.260500000000599</v>
      </c>
    </row>
    <row r="2169" spans="15:19">
      <c r="O2169" s="166">
        <v>486.14999999998003</v>
      </c>
      <c r="P2169" s="169" t="e">
        <f t="shared" si="68"/>
        <v>#NAME?</v>
      </c>
      <c r="Q2169" s="177">
        <v>486.14999999998003</v>
      </c>
      <c r="R2169" s="166">
        <v>486.65999999998002</v>
      </c>
      <c r="S2169" s="166">
        <v>7.2602000000005997</v>
      </c>
    </row>
    <row r="2170" spans="15:19">
      <c r="O2170" s="166">
        <v>486.15999999998002</v>
      </c>
      <c r="P2170" s="169" t="e">
        <f t="shared" si="68"/>
        <v>#NAME?</v>
      </c>
      <c r="Q2170" s="177">
        <v>486.15999999998002</v>
      </c>
      <c r="R2170" s="166">
        <v>486.66999999998001</v>
      </c>
      <c r="S2170" s="166">
        <v>7.2599000000005995</v>
      </c>
    </row>
    <row r="2171" spans="15:19">
      <c r="O2171" s="166">
        <v>486.16999999998001</v>
      </c>
      <c r="P2171" s="169" t="e">
        <f t="shared" si="68"/>
        <v>#NAME?</v>
      </c>
      <c r="Q2171" s="177">
        <v>486.16999999998001</v>
      </c>
      <c r="R2171" s="166">
        <v>486.67999999998</v>
      </c>
      <c r="S2171" s="166">
        <v>7.2596000000006002</v>
      </c>
    </row>
    <row r="2172" spans="15:19">
      <c r="O2172" s="166">
        <v>486.17999999998</v>
      </c>
      <c r="P2172" s="169" t="e">
        <f t="shared" si="68"/>
        <v>#NAME?</v>
      </c>
      <c r="Q2172" s="177">
        <v>486.17999999998</v>
      </c>
      <c r="R2172" s="166">
        <v>486.68999999997999</v>
      </c>
      <c r="S2172" s="166">
        <v>7.2593000000006001</v>
      </c>
    </row>
    <row r="2173" spans="15:19">
      <c r="O2173" s="166">
        <v>486.18999999997999</v>
      </c>
      <c r="P2173" s="169" t="e">
        <f t="shared" si="68"/>
        <v>#NAME?</v>
      </c>
      <c r="Q2173" s="177">
        <v>486.18999999997999</v>
      </c>
      <c r="R2173" s="166">
        <v>486.69999999997998</v>
      </c>
      <c r="S2173" s="166">
        <v>7.2590000000006007</v>
      </c>
    </row>
    <row r="2174" spans="15:19">
      <c r="O2174" s="166">
        <v>486.19999999997998</v>
      </c>
      <c r="P2174" s="169" t="e">
        <f t="shared" si="68"/>
        <v>#NAME?</v>
      </c>
      <c r="Q2174" s="177">
        <v>486.19999999997998</v>
      </c>
      <c r="R2174" s="166">
        <v>486.70999999998003</v>
      </c>
      <c r="S2174" s="166">
        <v>7.2587000000005997</v>
      </c>
    </row>
    <row r="2175" spans="15:19">
      <c r="O2175" s="166">
        <v>486.20999999998003</v>
      </c>
      <c r="P2175" s="169" t="e">
        <f t="shared" si="68"/>
        <v>#NAME?</v>
      </c>
      <c r="Q2175" s="177">
        <v>486.20999999998003</v>
      </c>
      <c r="R2175" s="166">
        <v>486.71999999998002</v>
      </c>
      <c r="S2175" s="166">
        <v>7.2584000000005995</v>
      </c>
    </row>
    <row r="2176" spans="15:19">
      <c r="O2176" s="166">
        <v>486.21999999998002</v>
      </c>
      <c r="P2176" s="169" t="e">
        <f t="shared" si="68"/>
        <v>#NAME?</v>
      </c>
      <c r="Q2176" s="177">
        <v>486.21999999998002</v>
      </c>
      <c r="R2176" s="166">
        <v>486.72999999998001</v>
      </c>
      <c r="S2176" s="166">
        <v>7.2581000000006002</v>
      </c>
    </row>
    <row r="2177" spans="15:19">
      <c r="O2177" s="166">
        <v>486.22999999998001</v>
      </c>
      <c r="P2177" s="169" t="e">
        <f t="shared" si="68"/>
        <v>#NAME?</v>
      </c>
      <c r="Q2177" s="177">
        <v>486.22999999998001</v>
      </c>
      <c r="R2177" s="166">
        <v>486.73999999998</v>
      </c>
      <c r="S2177" s="166">
        <v>7.2578000000006</v>
      </c>
    </row>
    <row r="2178" spans="15:19">
      <c r="O2178" s="166">
        <v>486.23999999998</v>
      </c>
      <c r="P2178" s="169" t="e">
        <f t="shared" si="68"/>
        <v>#NAME?</v>
      </c>
      <c r="Q2178" s="177">
        <v>486.23999999998</v>
      </c>
      <c r="R2178" s="166">
        <v>486.74999999997999</v>
      </c>
      <c r="S2178" s="166">
        <v>7.2575000000006007</v>
      </c>
    </row>
    <row r="2179" spans="15:19">
      <c r="O2179" s="166">
        <v>486.24999999997999</v>
      </c>
      <c r="P2179" s="169" t="e">
        <f t="shared" si="68"/>
        <v>#NAME?</v>
      </c>
      <c r="Q2179" s="177">
        <v>486.24999999997999</v>
      </c>
      <c r="R2179" s="166">
        <v>486.75999999997998</v>
      </c>
      <c r="S2179" s="166">
        <v>7.2572000000006005</v>
      </c>
    </row>
    <row r="2180" spans="15:19">
      <c r="O2180" s="166">
        <v>486.25999999997998</v>
      </c>
      <c r="P2180" s="169" t="e">
        <f t="shared" ref="P2180:P2243" si="69">VLOOKUP(O2180,THONGSOHO_BTS,2,1)+(VLOOKUP(O2180+5,THONGSOHO_BTS,2,1)-VLOOKUP(O2180,THONGSOHO_BTS,2,1))/5*(O2180-VLOOKUP(O2180,THONGSOHO_BTS,1,1))-264.29</f>
        <v>#NAME?</v>
      </c>
      <c r="Q2180" s="177">
        <v>486.25999999997998</v>
      </c>
      <c r="R2180" s="166">
        <v>486.76999999997997</v>
      </c>
      <c r="S2180" s="166">
        <v>7.2569000000006012</v>
      </c>
    </row>
    <row r="2181" spans="15:19">
      <c r="O2181" s="166">
        <v>486.26999999997997</v>
      </c>
      <c r="P2181" s="169" t="e">
        <f t="shared" si="69"/>
        <v>#NAME?</v>
      </c>
      <c r="Q2181" s="177">
        <v>486.26999999997997</v>
      </c>
      <c r="R2181" s="166">
        <v>486.77999999998002</v>
      </c>
      <c r="S2181" s="166">
        <v>7.2566000000005992</v>
      </c>
    </row>
    <row r="2182" spans="15:19">
      <c r="O2182" s="166">
        <v>486.27999999998002</v>
      </c>
      <c r="P2182" s="169" t="e">
        <f t="shared" si="69"/>
        <v>#NAME?</v>
      </c>
      <c r="Q2182" s="177">
        <v>486.27999999998002</v>
      </c>
      <c r="R2182" s="166">
        <v>486.78999999998001</v>
      </c>
      <c r="S2182" s="166">
        <v>7.2563000000005999</v>
      </c>
    </row>
    <row r="2183" spans="15:19">
      <c r="O2183" s="166">
        <v>486.28999999998001</v>
      </c>
      <c r="P2183" s="169" t="e">
        <f t="shared" si="69"/>
        <v>#NAME?</v>
      </c>
      <c r="Q2183" s="177">
        <v>486.28999999998001</v>
      </c>
      <c r="R2183" s="166">
        <v>486.79999999998</v>
      </c>
      <c r="S2183" s="166">
        <v>7.2560000000005997</v>
      </c>
    </row>
    <row r="2184" spans="15:19">
      <c r="O2184" s="166">
        <v>486.29999999998</v>
      </c>
      <c r="P2184" s="169" t="e">
        <f t="shared" si="69"/>
        <v>#NAME?</v>
      </c>
      <c r="Q2184" s="177">
        <v>486.29999999998</v>
      </c>
      <c r="R2184" s="166">
        <v>486.80999999997999</v>
      </c>
      <c r="S2184" s="166">
        <v>7.2557000000006004</v>
      </c>
    </row>
    <row r="2185" spans="15:19">
      <c r="O2185" s="166">
        <v>486.30999999997999</v>
      </c>
      <c r="P2185" s="169" t="e">
        <f t="shared" si="69"/>
        <v>#NAME?</v>
      </c>
      <c r="Q2185" s="177">
        <v>486.30999999997999</v>
      </c>
      <c r="R2185" s="166">
        <v>486.81999999997998</v>
      </c>
      <c r="S2185" s="166">
        <v>7.2554000000006003</v>
      </c>
    </row>
    <row r="2186" spans="15:19">
      <c r="O2186" s="166">
        <v>486.31999999997998</v>
      </c>
      <c r="P2186" s="169" t="e">
        <f t="shared" si="69"/>
        <v>#NAME?</v>
      </c>
      <c r="Q2186" s="177">
        <v>486.31999999997998</v>
      </c>
      <c r="R2186" s="166">
        <v>486.82999999997998</v>
      </c>
      <c r="S2186" s="166">
        <v>7.255100000000601</v>
      </c>
    </row>
    <row r="2187" spans="15:19">
      <c r="O2187" s="166">
        <v>486.32999999997998</v>
      </c>
      <c r="P2187" s="169" t="e">
        <f t="shared" si="69"/>
        <v>#NAME?</v>
      </c>
      <c r="Q2187" s="177">
        <v>486.32999999997998</v>
      </c>
      <c r="R2187" s="166">
        <v>486.83999999998002</v>
      </c>
      <c r="S2187" s="166">
        <v>7.254800000000599</v>
      </c>
    </row>
    <row r="2188" spans="15:19">
      <c r="O2188" s="166">
        <v>486.33999999998002</v>
      </c>
      <c r="P2188" s="169" t="e">
        <f t="shared" si="69"/>
        <v>#NAME?</v>
      </c>
      <c r="Q2188" s="177">
        <v>486.33999999998002</v>
      </c>
      <c r="R2188" s="166">
        <v>486.84999999998001</v>
      </c>
      <c r="S2188" s="166">
        <v>7.2545000000005997</v>
      </c>
    </row>
    <row r="2189" spans="15:19">
      <c r="O2189" s="166">
        <v>486.34999999998001</v>
      </c>
      <c r="P2189" s="169" t="e">
        <f t="shared" si="69"/>
        <v>#NAME?</v>
      </c>
      <c r="Q2189" s="177">
        <v>486.34999999998001</v>
      </c>
      <c r="R2189" s="166">
        <v>486.85999999998</v>
      </c>
      <c r="S2189" s="166">
        <v>7.2542000000005995</v>
      </c>
    </row>
    <row r="2190" spans="15:19">
      <c r="O2190" s="166">
        <v>486.35999999998</v>
      </c>
      <c r="P2190" s="169" t="e">
        <f t="shared" si="69"/>
        <v>#NAME?</v>
      </c>
      <c r="Q2190" s="177">
        <v>486.35999999998</v>
      </c>
      <c r="R2190" s="166">
        <v>486.86999999998</v>
      </c>
      <c r="S2190" s="166">
        <v>7.2539000000006002</v>
      </c>
    </row>
    <row r="2191" spans="15:19">
      <c r="O2191" s="166">
        <v>486.36999999998</v>
      </c>
      <c r="P2191" s="169" t="e">
        <f t="shared" si="69"/>
        <v>#NAME?</v>
      </c>
      <c r="Q2191" s="177">
        <v>486.36999999998</v>
      </c>
      <c r="R2191" s="166">
        <v>486.87999999997999</v>
      </c>
      <c r="S2191" s="166">
        <v>7.2536000000006</v>
      </c>
    </row>
    <row r="2192" spans="15:19">
      <c r="O2192" s="166">
        <v>486.37999999997999</v>
      </c>
      <c r="P2192" s="169" t="e">
        <f t="shared" si="69"/>
        <v>#NAME?</v>
      </c>
      <c r="Q2192" s="177">
        <v>486.37999999997999</v>
      </c>
      <c r="R2192" s="166">
        <v>486.88999999997998</v>
      </c>
      <c r="S2192" s="166">
        <v>7.2533000000006007</v>
      </c>
    </row>
    <row r="2193" spans="15:19">
      <c r="O2193" s="166">
        <v>486.38999999997998</v>
      </c>
      <c r="P2193" s="169" t="e">
        <f t="shared" si="69"/>
        <v>#NAME?</v>
      </c>
      <c r="Q2193" s="177">
        <v>486.38999999997998</v>
      </c>
      <c r="R2193" s="166">
        <v>486.89999999998003</v>
      </c>
      <c r="S2193" s="166">
        <v>7.2530000000005996</v>
      </c>
    </row>
    <row r="2194" spans="15:19">
      <c r="O2194" s="166">
        <v>486.39999999998003</v>
      </c>
      <c r="P2194" s="169" t="e">
        <f t="shared" si="69"/>
        <v>#NAME?</v>
      </c>
      <c r="Q2194" s="177">
        <v>486.39999999998003</v>
      </c>
      <c r="R2194" s="166">
        <v>486.90999999998002</v>
      </c>
      <c r="S2194" s="166">
        <v>7.2527000000005994</v>
      </c>
    </row>
    <row r="2195" spans="15:19">
      <c r="O2195" s="166">
        <v>486.40999999998002</v>
      </c>
      <c r="P2195" s="169" t="e">
        <f t="shared" si="69"/>
        <v>#NAME?</v>
      </c>
      <c r="Q2195" s="177">
        <v>486.40999999998002</v>
      </c>
      <c r="R2195" s="166">
        <v>486.91999999998001</v>
      </c>
      <c r="S2195" s="166">
        <v>7.2524000000006001</v>
      </c>
    </row>
    <row r="2196" spans="15:19">
      <c r="O2196" s="166">
        <v>486.41999999998001</v>
      </c>
      <c r="P2196" s="169" t="e">
        <f t="shared" si="69"/>
        <v>#NAME?</v>
      </c>
      <c r="Q2196" s="177">
        <v>486.41999999998001</v>
      </c>
      <c r="R2196" s="166">
        <v>486.92999999998</v>
      </c>
      <c r="S2196" s="166">
        <v>7.2521000000006</v>
      </c>
    </row>
    <row r="2197" spans="15:19">
      <c r="O2197" s="166">
        <v>486.42999999998</v>
      </c>
      <c r="P2197" s="169" t="e">
        <f t="shared" si="69"/>
        <v>#NAME?</v>
      </c>
      <c r="Q2197" s="177">
        <v>486.42999999998</v>
      </c>
      <c r="R2197" s="166">
        <v>486.93999999997999</v>
      </c>
      <c r="S2197" s="166">
        <v>7.2518000000006007</v>
      </c>
    </row>
    <row r="2198" spans="15:19">
      <c r="O2198" s="166">
        <v>486.43999999997999</v>
      </c>
      <c r="P2198" s="169" t="e">
        <f t="shared" si="69"/>
        <v>#NAME?</v>
      </c>
      <c r="Q2198" s="177">
        <v>486.43999999997999</v>
      </c>
      <c r="R2198" s="166">
        <v>486.94999999997998</v>
      </c>
      <c r="S2198" s="166">
        <v>7.2515000000006005</v>
      </c>
    </row>
    <row r="2199" spans="15:19">
      <c r="O2199" s="166">
        <v>486.44999999997998</v>
      </c>
      <c r="P2199" s="169" t="e">
        <f t="shared" si="69"/>
        <v>#NAME?</v>
      </c>
      <c r="Q2199" s="177">
        <v>486.44999999997998</v>
      </c>
      <c r="R2199" s="166">
        <v>486.95999999998003</v>
      </c>
      <c r="S2199" s="166">
        <v>7.2512000000005994</v>
      </c>
    </row>
    <row r="2200" spans="15:19">
      <c r="O2200" s="166">
        <v>486.45999999998003</v>
      </c>
      <c r="P2200" s="169" t="e">
        <f t="shared" si="69"/>
        <v>#NAME?</v>
      </c>
      <c r="Q2200" s="177">
        <v>486.45999999998003</v>
      </c>
      <c r="R2200" s="166">
        <v>486.96999999998002</v>
      </c>
      <c r="S2200" s="166">
        <v>7.2509000000005992</v>
      </c>
    </row>
    <row r="2201" spans="15:19">
      <c r="O2201" s="166">
        <v>486.46999999998002</v>
      </c>
      <c r="P2201" s="169" t="e">
        <f t="shared" si="69"/>
        <v>#NAME?</v>
      </c>
      <c r="Q2201" s="177">
        <v>486.46999999998002</v>
      </c>
      <c r="R2201" s="166">
        <v>486.97999999998001</v>
      </c>
      <c r="S2201" s="166">
        <v>7.2506000000005999</v>
      </c>
    </row>
    <row r="2202" spans="15:19">
      <c r="O2202" s="166">
        <v>486.47999999998001</v>
      </c>
      <c r="P2202" s="169" t="e">
        <f t="shared" si="69"/>
        <v>#NAME?</v>
      </c>
      <c r="Q2202" s="177">
        <v>486.47999999998001</v>
      </c>
      <c r="R2202" s="166">
        <v>486.98999999998</v>
      </c>
      <c r="S2202" s="166">
        <v>7.2503000000005997</v>
      </c>
    </row>
    <row r="2203" spans="15:19">
      <c r="O2203" s="166">
        <v>486.48999999998</v>
      </c>
      <c r="P2203" s="169" t="e">
        <f t="shared" si="69"/>
        <v>#NAME?</v>
      </c>
      <c r="Q2203" s="177">
        <v>486.48999999998</v>
      </c>
      <c r="R2203" s="166">
        <v>486.99999999997999</v>
      </c>
      <c r="S2203" s="166">
        <v>7.2500000000006004</v>
      </c>
    </row>
    <row r="2204" spans="15:19">
      <c r="O2204" s="166">
        <v>486.49999999997999</v>
      </c>
      <c r="P2204" s="169" t="e">
        <f t="shared" si="69"/>
        <v>#NAME?</v>
      </c>
      <c r="Q2204" s="177">
        <v>486.49999999997999</v>
      </c>
      <c r="R2204" s="166">
        <v>487.00999999997998</v>
      </c>
      <c r="S2204" s="166">
        <v>7.25</v>
      </c>
    </row>
    <row r="2205" spans="15:19">
      <c r="O2205" s="166">
        <v>486.50999999997998</v>
      </c>
      <c r="P2205" s="169" t="e">
        <f t="shared" si="69"/>
        <v>#NAME?</v>
      </c>
      <c r="Q2205" s="177">
        <v>486.50999999997998</v>
      </c>
      <c r="R2205" s="166">
        <v>487.01999999997997</v>
      </c>
      <c r="S2205" s="166">
        <v>7.25</v>
      </c>
    </row>
    <row r="2206" spans="15:19">
      <c r="O2206" s="166">
        <v>486.51999999997997</v>
      </c>
      <c r="P2206" s="169" t="e">
        <f t="shared" si="69"/>
        <v>#NAME?</v>
      </c>
      <c r="Q2206" s="177">
        <v>486.51999999997997</v>
      </c>
      <c r="R2206" s="166">
        <v>487.02999999998002</v>
      </c>
      <c r="S2206" s="166">
        <v>7.25</v>
      </c>
    </row>
    <row r="2207" spans="15:19">
      <c r="O2207" s="166">
        <v>486.52999999998002</v>
      </c>
      <c r="P2207" s="169" t="e">
        <f t="shared" si="69"/>
        <v>#NAME?</v>
      </c>
      <c r="Q2207" s="177">
        <v>486.52999999998002</v>
      </c>
      <c r="R2207" s="166">
        <v>487.03999999998001</v>
      </c>
      <c r="S2207" s="166">
        <v>7.25</v>
      </c>
    </row>
    <row r="2208" spans="15:19">
      <c r="O2208" s="166">
        <v>486.53999999998001</v>
      </c>
      <c r="P2208" s="169" t="e">
        <f t="shared" si="69"/>
        <v>#NAME?</v>
      </c>
      <c r="Q2208" s="177">
        <v>486.53999999998001</v>
      </c>
      <c r="R2208" s="166">
        <v>487.04999999998</v>
      </c>
      <c r="S2208" s="166">
        <v>7.25</v>
      </c>
    </row>
    <row r="2209" spans="15:19">
      <c r="O2209" s="166">
        <v>486.54999999998</v>
      </c>
      <c r="P2209" s="169" t="e">
        <f t="shared" si="69"/>
        <v>#NAME?</v>
      </c>
      <c r="Q2209" s="177">
        <v>486.54999999998</v>
      </c>
      <c r="R2209" s="166">
        <v>487.05999999997999</v>
      </c>
      <c r="S2209" s="166">
        <v>7.25</v>
      </c>
    </row>
    <row r="2210" spans="15:19">
      <c r="O2210" s="166">
        <v>486.55999999997999</v>
      </c>
      <c r="P2210" s="169" t="e">
        <f t="shared" si="69"/>
        <v>#NAME?</v>
      </c>
      <c r="Q2210" s="177">
        <v>486.55999999997999</v>
      </c>
      <c r="R2210" s="166">
        <v>487.06999999997998</v>
      </c>
      <c r="S2210" s="166">
        <v>7.25</v>
      </c>
    </row>
    <row r="2211" spans="15:19">
      <c r="O2211" s="166">
        <v>486.56999999997998</v>
      </c>
      <c r="P2211" s="169" t="e">
        <f t="shared" si="69"/>
        <v>#NAME?</v>
      </c>
      <c r="Q2211" s="177">
        <v>486.56999999997998</v>
      </c>
      <c r="R2211" s="166">
        <v>487.07999999997998</v>
      </c>
      <c r="S2211" s="166">
        <v>7.25</v>
      </c>
    </row>
    <row r="2212" spans="15:19">
      <c r="O2212" s="166">
        <v>486.57999999997998</v>
      </c>
      <c r="P2212" s="169" t="e">
        <f t="shared" si="69"/>
        <v>#NAME?</v>
      </c>
      <c r="Q2212" s="177">
        <v>486.57999999997998</v>
      </c>
      <c r="R2212" s="166">
        <v>487.08999999998002</v>
      </c>
      <c r="S2212" s="166">
        <v>7.25</v>
      </c>
    </row>
    <row r="2213" spans="15:19">
      <c r="O2213" s="166">
        <v>486.58999999998002</v>
      </c>
      <c r="P2213" s="169" t="e">
        <f t="shared" si="69"/>
        <v>#NAME?</v>
      </c>
      <c r="Q2213" s="177">
        <v>486.58999999998002</v>
      </c>
      <c r="R2213" s="166">
        <v>487.09999999998001</v>
      </c>
      <c r="S2213" s="166">
        <v>7.25</v>
      </c>
    </row>
    <row r="2214" spans="15:19">
      <c r="O2214" s="166">
        <v>486.59999999998001</v>
      </c>
      <c r="P2214" s="169" t="e">
        <f t="shared" si="69"/>
        <v>#NAME?</v>
      </c>
      <c r="Q2214" s="177">
        <v>486.59999999998001</v>
      </c>
      <c r="R2214" s="166">
        <v>487.10999999998</v>
      </c>
      <c r="S2214" s="166">
        <v>7.25</v>
      </c>
    </row>
    <row r="2215" spans="15:19">
      <c r="O2215" s="166">
        <v>486.60999999998</v>
      </c>
      <c r="P2215" s="169" t="e">
        <f t="shared" si="69"/>
        <v>#NAME?</v>
      </c>
      <c r="Q2215" s="177">
        <v>486.60999999998</v>
      </c>
      <c r="R2215" s="166">
        <v>487.11999999998</v>
      </c>
      <c r="S2215" s="166">
        <v>7.25</v>
      </c>
    </row>
    <row r="2216" spans="15:19">
      <c r="O2216" s="166">
        <v>486.61999999998</v>
      </c>
      <c r="P2216" s="169" t="e">
        <f t="shared" si="69"/>
        <v>#NAME?</v>
      </c>
      <c r="Q2216" s="177">
        <v>486.61999999998</v>
      </c>
      <c r="R2216" s="166">
        <v>487.12999999997999</v>
      </c>
      <c r="S2216" s="166">
        <v>7.25</v>
      </c>
    </row>
    <row r="2217" spans="15:19">
      <c r="O2217" s="166">
        <v>486.62999999997999</v>
      </c>
      <c r="P2217" s="169" t="e">
        <f t="shared" si="69"/>
        <v>#NAME?</v>
      </c>
      <c r="Q2217" s="177">
        <v>486.62999999997999</v>
      </c>
      <c r="R2217" s="166">
        <v>487.13999999997998</v>
      </c>
      <c r="S2217" s="166">
        <v>7.25</v>
      </c>
    </row>
    <row r="2218" spans="15:19">
      <c r="O2218" s="166">
        <v>486.63999999997998</v>
      </c>
      <c r="P2218" s="169" t="e">
        <f t="shared" si="69"/>
        <v>#NAME?</v>
      </c>
      <c r="Q2218" s="177">
        <v>486.63999999997998</v>
      </c>
      <c r="R2218" s="166">
        <v>487.14999999998003</v>
      </c>
      <c r="S2218" s="166">
        <v>7.25</v>
      </c>
    </row>
    <row r="2219" spans="15:19">
      <c r="O2219" s="166">
        <v>486.64999999998003</v>
      </c>
      <c r="P2219" s="169" t="e">
        <f t="shared" si="69"/>
        <v>#NAME?</v>
      </c>
      <c r="Q2219" s="177">
        <v>486.64999999998003</v>
      </c>
      <c r="R2219" s="166">
        <v>487.15999999998002</v>
      </c>
      <c r="S2219" s="166">
        <v>7.25</v>
      </c>
    </row>
    <row r="2220" spans="15:19">
      <c r="O2220" s="166">
        <v>486.65999999998002</v>
      </c>
      <c r="P2220" s="169" t="e">
        <f t="shared" si="69"/>
        <v>#NAME?</v>
      </c>
      <c r="Q2220" s="177">
        <v>486.65999999998002</v>
      </c>
      <c r="R2220" s="166">
        <v>487.16999999998001</v>
      </c>
      <c r="S2220" s="166">
        <v>7.25</v>
      </c>
    </row>
    <row r="2221" spans="15:19">
      <c r="O2221" s="166">
        <v>486.66999999998001</v>
      </c>
      <c r="P2221" s="169" t="e">
        <f t="shared" si="69"/>
        <v>#NAME?</v>
      </c>
      <c r="Q2221" s="177">
        <v>486.66999999998001</v>
      </c>
      <c r="R2221" s="166">
        <v>487.17999999998</v>
      </c>
      <c r="S2221" s="166">
        <v>7.25</v>
      </c>
    </row>
    <row r="2222" spans="15:19">
      <c r="O2222" s="166">
        <v>486.67999999998</v>
      </c>
      <c r="P2222" s="169" t="e">
        <f t="shared" si="69"/>
        <v>#NAME?</v>
      </c>
      <c r="Q2222" s="177">
        <v>486.67999999998</v>
      </c>
      <c r="R2222" s="166">
        <v>487.18999999997999</v>
      </c>
      <c r="S2222" s="166">
        <v>7.25</v>
      </c>
    </row>
    <row r="2223" spans="15:19">
      <c r="O2223" s="166">
        <v>486.68999999997999</v>
      </c>
      <c r="P2223" s="169" t="e">
        <f t="shared" si="69"/>
        <v>#NAME?</v>
      </c>
      <c r="Q2223" s="177">
        <v>486.68999999997999</v>
      </c>
      <c r="R2223" s="166">
        <v>487.19999999997998</v>
      </c>
      <c r="S2223" s="166">
        <v>7.25</v>
      </c>
    </row>
    <row r="2224" spans="15:19">
      <c r="O2224" s="166">
        <v>486.69999999997998</v>
      </c>
      <c r="P2224" s="169" t="e">
        <f t="shared" si="69"/>
        <v>#NAME?</v>
      </c>
      <c r="Q2224" s="177">
        <v>486.69999999997998</v>
      </c>
      <c r="R2224" s="166">
        <v>487.20999999998003</v>
      </c>
      <c r="S2224" s="166">
        <v>7.25</v>
      </c>
    </row>
    <row r="2225" spans="15:19">
      <c r="O2225" s="166">
        <v>486.70999999998003</v>
      </c>
      <c r="P2225" s="169" t="e">
        <f t="shared" si="69"/>
        <v>#NAME?</v>
      </c>
      <c r="Q2225" s="177">
        <v>486.70999999998003</v>
      </c>
      <c r="R2225" s="166">
        <v>487.21999999998002</v>
      </c>
      <c r="S2225" s="166">
        <v>7.25</v>
      </c>
    </row>
    <row r="2226" spans="15:19">
      <c r="O2226" s="166">
        <v>486.71999999998002</v>
      </c>
      <c r="P2226" s="169" t="e">
        <f t="shared" si="69"/>
        <v>#NAME?</v>
      </c>
      <c r="Q2226" s="177">
        <v>486.71999999998002</v>
      </c>
      <c r="R2226" s="166">
        <v>487.22999999998001</v>
      </c>
      <c r="S2226" s="166">
        <v>7.25</v>
      </c>
    </row>
    <row r="2227" spans="15:19">
      <c r="O2227" s="166">
        <v>486.72999999998001</v>
      </c>
      <c r="P2227" s="169" t="e">
        <f t="shared" si="69"/>
        <v>#NAME?</v>
      </c>
      <c r="Q2227" s="177">
        <v>486.72999999998001</v>
      </c>
      <c r="R2227" s="166">
        <v>487.23999999998</v>
      </c>
      <c r="S2227" s="166">
        <v>7.25</v>
      </c>
    </row>
    <row r="2228" spans="15:19">
      <c r="O2228" s="166">
        <v>486.73999999998</v>
      </c>
      <c r="P2228" s="169" t="e">
        <f t="shared" si="69"/>
        <v>#NAME?</v>
      </c>
      <c r="Q2228" s="177">
        <v>486.73999999998</v>
      </c>
      <c r="R2228" s="166">
        <v>487.24999999997999</v>
      </c>
      <c r="S2228" s="166">
        <v>7.25</v>
      </c>
    </row>
    <row r="2229" spans="15:19">
      <c r="O2229" s="166">
        <v>486.74999999997999</v>
      </c>
      <c r="P2229" s="169" t="e">
        <f t="shared" si="69"/>
        <v>#NAME?</v>
      </c>
      <c r="Q2229" s="177">
        <v>486.74999999997999</v>
      </c>
      <c r="R2229" s="166">
        <v>487.25999999997998</v>
      </c>
      <c r="S2229" s="166">
        <v>7.25</v>
      </c>
    </row>
    <row r="2230" spans="15:19">
      <c r="O2230" s="166">
        <v>486.75999999997998</v>
      </c>
      <c r="P2230" s="169" t="e">
        <f t="shared" si="69"/>
        <v>#NAME?</v>
      </c>
      <c r="Q2230" s="177">
        <v>486.75999999997998</v>
      </c>
      <c r="R2230" s="166">
        <v>487.26999999997997</v>
      </c>
      <c r="S2230" s="166">
        <v>7.25</v>
      </c>
    </row>
    <row r="2231" spans="15:19">
      <c r="O2231" s="166">
        <v>486.76999999997997</v>
      </c>
      <c r="P2231" s="169" t="e">
        <f t="shared" si="69"/>
        <v>#NAME?</v>
      </c>
      <c r="Q2231" s="177">
        <v>486.76999999997997</v>
      </c>
      <c r="R2231" s="166">
        <v>487.27999999998002</v>
      </c>
      <c r="S2231" s="166">
        <v>7.25</v>
      </c>
    </row>
    <row r="2232" spans="15:19">
      <c r="O2232" s="166">
        <v>486.77999999998002</v>
      </c>
      <c r="P2232" s="169" t="e">
        <f t="shared" si="69"/>
        <v>#NAME?</v>
      </c>
      <c r="Q2232" s="177">
        <v>486.77999999998002</v>
      </c>
      <c r="R2232" s="166">
        <v>487.28999999998001</v>
      </c>
      <c r="S2232" s="166">
        <v>7.25</v>
      </c>
    </row>
    <row r="2233" spans="15:19">
      <c r="O2233" s="166">
        <v>486.78999999998001</v>
      </c>
      <c r="P2233" s="169" t="e">
        <f t="shared" si="69"/>
        <v>#NAME?</v>
      </c>
      <c r="Q2233" s="177">
        <v>486.78999999998001</v>
      </c>
      <c r="R2233" s="166">
        <v>487.29999999998</v>
      </c>
      <c r="S2233" s="166">
        <v>7.25</v>
      </c>
    </row>
    <row r="2234" spans="15:19">
      <c r="O2234" s="166">
        <v>486.79999999998</v>
      </c>
      <c r="P2234" s="169" t="e">
        <f t="shared" si="69"/>
        <v>#NAME?</v>
      </c>
      <c r="Q2234" s="177">
        <v>486.79999999998</v>
      </c>
      <c r="R2234" s="166">
        <v>487.30999999997999</v>
      </c>
      <c r="S2234" s="166">
        <v>7.25</v>
      </c>
    </row>
    <row r="2235" spans="15:19">
      <c r="O2235" s="166">
        <v>486.80999999997999</v>
      </c>
      <c r="P2235" s="169" t="e">
        <f t="shared" si="69"/>
        <v>#NAME?</v>
      </c>
      <c r="Q2235" s="177">
        <v>486.80999999997999</v>
      </c>
      <c r="R2235" s="166">
        <v>487.31999999997998</v>
      </c>
      <c r="S2235" s="166">
        <v>7.25</v>
      </c>
    </row>
    <row r="2236" spans="15:19">
      <c r="O2236" s="166">
        <v>486.81999999997998</v>
      </c>
      <c r="P2236" s="169" t="e">
        <f t="shared" si="69"/>
        <v>#NAME?</v>
      </c>
      <c r="Q2236" s="177">
        <v>486.81999999997998</v>
      </c>
      <c r="R2236" s="166">
        <v>487.32999999997998</v>
      </c>
      <c r="S2236" s="166">
        <v>7.25</v>
      </c>
    </row>
    <row r="2237" spans="15:19">
      <c r="O2237" s="166">
        <v>486.82999999997998</v>
      </c>
      <c r="P2237" s="169" t="e">
        <f t="shared" si="69"/>
        <v>#NAME?</v>
      </c>
      <c r="Q2237" s="177">
        <v>486.82999999997998</v>
      </c>
      <c r="R2237" s="166">
        <v>487.33999999998002</v>
      </c>
      <c r="S2237" s="166">
        <v>7.25</v>
      </c>
    </row>
    <row r="2238" spans="15:19">
      <c r="O2238" s="166">
        <v>486.83999999998002</v>
      </c>
      <c r="P2238" s="169" t="e">
        <f t="shared" si="69"/>
        <v>#NAME?</v>
      </c>
      <c r="Q2238" s="177">
        <v>486.83999999998002</v>
      </c>
      <c r="R2238" s="166">
        <v>487.34999999998001</v>
      </c>
      <c r="S2238" s="166">
        <v>7.25</v>
      </c>
    </row>
    <row r="2239" spans="15:19">
      <c r="O2239" s="166">
        <v>486.84999999998001</v>
      </c>
      <c r="P2239" s="169" t="e">
        <f t="shared" si="69"/>
        <v>#NAME?</v>
      </c>
      <c r="Q2239" s="177">
        <v>486.84999999998001</v>
      </c>
      <c r="R2239" s="166">
        <v>487.35999999998</v>
      </c>
      <c r="S2239" s="166">
        <v>7.25</v>
      </c>
    </row>
    <row r="2240" spans="15:19">
      <c r="O2240" s="166">
        <v>486.85999999998</v>
      </c>
      <c r="P2240" s="169" t="e">
        <f t="shared" si="69"/>
        <v>#NAME?</v>
      </c>
      <c r="Q2240" s="177">
        <v>486.85999999998</v>
      </c>
      <c r="R2240" s="166">
        <v>487.36999999998</v>
      </c>
      <c r="S2240" s="166">
        <v>7.25</v>
      </c>
    </row>
    <row r="2241" spans="15:19">
      <c r="O2241" s="166">
        <v>486.86999999998</v>
      </c>
      <c r="P2241" s="169" t="e">
        <f t="shared" si="69"/>
        <v>#NAME?</v>
      </c>
      <c r="Q2241" s="177">
        <v>486.86999999998</v>
      </c>
      <c r="R2241" s="166">
        <v>487.37999999997999</v>
      </c>
      <c r="S2241" s="166">
        <v>7.25</v>
      </c>
    </row>
    <row r="2242" spans="15:19">
      <c r="O2242" s="166">
        <v>486.87999999997999</v>
      </c>
      <c r="P2242" s="169" t="e">
        <f t="shared" si="69"/>
        <v>#NAME?</v>
      </c>
      <c r="Q2242" s="177">
        <v>486.87999999997999</v>
      </c>
      <c r="R2242" s="166">
        <v>487.38999999997998</v>
      </c>
      <c r="S2242" s="166">
        <v>7.25</v>
      </c>
    </row>
    <row r="2243" spans="15:19">
      <c r="O2243" s="166">
        <v>486.88999999997998</v>
      </c>
      <c r="P2243" s="169" t="e">
        <f t="shared" si="69"/>
        <v>#NAME?</v>
      </c>
      <c r="Q2243" s="177">
        <v>486.88999999997998</v>
      </c>
      <c r="R2243" s="166">
        <v>487.39999999998003</v>
      </c>
      <c r="S2243" s="166">
        <v>7.25</v>
      </c>
    </row>
    <row r="2244" spans="15:19">
      <c r="O2244" s="166">
        <v>486.89999999998003</v>
      </c>
      <c r="P2244" s="169" t="e">
        <f t="shared" ref="P2244:P2307" si="70">VLOOKUP(O2244,THONGSOHO_BTS,2,1)+(VLOOKUP(O2244+5,THONGSOHO_BTS,2,1)-VLOOKUP(O2244,THONGSOHO_BTS,2,1))/5*(O2244-VLOOKUP(O2244,THONGSOHO_BTS,1,1))-264.29</f>
        <v>#NAME?</v>
      </c>
      <c r="Q2244" s="177">
        <v>486.89999999998003</v>
      </c>
      <c r="R2244" s="166">
        <v>487.40999999998002</v>
      </c>
      <c r="S2244" s="166">
        <v>7.25</v>
      </c>
    </row>
    <row r="2245" spans="15:19">
      <c r="O2245" s="166">
        <v>486.90999999998002</v>
      </c>
      <c r="P2245" s="169" t="e">
        <f t="shared" si="70"/>
        <v>#NAME?</v>
      </c>
      <c r="Q2245" s="177">
        <v>486.90999999998002</v>
      </c>
      <c r="R2245" s="166">
        <v>487.41999999998001</v>
      </c>
      <c r="S2245" s="166">
        <v>7.25</v>
      </c>
    </row>
    <row r="2246" spans="15:19">
      <c r="O2246" s="166">
        <v>486.91999999998001</v>
      </c>
      <c r="P2246" s="169" t="e">
        <f t="shared" si="70"/>
        <v>#NAME?</v>
      </c>
      <c r="Q2246" s="177">
        <v>486.91999999998001</v>
      </c>
      <c r="R2246" s="166">
        <v>487.42999999998</v>
      </c>
      <c r="S2246" s="166">
        <v>7.25</v>
      </c>
    </row>
    <row r="2247" spans="15:19">
      <c r="O2247" s="166">
        <v>486.92999999998</v>
      </c>
      <c r="P2247" s="169" t="e">
        <f t="shared" si="70"/>
        <v>#NAME?</v>
      </c>
      <c r="Q2247" s="177">
        <v>486.92999999998</v>
      </c>
      <c r="R2247" s="166">
        <v>487.43999999997999</v>
      </c>
      <c r="S2247" s="166">
        <v>7.25</v>
      </c>
    </row>
    <row r="2248" spans="15:19">
      <c r="O2248" s="166">
        <v>486.93999999997999</v>
      </c>
      <c r="P2248" s="169" t="e">
        <f t="shared" si="70"/>
        <v>#NAME?</v>
      </c>
      <c r="Q2248" s="177">
        <v>486.93999999997999</v>
      </c>
      <c r="R2248" s="166">
        <v>487.44999999997998</v>
      </c>
      <c r="S2248" s="166">
        <v>7.25</v>
      </c>
    </row>
    <row r="2249" spans="15:19">
      <c r="O2249" s="166">
        <v>486.94999999997998</v>
      </c>
      <c r="P2249" s="169" t="e">
        <f t="shared" si="70"/>
        <v>#NAME?</v>
      </c>
      <c r="Q2249" s="177">
        <v>486.94999999997998</v>
      </c>
      <c r="R2249" s="166">
        <v>487.45999999998003</v>
      </c>
      <c r="S2249" s="166">
        <v>7.25</v>
      </c>
    </row>
    <row r="2250" spans="15:19">
      <c r="O2250" s="166">
        <v>486.95999999998003</v>
      </c>
      <c r="P2250" s="169" t="e">
        <f t="shared" si="70"/>
        <v>#NAME?</v>
      </c>
      <c r="Q2250" s="177">
        <v>486.95999999998003</v>
      </c>
      <c r="R2250" s="166">
        <v>487.46999999998002</v>
      </c>
      <c r="S2250" s="166">
        <v>7.25</v>
      </c>
    </row>
    <row r="2251" spans="15:19">
      <c r="O2251" s="166">
        <v>486.96999999998002</v>
      </c>
      <c r="P2251" s="169" t="e">
        <f t="shared" si="70"/>
        <v>#NAME?</v>
      </c>
      <c r="Q2251" s="177">
        <v>486.96999999998002</v>
      </c>
      <c r="R2251" s="166">
        <v>487.47999999998001</v>
      </c>
      <c r="S2251" s="166">
        <v>7.25</v>
      </c>
    </row>
    <row r="2252" spans="15:19">
      <c r="O2252" s="166">
        <v>486.97999999998001</v>
      </c>
      <c r="P2252" s="169" t="e">
        <f t="shared" si="70"/>
        <v>#NAME?</v>
      </c>
      <c r="Q2252" s="177">
        <v>486.97999999998001</v>
      </c>
      <c r="R2252" s="166">
        <v>487.48999999998</v>
      </c>
      <c r="S2252" s="166">
        <v>7.25</v>
      </c>
    </row>
    <row r="2253" spans="15:19">
      <c r="O2253" s="166">
        <v>486.98999999997898</v>
      </c>
      <c r="P2253" s="169" t="e">
        <f t="shared" si="70"/>
        <v>#NAME?</v>
      </c>
      <c r="Q2253" s="177">
        <v>486.98999999997898</v>
      </c>
      <c r="R2253" s="166">
        <v>487.49999999997902</v>
      </c>
      <c r="S2253" s="166">
        <v>7.25</v>
      </c>
    </row>
    <row r="2254" spans="15:19">
      <c r="O2254" s="166">
        <v>486.99999999997902</v>
      </c>
      <c r="P2254" s="169" t="e">
        <f t="shared" si="70"/>
        <v>#NAME?</v>
      </c>
      <c r="Q2254" s="177">
        <v>486.99999999997902</v>
      </c>
    </row>
    <row r="2255" spans="15:19">
      <c r="O2255" s="166">
        <v>487.00999999997998</v>
      </c>
      <c r="P2255" s="169" t="e">
        <f t="shared" si="70"/>
        <v>#NAME?</v>
      </c>
      <c r="Q2255" s="177">
        <v>487.00999999997998</v>
      </c>
    </row>
    <row r="2256" spans="15:19">
      <c r="O2256" s="166">
        <v>487.01999999997997</v>
      </c>
      <c r="P2256" s="169" t="e">
        <f t="shared" si="70"/>
        <v>#NAME?</v>
      </c>
      <c r="Q2256" s="177">
        <v>487.01999999997997</v>
      </c>
    </row>
    <row r="2257" spans="15:17">
      <c r="O2257" s="166">
        <v>487.02999999998002</v>
      </c>
      <c r="P2257" s="169" t="e">
        <f t="shared" si="70"/>
        <v>#NAME?</v>
      </c>
      <c r="Q2257" s="177">
        <v>487.02999999998002</v>
      </c>
    </row>
    <row r="2258" spans="15:17">
      <c r="O2258" s="166">
        <v>487.03999999998001</v>
      </c>
      <c r="P2258" s="169" t="e">
        <f t="shared" si="70"/>
        <v>#NAME?</v>
      </c>
      <c r="Q2258" s="177">
        <v>487.03999999998001</v>
      </c>
    </row>
    <row r="2259" spans="15:17">
      <c r="O2259" s="166">
        <v>487.04999999997898</v>
      </c>
      <c r="P2259" s="169" t="e">
        <f t="shared" si="70"/>
        <v>#NAME?</v>
      </c>
      <c r="Q2259" s="177">
        <v>487.04999999997898</v>
      </c>
    </row>
    <row r="2260" spans="15:17">
      <c r="O2260" s="166">
        <v>487.05999999997903</v>
      </c>
      <c r="P2260" s="169" t="e">
        <f t="shared" si="70"/>
        <v>#NAME?</v>
      </c>
      <c r="Q2260" s="177">
        <v>487.05999999997903</v>
      </c>
    </row>
    <row r="2261" spans="15:17">
      <c r="O2261" s="166">
        <v>487.06999999997902</v>
      </c>
      <c r="P2261" s="169" t="e">
        <f t="shared" si="70"/>
        <v>#NAME?</v>
      </c>
      <c r="Q2261" s="177">
        <v>487.06999999997902</v>
      </c>
    </row>
    <row r="2262" spans="15:17">
      <c r="O2262" s="166">
        <v>487.07999999997998</v>
      </c>
      <c r="P2262" s="169" t="e">
        <f t="shared" si="70"/>
        <v>#NAME?</v>
      </c>
      <c r="Q2262" s="177">
        <v>487.07999999997998</v>
      </c>
    </row>
    <row r="2263" spans="15:17">
      <c r="O2263" s="166">
        <v>487.08999999998002</v>
      </c>
      <c r="P2263" s="169" t="e">
        <f t="shared" si="70"/>
        <v>#NAME?</v>
      </c>
      <c r="Q2263" s="177">
        <v>487.08999999998002</v>
      </c>
    </row>
    <row r="2264" spans="15:17">
      <c r="O2264" s="166">
        <v>487.09999999997899</v>
      </c>
      <c r="P2264" s="169" t="e">
        <f t="shared" si="70"/>
        <v>#NAME?</v>
      </c>
      <c r="Q2264" s="177">
        <v>487.09999999997899</v>
      </c>
    </row>
    <row r="2265" spans="15:17">
      <c r="O2265" s="166">
        <v>487.10999999997898</v>
      </c>
      <c r="P2265" s="169" t="e">
        <f t="shared" si="70"/>
        <v>#NAME?</v>
      </c>
      <c r="Q2265" s="177">
        <v>487.10999999997898</v>
      </c>
    </row>
    <row r="2266" spans="15:17">
      <c r="O2266" s="166">
        <v>487.11999999997897</v>
      </c>
      <c r="P2266" s="169" t="e">
        <f t="shared" si="70"/>
        <v>#NAME?</v>
      </c>
      <c r="Q2266" s="177">
        <v>487.11999999997897</v>
      </c>
    </row>
    <row r="2267" spans="15:17">
      <c r="O2267" s="166">
        <v>487.12999999997902</v>
      </c>
      <c r="P2267" s="169" t="e">
        <f t="shared" si="70"/>
        <v>#NAME?</v>
      </c>
      <c r="Q2267" s="177">
        <v>487.12999999997902</v>
      </c>
    </row>
    <row r="2268" spans="15:17">
      <c r="O2268" s="166">
        <v>487.13999999997901</v>
      </c>
      <c r="P2268" s="169" t="e">
        <f t="shared" si="70"/>
        <v>#NAME?</v>
      </c>
      <c r="Q2268" s="177">
        <v>487.13999999997901</v>
      </c>
    </row>
    <row r="2269" spans="15:17">
      <c r="O2269" s="166">
        <v>487.149999999979</v>
      </c>
      <c r="P2269" s="169" t="e">
        <f t="shared" si="70"/>
        <v>#NAME?</v>
      </c>
      <c r="Q2269" s="177">
        <v>487.149999999979</v>
      </c>
    </row>
    <row r="2270" spans="15:17">
      <c r="O2270" s="166">
        <v>487.15999999997899</v>
      </c>
      <c r="P2270" s="169" t="e">
        <f t="shared" si="70"/>
        <v>#NAME?</v>
      </c>
      <c r="Q2270" s="177">
        <v>487.15999999997899</v>
      </c>
    </row>
    <row r="2271" spans="15:17">
      <c r="O2271" s="166">
        <v>487.16999999997898</v>
      </c>
      <c r="P2271" s="169" t="e">
        <f t="shared" si="70"/>
        <v>#NAME?</v>
      </c>
      <c r="Q2271" s="177">
        <v>487.16999999997898</v>
      </c>
    </row>
    <row r="2272" spans="15:17">
      <c r="O2272" s="166">
        <v>487.17999999997897</v>
      </c>
      <c r="P2272" s="169" t="e">
        <f t="shared" si="70"/>
        <v>#NAME?</v>
      </c>
      <c r="Q2272" s="177">
        <v>487.17999999997897</v>
      </c>
    </row>
    <row r="2273" spans="15:17">
      <c r="O2273" s="166">
        <v>487.18999999997902</v>
      </c>
      <c r="P2273" s="169" t="e">
        <f t="shared" si="70"/>
        <v>#NAME?</v>
      </c>
      <c r="Q2273" s="177">
        <v>487.18999999997902</v>
      </c>
    </row>
    <row r="2274" spans="15:17">
      <c r="O2274" s="166">
        <v>487.19999999997901</v>
      </c>
      <c r="P2274" s="169" t="e">
        <f t="shared" si="70"/>
        <v>#NAME?</v>
      </c>
      <c r="Q2274" s="177">
        <v>487.19999999997901</v>
      </c>
    </row>
    <row r="2275" spans="15:17">
      <c r="O2275" s="166">
        <v>487.209999999979</v>
      </c>
      <c r="P2275" s="169" t="e">
        <f t="shared" si="70"/>
        <v>#NAME?</v>
      </c>
      <c r="Q2275" s="177">
        <v>487.209999999979</v>
      </c>
    </row>
    <row r="2276" spans="15:17">
      <c r="O2276" s="166">
        <v>487.219999999979</v>
      </c>
      <c r="P2276" s="169" t="e">
        <f t="shared" si="70"/>
        <v>#NAME?</v>
      </c>
      <c r="Q2276" s="177">
        <v>487.219999999979</v>
      </c>
    </row>
    <row r="2277" spans="15:17">
      <c r="O2277" s="166">
        <v>487.22999999997899</v>
      </c>
      <c r="P2277" s="169" t="e">
        <f t="shared" si="70"/>
        <v>#NAME?</v>
      </c>
      <c r="Q2277" s="177">
        <v>487.22999999997899</v>
      </c>
    </row>
    <row r="2278" spans="15:17">
      <c r="O2278" s="166">
        <v>487.23999999997898</v>
      </c>
      <c r="P2278" s="169" t="e">
        <f t="shared" si="70"/>
        <v>#NAME?</v>
      </c>
      <c r="Q2278" s="177">
        <v>487.23999999997898</v>
      </c>
    </row>
    <row r="2279" spans="15:17">
      <c r="O2279" s="166">
        <v>487.24999999997902</v>
      </c>
      <c r="P2279" s="169" t="e">
        <f t="shared" si="70"/>
        <v>#NAME?</v>
      </c>
      <c r="Q2279" s="177">
        <v>487.24999999997902</v>
      </c>
    </row>
    <row r="2280" spans="15:17">
      <c r="O2280" s="166">
        <v>487.25999999997902</v>
      </c>
      <c r="P2280" s="169" t="e">
        <f t="shared" si="70"/>
        <v>#NAME?</v>
      </c>
      <c r="Q2280" s="177">
        <v>487.25999999997902</v>
      </c>
    </row>
    <row r="2281" spans="15:17">
      <c r="O2281" s="166">
        <v>487.26999999997901</v>
      </c>
      <c r="P2281" s="169" t="e">
        <f t="shared" si="70"/>
        <v>#NAME?</v>
      </c>
      <c r="Q2281" s="177">
        <v>487.26999999997901</v>
      </c>
    </row>
    <row r="2282" spans="15:17">
      <c r="O2282" s="166">
        <v>487.279999999979</v>
      </c>
      <c r="P2282" s="169" t="e">
        <f t="shared" si="70"/>
        <v>#NAME?</v>
      </c>
      <c r="Q2282" s="177">
        <v>487.279999999979</v>
      </c>
    </row>
    <row r="2283" spans="15:17">
      <c r="O2283" s="166">
        <v>487.28999999997899</v>
      </c>
      <c r="P2283" s="169" t="e">
        <f t="shared" si="70"/>
        <v>#NAME?</v>
      </c>
      <c r="Q2283" s="177">
        <v>487.28999999997899</v>
      </c>
    </row>
    <row r="2284" spans="15:17">
      <c r="O2284" s="166">
        <v>487.29999999997898</v>
      </c>
      <c r="P2284" s="169" t="e">
        <f t="shared" si="70"/>
        <v>#NAME?</v>
      </c>
      <c r="Q2284" s="177">
        <v>487.29999999997898</v>
      </c>
    </row>
    <row r="2285" spans="15:17">
      <c r="O2285" s="166">
        <v>487.30999999997903</v>
      </c>
      <c r="P2285" s="169" t="e">
        <f t="shared" si="70"/>
        <v>#NAME?</v>
      </c>
      <c r="Q2285" s="177">
        <v>487.30999999997903</v>
      </c>
    </row>
    <row r="2286" spans="15:17">
      <c r="O2286" s="166">
        <v>487.31999999997902</v>
      </c>
      <c r="P2286" s="169" t="e">
        <f t="shared" si="70"/>
        <v>#NAME?</v>
      </c>
      <c r="Q2286" s="177">
        <v>487.31999999997902</v>
      </c>
    </row>
    <row r="2287" spans="15:17">
      <c r="O2287" s="166">
        <v>487.32999999997901</v>
      </c>
      <c r="P2287" s="169" t="e">
        <f t="shared" si="70"/>
        <v>#NAME?</v>
      </c>
      <c r="Q2287" s="177">
        <v>487.32999999997901</v>
      </c>
    </row>
    <row r="2288" spans="15:17">
      <c r="O2288" s="166">
        <v>487.339999999979</v>
      </c>
      <c r="P2288" s="169" t="e">
        <f t="shared" si="70"/>
        <v>#NAME?</v>
      </c>
      <c r="Q2288" s="177">
        <v>487.339999999979</v>
      </c>
    </row>
    <row r="2289" spans="15:17">
      <c r="O2289" s="166">
        <v>487.34999999997899</v>
      </c>
      <c r="P2289" s="169" t="e">
        <f t="shared" si="70"/>
        <v>#NAME?</v>
      </c>
      <c r="Q2289" s="177">
        <v>487.34999999997899</v>
      </c>
    </row>
    <row r="2290" spans="15:17">
      <c r="O2290" s="166">
        <v>487.35999999997898</v>
      </c>
      <c r="P2290" s="169" t="e">
        <f t="shared" si="70"/>
        <v>#NAME?</v>
      </c>
      <c r="Q2290" s="177">
        <v>487.35999999997898</v>
      </c>
    </row>
    <row r="2291" spans="15:17">
      <c r="O2291" s="166">
        <v>487.36999999997897</v>
      </c>
      <c r="P2291" s="169" t="e">
        <f t="shared" si="70"/>
        <v>#NAME?</v>
      </c>
      <c r="Q2291" s="177">
        <v>487.36999999997897</v>
      </c>
    </row>
    <row r="2292" spans="15:17">
      <c r="O2292" s="166">
        <v>487.37999999997902</v>
      </c>
      <c r="P2292" s="169" t="e">
        <f t="shared" si="70"/>
        <v>#NAME?</v>
      </c>
      <c r="Q2292" s="177">
        <v>487.37999999997902</v>
      </c>
    </row>
    <row r="2293" spans="15:17">
      <c r="O2293" s="166">
        <v>487.38999999997901</v>
      </c>
      <c r="P2293" s="169" t="e">
        <f t="shared" si="70"/>
        <v>#NAME?</v>
      </c>
      <c r="Q2293" s="177">
        <v>487.38999999997901</v>
      </c>
    </row>
    <row r="2294" spans="15:17">
      <c r="O2294" s="166">
        <v>487.399999999979</v>
      </c>
      <c r="P2294" s="169" t="e">
        <f t="shared" si="70"/>
        <v>#NAME?</v>
      </c>
      <c r="Q2294" s="177">
        <v>487.399999999979</v>
      </c>
    </row>
    <row r="2295" spans="15:17">
      <c r="O2295" s="166">
        <v>487.40999999997899</v>
      </c>
      <c r="P2295" s="169" t="e">
        <f t="shared" si="70"/>
        <v>#NAME?</v>
      </c>
      <c r="Q2295" s="177">
        <v>487.40999999997899</v>
      </c>
    </row>
    <row r="2296" spans="15:17">
      <c r="O2296" s="166">
        <v>487.41999999997898</v>
      </c>
      <c r="P2296" s="169" t="e">
        <f t="shared" si="70"/>
        <v>#NAME?</v>
      </c>
      <c r="Q2296" s="177">
        <v>487.41999999997898</v>
      </c>
    </row>
    <row r="2297" spans="15:17">
      <c r="O2297" s="166">
        <v>487.42999999997897</v>
      </c>
      <c r="P2297" s="169" t="e">
        <f t="shared" si="70"/>
        <v>#NAME?</v>
      </c>
      <c r="Q2297" s="177">
        <v>487.42999999997897</v>
      </c>
    </row>
    <row r="2298" spans="15:17">
      <c r="O2298" s="166">
        <v>487.43999999997902</v>
      </c>
      <c r="P2298" s="169" t="e">
        <f t="shared" si="70"/>
        <v>#NAME?</v>
      </c>
      <c r="Q2298" s="177">
        <v>487.43999999997902</v>
      </c>
    </row>
    <row r="2299" spans="15:17">
      <c r="O2299" s="166">
        <v>487.44999999997901</v>
      </c>
      <c r="P2299" s="169" t="e">
        <f t="shared" si="70"/>
        <v>#NAME?</v>
      </c>
      <c r="Q2299" s="177">
        <v>487.44999999997901</v>
      </c>
    </row>
    <row r="2300" spans="15:17">
      <c r="O2300" s="166">
        <v>487.459999999979</v>
      </c>
      <c r="P2300" s="169" t="e">
        <f t="shared" si="70"/>
        <v>#NAME?</v>
      </c>
      <c r="Q2300" s="177">
        <v>487.459999999979</v>
      </c>
    </row>
    <row r="2301" spans="15:17">
      <c r="O2301" s="166">
        <v>487.469999999979</v>
      </c>
      <c r="P2301" s="169" t="e">
        <f t="shared" si="70"/>
        <v>#NAME?</v>
      </c>
      <c r="Q2301" s="177">
        <v>487.469999999979</v>
      </c>
    </row>
    <row r="2302" spans="15:17">
      <c r="O2302" s="166">
        <v>487.47999999997899</v>
      </c>
      <c r="P2302" s="169" t="e">
        <f t="shared" si="70"/>
        <v>#NAME?</v>
      </c>
      <c r="Q2302" s="177">
        <v>487.47999999997899</v>
      </c>
    </row>
    <row r="2303" spans="15:17">
      <c r="O2303" s="166">
        <v>487.48999999997898</v>
      </c>
      <c r="P2303" s="169" t="e">
        <f t="shared" si="70"/>
        <v>#NAME?</v>
      </c>
      <c r="Q2303" s="177">
        <v>487.48999999997898</v>
      </c>
    </row>
    <row r="2304" spans="15:17">
      <c r="O2304" s="166">
        <v>487.49999999997902</v>
      </c>
      <c r="P2304" s="169" t="e">
        <f t="shared" si="70"/>
        <v>#NAME?</v>
      </c>
      <c r="Q2304" s="177">
        <v>487.49999999997902</v>
      </c>
    </row>
    <row r="2305" spans="15:17">
      <c r="O2305" s="166">
        <v>487.50999999997902</v>
      </c>
      <c r="P2305" s="169" t="e">
        <f t="shared" si="70"/>
        <v>#NAME?</v>
      </c>
      <c r="Q2305" s="177">
        <v>487.50999999997902</v>
      </c>
    </row>
    <row r="2306" spans="15:17">
      <c r="O2306" s="166">
        <v>487.51999999997901</v>
      </c>
      <c r="P2306" s="169" t="e">
        <f t="shared" si="70"/>
        <v>#NAME?</v>
      </c>
      <c r="Q2306" s="177">
        <v>487.51999999997901</v>
      </c>
    </row>
    <row r="2307" spans="15:17">
      <c r="O2307" s="166">
        <v>487.529999999979</v>
      </c>
      <c r="P2307" s="169" t="e">
        <f t="shared" si="70"/>
        <v>#NAME?</v>
      </c>
      <c r="Q2307" s="177">
        <v>487.529999999979</v>
      </c>
    </row>
    <row r="2308" spans="15:17">
      <c r="O2308" s="166">
        <v>487.53999999997899</v>
      </c>
      <c r="P2308" s="169" t="e">
        <f t="shared" ref="P2308:P2371" si="71">VLOOKUP(O2308,THONGSOHO_BTS,2,1)+(VLOOKUP(O2308+5,THONGSOHO_BTS,2,1)-VLOOKUP(O2308,THONGSOHO_BTS,2,1))/5*(O2308-VLOOKUP(O2308,THONGSOHO_BTS,1,1))-264.29</f>
        <v>#NAME?</v>
      </c>
      <c r="Q2308" s="177">
        <v>487.53999999997899</v>
      </c>
    </row>
    <row r="2309" spans="15:17">
      <c r="O2309" s="166">
        <v>487.54999999997898</v>
      </c>
      <c r="P2309" s="169" t="e">
        <f t="shared" si="71"/>
        <v>#NAME?</v>
      </c>
      <c r="Q2309" s="177">
        <v>487.54999999997898</v>
      </c>
    </row>
    <row r="2310" spans="15:17">
      <c r="O2310" s="166">
        <v>487.55999999997903</v>
      </c>
      <c r="P2310" s="169" t="e">
        <f t="shared" si="71"/>
        <v>#NAME?</v>
      </c>
      <c r="Q2310" s="177">
        <v>487.55999999997903</v>
      </c>
    </row>
    <row r="2311" spans="15:17">
      <c r="O2311" s="166">
        <v>487.56999999997902</v>
      </c>
      <c r="P2311" s="169" t="e">
        <f t="shared" si="71"/>
        <v>#NAME?</v>
      </c>
      <c r="Q2311" s="177">
        <v>487.56999999997902</v>
      </c>
    </row>
    <row r="2312" spans="15:17">
      <c r="O2312" s="166">
        <v>487.57999999997901</v>
      </c>
      <c r="P2312" s="169" t="e">
        <f t="shared" si="71"/>
        <v>#NAME?</v>
      </c>
      <c r="Q2312" s="177">
        <v>487.57999999997901</v>
      </c>
    </row>
    <row r="2313" spans="15:17">
      <c r="O2313" s="166">
        <v>487.589999999979</v>
      </c>
      <c r="P2313" s="169" t="e">
        <f t="shared" si="71"/>
        <v>#NAME?</v>
      </c>
      <c r="Q2313" s="177">
        <v>487.589999999979</v>
      </c>
    </row>
    <row r="2314" spans="15:17">
      <c r="O2314" s="166">
        <v>487.59999999997899</v>
      </c>
      <c r="P2314" s="169" t="e">
        <f t="shared" si="71"/>
        <v>#NAME?</v>
      </c>
      <c r="Q2314" s="177">
        <v>487.59999999997899</v>
      </c>
    </row>
    <row r="2315" spans="15:17">
      <c r="O2315" s="166">
        <v>487.60999999997898</v>
      </c>
      <c r="P2315" s="169" t="e">
        <f t="shared" si="71"/>
        <v>#NAME?</v>
      </c>
      <c r="Q2315" s="177">
        <v>487.60999999997898</v>
      </c>
    </row>
    <row r="2316" spans="15:17">
      <c r="O2316" s="166">
        <v>487.61999999997897</v>
      </c>
      <c r="P2316" s="169" t="e">
        <f t="shared" si="71"/>
        <v>#NAME?</v>
      </c>
      <c r="Q2316" s="177">
        <v>487.61999999997897</v>
      </c>
    </row>
    <row r="2317" spans="15:17">
      <c r="O2317" s="166">
        <v>487.62999999997902</v>
      </c>
      <c r="P2317" s="169" t="e">
        <f t="shared" si="71"/>
        <v>#NAME?</v>
      </c>
      <c r="Q2317" s="177">
        <v>487.62999999997902</v>
      </c>
    </row>
    <row r="2318" spans="15:17">
      <c r="O2318" s="166">
        <v>487.63999999997901</v>
      </c>
      <c r="P2318" s="169" t="e">
        <f t="shared" si="71"/>
        <v>#NAME?</v>
      </c>
      <c r="Q2318" s="177">
        <v>487.63999999997901</v>
      </c>
    </row>
    <row r="2319" spans="15:17">
      <c r="O2319" s="166">
        <v>487.649999999979</v>
      </c>
      <c r="P2319" s="169" t="e">
        <f t="shared" si="71"/>
        <v>#NAME?</v>
      </c>
      <c r="Q2319" s="177">
        <v>487.649999999979</v>
      </c>
    </row>
    <row r="2320" spans="15:17">
      <c r="O2320" s="166">
        <v>487.65999999997899</v>
      </c>
      <c r="P2320" s="169" t="e">
        <f t="shared" si="71"/>
        <v>#NAME?</v>
      </c>
      <c r="Q2320" s="177">
        <v>487.65999999997899</v>
      </c>
    </row>
    <row r="2321" spans="15:17">
      <c r="O2321" s="166">
        <v>487.66999999997898</v>
      </c>
      <c r="P2321" s="169" t="e">
        <f t="shared" si="71"/>
        <v>#NAME?</v>
      </c>
      <c r="Q2321" s="177">
        <v>487.66999999997898</v>
      </c>
    </row>
    <row r="2322" spans="15:17">
      <c r="O2322" s="166">
        <v>487.67999999997897</v>
      </c>
      <c r="P2322" s="169" t="e">
        <f t="shared" si="71"/>
        <v>#NAME?</v>
      </c>
      <c r="Q2322" s="177">
        <v>487.67999999997897</v>
      </c>
    </row>
    <row r="2323" spans="15:17">
      <c r="O2323" s="166">
        <v>487.68999999997902</v>
      </c>
      <c r="P2323" s="169" t="e">
        <f t="shared" si="71"/>
        <v>#NAME?</v>
      </c>
      <c r="Q2323" s="177">
        <v>487.68999999997902</v>
      </c>
    </row>
    <row r="2324" spans="15:17">
      <c r="O2324" s="166">
        <v>487.69999999997901</v>
      </c>
      <c r="P2324" s="169" t="e">
        <f t="shared" si="71"/>
        <v>#NAME?</v>
      </c>
      <c r="Q2324" s="177">
        <v>487.69999999997901</v>
      </c>
    </row>
    <row r="2325" spans="15:17">
      <c r="O2325" s="166">
        <v>487.709999999979</v>
      </c>
      <c r="P2325" s="169" t="e">
        <f t="shared" si="71"/>
        <v>#NAME?</v>
      </c>
      <c r="Q2325" s="177">
        <v>487.709999999979</v>
      </c>
    </row>
    <row r="2326" spans="15:17">
      <c r="O2326" s="166">
        <v>487.719999999979</v>
      </c>
      <c r="P2326" s="169" t="e">
        <f t="shared" si="71"/>
        <v>#NAME?</v>
      </c>
      <c r="Q2326" s="177">
        <v>487.719999999979</v>
      </c>
    </row>
    <row r="2327" spans="15:17">
      <c r="O2327" s="166">
        <v>487.72999999997899</v>
      </c>
      <c r="P2327" s="169" t="e">
        <f t="shared" si="71"/>
        <v>#NAME?</v>
      </c>
      <c r="Q2327" s="177">
        <v>487.72999999997899</v>
      </c>
    </row>
    <row r="2328" spans="15:17">
      <c r="O2328" s="166">
        <v>487.73999999997898</v>
      </c>
      <c r="P2328" s="169" t="e">
        <f t="shared" si="71"/>
        <v>#NAME?</v>
      </c>
      <c r="Q2328" s="177">
        <v>487.73999999997898</v>
      </c>
    </row>
    <row r="2329" spans="15:17">
      <c r="O2329" s="166">
        <v>487.74999999997902</v>
      </c>
      <c r="P2329" s="169" t="e">
        <f t="shared" si="71"/>
        <v>#NAME?</v>
      </c>
      <c r="Q2329" s="177">
        <v>487.74999999997902</v>
      </c>
    </row>
    <row r="2330" spans="15:17">
      <c r="O2330" s="166">
        <v>487.75999999997902</v>
      </c>
      <c r="P2330" s="169" t="e">
        <f t="shared" si="71"/>
        <v>#NAME?</v>
      </c>
      <c r="Q2330" s="177">
        <v>487.75999999997902</v>
      </c>
    </row>
    <row r="2331" spans="15:17">
      <c r="O2331" s="166">
        <v>487.76999999997901</v>
      </c>
      <c r="P2331" s="169" t="e">
        <f t="shared" si="71"/>
        <v>#NAME?</v>
      </c>
      <c r="Q2331" s="177">
        <v>487.76999999997901</v>
      </c>
    </row>
    <row r="2332" spans="15:17">
      <c r="O2332" s="166">
        <v>487.779999999979</v>
      </c>
      <c r="P2332" s="169" t="e">
        <f t="shared" si="71"/>
        <v>#NAME?</v>
      </c>
      <c r="Q2332" s="177">
        <v>487.779999999979</v>
      </c>
    </row>
    <row r="2333" spans="15:17">
      <c r="O2333" s="166">
        <v>487.78999999997899</v>
      </c>
      <c r="P2333" s="169" t="e">
        <f t="shared" si="71"/>
        <v>#NAME?</v>
      </c>
      <c r="Q2333" s="177">
        <v>487.78999999997899</v>
      </c>
    </row>
    <row r="2334" spans="15:17">
      <c r="O2334" s="166">
        <v>487.79999999997898</v>
      </c>
      <c r="P2334" s="169" t="e">
        <f t="shared" si="71"/>
        <v>#NAME?</v>
      </c>
      <c r="Q2334" s="177">
        <v>487.79999999997898</v>
      </c>
    </row>
    <row r="2335" spans="15:17">
      <c r="O2335" s="166">
        <v>487.80999999997903</v>
      </c>
      <c r="P2335" s="169" t="e">
        <f t="shared" si="71"/>
        <v>#NAME?</v>
      </c>
      <c r="Q2335" s="177">
        <v>487.80999999997903</v>
      </c>
    </row>
    <row r="2336" spans="15:17">
      <c r="O2336" s="166">
        <v>487.81999999997902</v>
      </c>
      <c r="P2336" s="169" t="e">
        <f t="shared" si="71"/>
        <v>#NAME?</v>
      </c>
      <c r="Q2336" s="177">
        <v>487.81999999997902</v>
      </c>
    </row>
    <row r="2337" spans="15:17">
      <c r="O2337" s="166">
        <v>487.82999999997901</v>
      </c>
      <c r="P2337" s="169" t="e">
        <f t="shared" si="71"/>
        <v>#NAME?</v>
      </c>
      <c r="Q2337" s="177">
        <v>487.82999999997901</v>
      </c>
    </row>
    <row r="2338" spans="15:17">
      <c r="O2338" s="166">
        <v>487.839999999979</v>
      </c>
      <c r="P2338" s="169" t="e">
        <f t="shared" si="71"/>
        <v>#NAME?</v>
      </c>
      <c r="Q2338" s="177">
        <v>487.839999999979</v>
      </c>
    </row>
    <row r="2339" spans="15:17">
      <c r="O2339" s="166">
        <v>487.84999999997899</v>
      </c>
      <c r="P2339" s="169" t="e">
        <f t="shared" si="71"/>
        <v>#NAME?</v>
      </c>
      <c r="Q2339" s="177">
        <v>487.84999999997899</v>
      </c>
    </row>
    <row r="2340" spans="15:17">
      <c r="O2340" s="166">
        <v>487.85999999997898</v>
      </c>
      <c r="P2340" s="169" t="e">
        <f t="shared" si="71"/>
        <v>#NAME?</v>
      </c>
      <c r="Q2340" s="177">
        <v>487.85999999997898</v>
      </c>
    </row>
    <row r="2341" spans="15:17">
      <c r="O2341" s="166">
        <v>487.86999999997897</v>
      </c>
      <c r="P2341" s="169" t="e">
        <f t="shared" si="71"/>
        <v>#NAME?</v>
      </c>
      <c r="Q2341" s="177">
        <v>487.86999999997897</v>
      </c>
    </row>
    <row r="2342" spans="15:17">
      <c r="O2342" s="166">
        <v>487.87999999997902</v>
      </c>
      <c r="P2342" s="169" t="e">
        <f t="shared" si="71"/>
        <v>#NAME?</v>
      </c>
      <c r="Q2342" s="177">
        <v>487.87999999997902</v>
      </c>
    </row>
    <row r="2343" spans="15:17">
      <c r="O2343" s="166">
        <v>487.88999999997901</v>
      </c>
      <c r="P2343" s="169" t="e">
        <f t="shared" si="71"/>
        <v>#NAME?</v>
      </c>
      <c r="Q2343" s="177">
        <v>487.88999999997901</v>
      </c>
    </row>
    <row r="2344" spans="15:17">
      <c r="O2344" s="166">
        <v>487.899999999979</v>
      </c>
      <c r="P2344" s="169" t="e">
        <f t="shared" si="71"/>
        <v>#NAME?</v>
      </c>
      <c r="Q2344" s="177">
        <v>487.899999999979</v>
      </c>
    </row>
    <row r="2345" spans="15:17">
      <c r="O2345" s="166">
        <v>487.90999999997899</v>
      </c>
      <c r="P2345" s="169" t="e">
        <f t="shared" si="71"/>
        <v>#NAME?</v>
      </c>
      <c r="Q2345" s="177">
        <v>487.90999999997899</v>
      </c>
    </row>
    <row r="2346" spans="15:17">
      <c r="O2346" s="166">
        <v>487.91999999997898</v>
      </c>
      <c r="P2346" s="169" t="e">
        <f t="shared" si="71"/>
        <v>#NAME?</v>
      </c>
      <c r="Q2346" s="177">
        <v>487.91999999997898</v>
      </c>
    </row>
    <row r="2347" spans="15:17">
      <c r="O2347" s="166">
        <v>487.92999999997897</v>
      </c>
      <c r="P2347" s="169" t="e">
        <f t="shared" si="71"/>
        <v>#NAME?</v>
      </c>
      <c r="Q2347" s="177">
        <v>487.92999999997897</v>
      </c>
    </row>
    <row r="2348" spans="15:17">
      <c r="O2348" s="166">
        <v>487.93999999997902</v>
      </c>
      <c r="P2348" s="169" t="e">
        <f t="shared" si="71"/>
        <v>#NAME?</v>
      </c>
      <c r="Q2348" s="177">
        <v>487.93999999997902</v>
      </c>
    </row>
    <row r="2349" spans="15:17">
      <c r="O2349" s="166">
        <v>487.94999999997901</v>
      </c>
      <c r="P2349" s="169" t="e">
        <f t="shared" si="71"/>
        <v>#NAME?</v>
      </c>
      <c r="Q2349" s="177">
        <v>487.94999999997901</v>
      </c>
    </row>
    <row r="2350" spans="15:17">
      <c r="O2350" s="166">
        <v>487.959999999979</v>
      </c>
      <c r="P2350" s="169" t="e">
        <f t="shared" si="71"/>
        <v>#NAME?</v>
      </c>
      <c r="Q2350" s="177">
        <v>487.959999999979</v>
      </c>
    </row>
    <row r="2351" spans="15:17">
      <c r="O2351" s="166">
        <v>487.969999999979</v>
      </c>
      <c r="P2351" s="169" t="e">
        <f t="shared" si="71"/>
        <v>#NAME?</v>
      </c>
      <c r="Q2351" s="177">
        <v>487.969999999979</v>
      </c>
    </row>
    <row r="2352" spans="15:17">
      <c r="O2352" s="166">
        <v>487.97999999997899</v>
      </c>
      <c r="P2352" s="169" t="e">
        <f t="shared" si="71"/>
        <v>#NAME?</v>
      </c>
      <c r="Q2352" s="177">
        <v>487.97999999997899</v>
      </c>
    </row>
    <row r="2353" spans="15:17">
      <c r="O2353" s="166">
        <v>487.98999999997898</v>
      </c>
      <c r="P2353" s="169" t="e">
        <f t="shared" si="71"/>
        <v>#NAME?</v>
      </c>
      <c r="Q2353" s="177">
        <v>487.98999999997898</v>
      </c>
    </row>
    <row r="2354" spans="15:17">
      <c r="O2354" s="166">
        <v>487.99999999997902</v>
      </c>
      <c r="P2354" s="169" t="e">
        <f t="shared" si="71"/>
        <v>#NAME?</v>
      </c>
      <c r="Q2354" s="177">
        <v>487.99999999997902</v>
      </c>
    </row>
    <row r="2355" spans="15:17">
      <c r="O2355" s="166">
        <v>488.00999999997902</v>
      </c>
      <c r="P2355" s="169" t="e">
        <f t="shared" si="71"/>
        <v>#NAME?</v>
      </c>
      <c r="Q2355" s="177">
        <v>488.00999999997902</v>
      </c>
    </row>
    <row r="2356" spans="15:17">
      <c r="O2356" s="166">
        <v>488.01999999997901</v>
      </c>
      <c r="P2356" s="169" t="e">
        <f t="shared" si="71"/>
        <v>#NAME?</v>
      </c>
      <c r="Q2356" s="177">
        <v>488.01999999997901</v>
      </c>
    </row>
    <row r="2357" spans="15:17">
      <c r="O2357" s="166">
        <v>488.029999999979</v>
      </c>
      <c r="P2357" s="169" t="e">
        <f t="shared" si="71"/>
        <v>#NAME?</v>
      </c>
      <c r="Q2357" s="177">
        <v>488.029999999979</v>
      </c>
    </row>
    <row r="2358" spans="15:17">
      <c r="O2358" s="166">
        <v>488.03999999997899</v>
      </c>
      <c r="P2358" s="169" t="e">
        <f t="shared" si="71"/>
        <v>#NAME?</v>
      </c>
      <c r="Q2358" s="177">
        <v>488.03999999997899</v>
      </c>
    </row>
    <row r="2359" spans="15:17">
      <c r="O2359" s="166">
        <v>488.04999999997898</v>
      </c>
      <c r="P2359" s="169" t="e">
        <f t="shared" si="71"/>
        <v>#NAME?</v>
      </c>
      <c r="Q2359" s="177">
        <v>488.04999999997898</v>
      </c>
    </row>
    <row r="2360" spans="15:17">
      <c r="O2360" s="166">
        <v>488.05999999997903</v>
      </c>
      <c r="P2360" s="169" t="e">
        <f t="shared" si="71"/>
        <v>#NAME?</v>
      </c>
      <c r="Q2360" s="177">
        <v>488.05999999997903</v>
      </c>
    </row>
    <row r="2361" spans="15:17">
      <c r="O2361" s="166">
        <v>488.06999999997902</v>
      </c>
      <c r="P2361" s="169" t="e">
        <f t="shared" si="71"/>
        <v>#NAME?</v>
      </c>
      <c r="Q2361" s="177">
        <v>488.06999999997902</v>
      </c>
    </row>
    <row r="2362" spans="15:17">
      <c r="O2362" s="166">
        <v>488.07999999997901</v>
      </c>
      <c r="P2362" s="169" t="e">
        <f t="shared" si="71"/>
        <v>#NAME?</v>
      </c>
      <c r="Q2362" s="177">
        <v>488.07999999997901</v>
      </c>
    </row>
    <row r="2363" spans="15:17">
      <c r="O2363" s="166">
        <v>488.08999999997798</v>
      </c>
      <c r="P2363" s="169" t="e">
        <f t="shared" si="71"/>
        <v>#NAME?</v>
      </c>
      <c r="Q2363" s="177">
        <v>488.08999999997798</v>
      </c>
    </row>
    <row r="2364" spans="15:17">
      <c r="O2364" s="166">
        <v>488.09999999997802</v>
      </c>
      <c r="P2364" s="169" t="e">
        <f t="shared" si="71"/>
        <v>#NAME?</v>
      </c>
      <c r="Q2364" s="177">
        <v>488.09999999997802</v>
      </c>
    </row>
    <row r="2365" spans="15:17">
      <c r="O2365" s="166">
        <v>488.10999999997898</v>
      </c>
      <c r="P2365" s="169" t="e">
        <f t="shared" si="71"/>
        <v>#NAME?</v>
      </c>
      <c r="Q2365" s="177">
        <v>488.10999999997898</v>
      </c>
    </row>
    <row r="2366" spans="15:17">
      <c r="O2366" s="166">
        <v>488.11999999997897</v>
      </c>
      <c r="P2366" s="169" t="e">
        <f t="shared" si="71"/>
        <v>#NAME?</v>
      </c>
      <c r="Q2366" s="177">
        <v>488.11999999997897</v>
      </c>
    </row>
    <row r="2367" spans="15:17">
      <c r="O2367" s="166">
        <v>488.12999999997902</v>
      </c>
      <c r="P2367" s="169" t="e">
        <f t="shared" si="71"/>
        <v>#NAME?</v>
      </c>
      <c r="Q2367" s="177">
        <v>488.12999999997902</v>
      </c>
    </row>
    <row r="2368" spans="15:17">
      <c r="O2368" s="166">
        <v>488.13999999997799</v>
      </c>
      <c r="P2368" s="169" t="e">
        <f t="shared" si="71"/>
        <v>#NAME?</v>
      </c>
      <c r="Q2368" s="177">
        <v>488.13999999997799</v>
      </c>
    </row>
    <row r="2369" spans="15:17">
      <c r="O2369" s="166">
        <v>488.14999999997798</v>
      </c>
      <c r="P2369" s="169" t="e">
        <f t="shared" si="71"/>
        <v>#NAME?</v>
      </c>
      <c r="Q2369" s="177">
        <v>488.14999999997798</v>
      </c>
    </row>
    <row r="2370" spans="15:17">
      <c r="O2370" s="166">
        <v>488.15999999997803</v>
      </c>
      <c r="P2370" s="169" t="e">
        <f t="shared" si="71"/>
        <v>#NAME?</v>
      </c>
      <c r="Q2370" s="177">
        <v>488.15999999997803</v>
      </c>
    </row>
    <row r="2371" spans="15:17">
      <c r="O2371" s="166">
        <v>488.16999999997802</v>
      </c>
      <c r="P2371" s="169" t="e">
        <f t="shared" si="71"/>
        <v>#NAME?</v>
      </c>
      <c r="Q2371" s="177">
        <v>488.16999999997802</v>
      </c>
    </row>
    <row r="2372" spans="15:17">
      <c r="O2372" s="166">
        <v>488.17999999997897</v>
      </c>
      <c r="P2372" s="169" t="e">
        <f t="shared" ref="P2372:P2435" si="72">VLOOKUP(O2372,THONGSOHO_BTS,2,1)+(VLOOKUP(O2372+5,THONGSOHO_BTS,2,1)-VLOOKUP(O2372,THONGSOHO_BTS,2,1))/5*(O2372-VLOOKUP(O2372,THONGSOHO_BTS,1,1))-264.29</f>
        <v>#NAME?</v>
      </c>
      <c r="Q2372" s="177">
        <v>488.17999999997897</v>
      </c>
    </row>
    <row r="2373" spans="15:17">
      <c r="O2373" s="166">
        <v>488.18999999997902</v>
      </c>
      <c r="P2373" s="169" t="e">
        <f t="shared" si="72"/>
        <v>#NAME?</v>
      </c>
      <c r="Q2373" s="177">
        <v>488.18999999997902</v>
      </c>
    </row>
    <row r="2374" spans="15:17">
      <c r="O2374" s="166">
        <v>488.19999999997799</v>
      </c>
      <c r="P2374" s="169" t="e">
        <f t="shared" si="72"/>
        <v>#NAME?</v>
      </c>
      <c r="Q2374" s="177">
        <v>488.19999999997799</v>
      </c>
    </row>
    <row r="2375" spans="15:17">
      <c r="O2375" s="166">
        <v>488.20999999997798</v>
      </c>
      <c r="P2375" s="169" t="e">
        <f t="shared" si="72"/>
        <v>#NAME?</v>
      </c>
      <c r="Q2375" s="177">
        <v>488.20999999997798</v>
      </c>
    </row>
    <row r="2376" spans="15:17">
      <c r="O2376" s="166">
        <v>488.21999999997797</v>
      </c>
      <c r="P2376" s="169" t="e">
        <f t="shared" si="72"/>
        <v>#NAME?</v>
      </c>
      <c r="Q2376" s="177">
        <v>488.21999999997797</v>
      </c>
    </row>
    <row r="2377" spans="15:17">
      <c r="O2377" s="166">
        <v>488.22999999997802</v>
      </c>
      <c r="P2377" s="169" t="e">
        <f t="shared" si="72"/>
        <v>#NAME?</v>
      </c>
      <c r="Q2377" s="177">
        <v>488.22999999997802</v>
      </c>
    </row>
    <row r="2378" spans="15:17">
      <c r="O2378" s="166">
        <v>488.23999999997801</v>
      </c>
      <c r="P2378" s="169" t="e">
        <f t="shared" si="72"/>
        <v>#NAME?</v>
      </c>
      <c r="Q2378" s="177">
        <v>488.23999999997801</v>
      </c>
    </row>
    <row r="2379" spans="15:17">
      <c r="O2379" s="166">
        <v>488.249999999978</v>
      </c>
      <c r="P2379" s="169" t="e">
        <f t="shared" si="72"/>
        <v>#NAME?</v>
      </c>
      <c r="Q2379" s="177">
        <v>488.249999999978</v>
      </c>
    </row>
    <row r="2380" spans="15:17">
      <c r="O2380" s="166">
        <v>488.25999999997799</v>
      </c>
      <c r="P2380" s="169" t="e">
        <f t="shared" si="72"/>
        <v>#NAME?</v>
      </c>
      <c r="Q2380" s="177">
        <v>488.25999999997799</v>
      </c>
    </row>
    <row r="2381" spans="15:17">
      <c r="O2381" s="166">
        <v>488.26999999997798</v>
      </c>
      <c r="P2381" s="169" t="e">
        <f t="shared" si="72"/>
        <v>#NAME?</v>
      </c>
      <c r="Q2381" s="177">
        <v>488.26999999997798</v>
      </c>
    </row>
    <row r="2382" spans="15:17">
      <c r="O2382" s="166">
        <v>488.27999999997797</v>
      </c>
      <c r="P2382" s="169" t="e">
        <f t="shared" si="72"/>
        <v>#NAME?</v>
      </c>
      <c r="Q2382" s="177">
        <v>488.27999999997797</v>
      </c>
    </row>
    <row r="2383" spans="15:17">
      <c r="O2383" s="166">
        <v>488.28999999997802</v>
      </c>
      <c r="P2383" s="169" t="e">
        <f t="shared" si="72"/>
        <v>#NAME?</v>
      </c>
      <c r="Q2383" s="177">
        <v>488.28999999997802</v>
      </c>
    </row>
    <row r="2384" spans="15:17">
      <c r="O2384" s="166">
        <v>488.29999999997801</v>
      </c>
      <c r="P2384" s="169" t="e">
        <f t="shared" si="72"/>
        <v>#NAME?</v>
      </c>
      <c r="Q2384" s="177">
        <v>488.29999999997801</v>
      </c>
    </row>
    <row r="2385" spans="15:17">
      <c r="O2385" s="166">
        <v>488.309999999978</v>
      </c>
      <c r="P2385" s="169" t="e">
        <f t="shared" si="72"/>
        <v>#NAME?</v>
      </c>
      <c r="Q2385" s="177">
        <v>488.309999999978</v>
      </c>
    </row>
    <row r="2386" spans="15:17">
      <c r="O2386" s="166">
        <v>488.31999999997799</v>
      </c>
      <c r="P2386" s="169" t="e">
        <f t="shared" si="72"/>
        <v>#NAME?</v>
      </c>
      <c r="Q2386" s="177">
        <v>488.31999999997799</v>
      </c>
    </row>
    <row r="2387" spans="15:17">
      <c r="O2387" s="166">
        <v>488.32999999997799</v>
      </c>
      <c r="P2387" s="169" t="e">
        <f t="shared" si="72"/>
        <v>#NAME?</v>
      </c>
      <c r="Q2387" s="177">
        <v>488.32999999997799</v>
      </c>
    </row>
    <row r="2388" spans="15:17">
      <c r="O2388" s="166">
        <v>488.33999999997798</v>
      </c>
      <c r="P2388" s="169" t="e">
        <f t="shared" si="72"/>
        <v>#NAME?</v>
      </c>
      <c r="Q2388" s="177">
        <v>488.33999999997798</v>
      </c>
    </row>
    <row r="2389" spans="15:17">
      <c r="O2389" s="166">
        <v>488.34999999997802</v>
      </c>
      <c r="P2389" s="169" t="e">
        <f t="shared" si="72"/>
        <v>#NAME?</v>
      </c>
      <c r="Q2389" s="177">
        <v>488.34999999997802</v>
      </c>
    </row>
    <row r="2390" spans="15:17">
      <c r="O2390" s="166">
        <v>488.35999999997802</v>
      </c>
      <c r="P2390" s="169" t="e">
        <f t="shared" si="72"/>
        <v>#NAME?</v>
      </c>
      <c r="Q2390" s="177">
        <v>488.35999999997802</v>
      </c>
    </row>
    <row r="2391" spans="15:17">
      <c r="O2391" s="166">
        <v>488.36999999997801</v>
      </c>
      <c r="P2391" s="169" t="e">
        <f t="shared" si="72"/>
        <v>#NAME?</v>
      </c>
      <c r="Q2391" s="177">
        <v>488.36999999997801</v>
      </c>
    </row>
    <row r="2392" spans="15:17">
      <c r="O2392" s="166">
        <v>488.379999999978</v>
      </c>
      <c r="P2392" s="169" t="e">
        <f t="shared" si="72"/>
        <v>#NAME?</v>
      </c>
      <c r="Q2392" s="177">
        <v>488.379999999978</v>
      </c>
    </row>
    <row r="2393" spans="15:17">
      <c r="O2393" s="166">
        <v>488.38999999997799</v>
      </c>
      <c r="P2393" s="169" t="e">
        <f t="shared" si="72"/>
        <v>#NAME?</v>
      </c>
      <c r="Q2393" s="177">
        <v>488.38999999997799</v>
      </c>
    </row>
    <row r="2394" spans="15:17">
      <c r="O2394" s="166">
        <v>488.39999999997798</v>
      </c>
      <c r="P2394" s="169" t="e">
        <f t="shared" si="72"/>
        <v>#NAME?</v>
      </c>
      <c r="Q2394" s="177">
        <v>488.39999999997798</v>
      </c>
    </row>
    <row r="2395" spans="15:17">
      <c r="O2395" s="166">
        <v>488.40999999997803</v>
      </c>
      <c r="P2395" s="169" t="e">
        <f t="shared" si="72"/>
        <v>#NAME?</v>
      </c>
      <c r="Q2395" s="177">
        <v>488.40999999997803</v>
      </c>
    </row>
    <row r="2396" spans="15:17">
      <c r="O2396" s="166">
        <v>488.41999999997802</v>
      </c>
      <c r="P2396" s="169" t="e">
        <f t="shared" si="72"/>
        <v>#NAME?</v>
      </c>
      <c r="Q2396" s="177">
        <v>488.41999999997802</v>
      </c>
    </row>
    <row r="2397" spans="15:17">
      <c r="O2397" s="166">
        <v>488.42999999997801</v>
      </c>
      <c r="P2397" s="169" t="e">
        <f t="shared" si="72"/>
        <v>#NAME?</v>
      </c>
      <c r="Q2397" s="177">
        <v>488.42999999997801</v>
      </c>
    </row>
    <row r="2398" spans="15:17">
      <c r="O2398" s="166">
        <v>488.439999999978</v>
      </c>
      <c r="P2398" s="169" t="e">
        <f t="shared" si="72"/>
        <v>#NAME?</v>
      </c>
      <c r="Q2398" s="177">
        <v>488.439999999978</v>
      </c>
    </row>
    <row r="2399" spans="15:17">
      <c r="O2399" s="166">
        <v>488.44999999997799</v>
      </c>
      <c r="P2399" s="169" t="e">
        <f t="shared" si="72"/>
        <v>#NAME?</v>
      </c>
      <c r="Q2399" s="177">
        <v>488.44999999997799</v>
      </c>
    </row>
    <row r="2400" spans="15:17">
      <c r="O2400" s="166">
        <v>488.45999999997798</v>
      </c>
      <c r="P2400" s="169" t="e">
        <f t="shared" si="72"/>
        <v>#NAME?</v>
      </c>
      <c r="Q2400" s="177">
        <v>488.45999999997798</v>
      </c>
    </row>
    <row r="2401" spans="15:17">
      <c r="O2401" s="166">
        <v>488.46999999997797</v>
      </c>
      <c r="P2401" s="169" t="e">
        <f t="shared" si="72"/>
        <v>#NAME?</v>
      </c>
      <c r="Q2401" s="177">
        <v>488.46999999997797</v>
      </c>
    </row>
    <row r="2402" spans="15:17">
      <c r="O2402" s="166">
        <v>488.47999999997802</v>
      </c>
      <c r="P2402" s="169" t="e">
        <f t="shared" si="72"/>
        <v>#NAME?</v>
      </c>
      <c r="Q2402" s="177">
        <v>488.47999999997802</v>
      </c>
    </row>
    <row r="2403" spans="15:17">
      <c r="O2403" s="166">
        <v>488.48999999997801</v>
      </c>
      <c r="P2403" s="169" t="e">
        <f t="shared" si="72"/>
        <v>#NAME?</v>
      </c>
      <c r="Q2403" s="177">
        <v>488.48999999997801</v>
      </c>
    </row>
    <row r="2404" spans="15:17">
      <c r="O2404" s="166">
        <v>488.499999999978</v>
      </c>
      <c r="P2404" s="169" t="e">
        <f t="shared" si="72"/>
        <v>#NAME?</v>
      </c>
      <c r="Q2404" s="177">
        <v>488.499999999978</v>
      </c>
    </row>
    <row r="2405" spans="15:17">
      <c r="O2405" s="166">
        <v>488.50999999997799</v>
      </c>
      <c r="P2405" s="169" t="e">
        <f t="shared" si="72"/>
        <v>#NAME?</v>
      </c>
      <c r="Q2405" s="177">
        <v>488.50999999997799</v>
      </c>
    </row>
    <row r="2406" spans="15:17">
      <c r="O2406" s="166">
        <v>488.51999999997798</v>
      </c>
      <c r="P2406" s="169" t="e">
        <f t="shared" si="72"/>
        <v>#NAME?</v>
      </c>
      <c r="Q2406" s="177">
        <v>488.51999999997798</v>
      </c>
    </row>
    <row r="2407" spans="15:17">
      <c r="O2407" s="166">
        <v>488.52999999997797</v>
      </c>
      <c r="P2407" s="169" t="e">
        <f t="shared" si="72"/>
        <v>#NAME?</v>
      </c>
      <c r="Q2407" s="177">
        <v>488.52999999997797</v>
      </c>
    </row>
    <row r="2408" spans="15:17">
      <c r="O2408" s="166">
        <v>488.53999999997802</v>
      </c>
      <c r="P2408" s="169" t="e">
        <f t="shared" si="72"/>
        <v>#NAME?</v>
      </c>
      <c r="Q2408" s="177">
        <v>488.53999999997802</v>
      </c>
    </row>
    <row r="2409" spans="15:17">
      <c r="O2409" s="166">
        <v>488.54999999997801</v>
      </c>
      <c r="P2409" s="169" t="e">
        <f t="shared" si="72"/>
        <v>#NAME?</v>
      </c>
      <c r="Q2409" s="177">
        <v>488.54999999997801</v>
      </c>
    </row>
    <row r="2410" spans="15:17">
      <c r="O2410" s="166">
        <v>488.559999999978</v>
      </c>
      <c r="P2410" s="169" t="e">
        <f t="shared" si="72"/>
        <v>#NAME?</v>
      </c>
      <c r="Q2410" s="177">
        <v>488.559999999978</v>
      </c>
    </row>
    <row r="2411" spans="15:17">
      <c r="O2411" s="166">
        <v>488.56999999997799</v>
      </c>
      <c r="P2411" s="169" t="e">
        <f t="shared" si="72"/>
        <v>#NAME?</v>
      </c>
      <c r="Q2411" s="177">
        <v>488.56999999997799</v>
      </c>
    </row>
    <row r="2412" spans="15:17">
      <c r="O2412" s="166">
        <v>488.57999999997799</v>
      </c>
      <c r="P2412" s="169" t="e">
        <f t="shared" si="72"/>
        <v>#NAME?</v>
      </c>
      <c r="Q2412" s="177">
        <v>488.57999999997799</v>
      </c>
    </row>
    <row r="2413" spans="15:17">
      <c r="O2413" s="166">
        <v>488.58999999997798</v>
      </c>
      <c r="P2413" s="169" t="e">
        <f t="shared" si="72"/>
        <v>#NAME?</v>
      </c>
      <c r="Q2413" s="177">
        <v>488.58999999997798</v>
      </c>
    </row>
    <row r="2414" spans="15:17">
      <c r="O2414" s="166">
        <v>488.59999999997802</v>
      </c>
      <c r="P2414" s="169" t="e">
        <f t="shared" si="72"/>
        <v>#NAME?</v>
      </c>
      <c r="Q2414" s="177">
        <v>488.59999999997802</v>
      </c>
    </row>
    <row r="2415" spans="15:17">
      <c r="O2415" s="166">
        <v>488.60999999997802</v>
      </c>
      <c r="P2415" s="169" t="e">
        <f t="shared" si="72"/>
        <v>#NAME?</v>
      </c>
      <c r="Q2415" s="177">
        <v>488.60999999997802</v>
      </c>
    </row>
    <row r="2416" spans="15:17">
      <c r="O2416" s="166">
        <v>488.61999999997801</v>
      </c>
      <c r="P2416" s="169" t="e">
        <f t="shared" si="72"/>
        <v>#NAME?</v>
      </c>
      <c r="Q2416" s="177">
        <v>488.61999999997801</v>
      </c>
    </row>
    <row r="2417" spans="15:17">
      <c r="O2417" s="166">
        <v>488.629999999978</v>
      </c>
      <c r="P2417" s="169" t="e">
        <f t="shared" si="72"/>
        <v>#NAME?</v>
      </c>
      <c r="Q2417" s="177">
        <v>488.629999999978</v>
      </c>
    </row>
    <row r="2418" spans="15:17">
      <c r="O2418" s="166">
        <v>488.63999999997799</v>
      </c>
      <c r="P2418" s="169" t="e">
        <f t="shared" si="72"/>
        <v>#NAME?</v>
      </c>
      <c r="Q2418" s="177">
        <v>488.63999999997799</v>
      </c>
    </row>
    <row r="2419" spans="15:17">
      <c r="O2419" s="166">
        <v>488.64999999997798</v>
      </c>
      <c r="P2419" s="169" t="e">
        <f t="shared" si="72"/>
        <v>#NAME?</v>
      </c>
      <c r="Q2419" s="177">
        <v>488.64999999997798</v>
      </c>
    </row>
    <row r="2420" spans="15:17">
      <c r="O2420" s="166">
        <v>488.65999999997803</v>
      </c>
      <c r="P2420" s="169" t="e">
        <f t="shared" si="72"/>
        <v>#NAME?</v>
      </c>
      <c r="Q2420" s="177">
        <v>488.65999999997803</v>
      </c>
    </row>
    <row r="2421" spans="15:17">
      <c r="O2421" s="166">
        <v>488.66999999997802</v>
      </c>
      <c r="P2421" s="169" t="e">
        <f t="shared" si="72"/>
        <v>#NAME?</v>
      </c>
      <c r="Q2421" s="177">
        <v>488.66999999997802</v>
      </c>
    </row>
    <row r="2422" spans="15:17">
      <c r="O2422" s="166">
        <v>488.67999999997801</v>
      </c>
      <c r="P2422" s="169" t="e">
        <f t="shared" si="72"/>
        <v>#NAME?</v>
      </c>
      <c r="Q2422" s="177">
        <v>488.67999999997801</v>
      </c>
    </row>
    <row r="2423" spans="15:17">
      <c r="O2423" s="166">
        <v>488.689999999978</v>
      </c>
      <c r="P2423" s="169" t="e">
        <f t="shared" si="72"/>
        <v>#NAME?</v>
      </c>
      <c r="Q2423" s="177">
        <v>488.689999999978</v>
      </c>
    </row>
    <row r="2424" spans="15:17">
      <c r="O2424" s="166">
        <v>488.69999999997799</v>
      </c>
      <c r="P2424" s="169" t="e">
        <f t="shared" si="72"/>
        <v>#NAME?</v>
      </c>
      <c r="Q2424" s="177">
        <v>488.69999999997799</v>
      </c>
    </row>
    <row r="2425" spans="15:17">
      <c r="O2425" s="166">
        <v>488.70999999997798</v>
      </c>
      <c r="P2425" s="169" t="e">
        <f t="shared" si="72"/>
        <v>#NAME?</v>
      </c>
      <c r="Q2425" s="177">
        <v>488.70999999997798</v>
      </c>
    </row>
    <row r="2426" spans="15:17">
      <c r="O2426" s="166">
        <v>488.71999999997797</v>
      </c>
      <c r="P2426" s="169" t="e">
        <f t="shared" si="72"/>
        <v>#NAME?</v>
      </c>
      <c r="Q2426" s="177">
        <v>488.71999999997797</v>
      </c>
    </row>
    <row r="2427" spans="15:17">
      <c r="O2427" s="166">
        <v>488.72999999997802</v>
      </c>
      <c r="P2427" s="169" t="e">
        <f t="shared" si="72"/>
        <v>#NAME?</v>
      </c>
      <c r="Q2427" s="177">
        <v>488.72999999997802</v>
      </c>
    </row>
    <row r="2428" spans="15:17">
      <c r="O2428" s="166">
        <v>488.73999999997801</v>
      </c>
      <c r="P2428" s="169" t="e">
        <f t="shared" si="72"/>
        <v>#NAME?</v>
      </c>
      <c r="Q2428" s="177">
        <v>488.73999999997801</v>
      </c>
    </row>
    <row r="2429" spans="15:17">
      <c r="O2429" s="166">
        <v>488.749999999978</v>
      </c>
      <c r="P2429" s="169" t="e">
        <f t="shared" si="72"/>
        <v>#NAME?</v>
      </c>
      <c r="Q2429" s="177">
        <v>488.749999999978</v>
      </c>
    </row>
    <row r="2430" spans="15:17">
      <c r="O2430" s="166">
        <v>488.75999999997799</v>
      </c>
      <c r="P2430" s="169" t="e">
        <f t="shared" si="72"/>
        <v>#NAME?</v>
      </c>
      <c r="Q2430" s="177">
        <v>488.75999999997799</v>
      </c>
    </row>
    <row r="2431" spans="15:17">
      <c r="O2431" s="166">
        <v>488.76999999997798</v>
      </c>
      <c r="P2431" s="169" t="e">
        <f t="shared" si="72"/>
        <v>#NAME?</v>
      </c>
      <c r="Q2431" s="177">
        <v>488.76999999997798</v>
      </c>
    </row>
    <row r="2432" spans="15:17">
      <c r="O2432" s="166">
        <v>488.77999999997797</v>
      </c>
      <c r="P2432" s="169" t="e">
        <f t="shared" si="72"/>
        <v>#NAME?</v>
      </c>
      <c r="Q2432" s="177">
        <v>488.77999999997797</v>
      </c>
    </row>
    <row r="2433" spans="15:17">
      <c r="O2433" s="166">
        <v>488.78999999997802</v>
      </c>
      <c r="P2433" s="169" t="e">
        <f t="shared" si="72"/>
        <v>#NAME?</v>
      </c>
      <c r="Q2433" s="177">
        <v>488.78999999997802</v>
      </c>
    </row>
    <row r="2434" spans="15:17">
      <c r="O2434" s="166">
        <v>488.79999999997801</v>
      </c>
      <c r="P2434" s="169" t="e">
        <f t="shared" si="72"/>
        <v>#NAME?</v>
      </c>
      <c r="Q2434" s="177">
        <v>488.79999999997801</v>
      </c>
    </row>
    <row r="2435" spans="15:17">
      <c r="O2435" s="166">
        <v>488.809999999978</v>
      </c>
      <c r="P2435" s="169" t="e">
        <f t="shared" si="72"/>
        <v>#NAME?</v>
      </c>
      <c r="Q2435" s="177">
        <v>488.809999999978</v>
      </c>
    </row>
    <row r="2436" spans="15:17">
      <c r="O2436" s="166">
        <v>488.81999999997799</v>
      </c>
      <c r="P2436" s="169" t="e">
        <f t="shared" ref="P2436:P2499" si="73">VLOOKUP(O2436,THONGSOHO_BTS,2,1)+(VLOOKUP(O2436+5,THONGSOHO_BTS,2,1)-VLOOKUP(O2436,THONGSOHO_BTS,2,1))/5*(O2436-VLOOKUP(O2436,THONGSOHO_BTS,1,1))-264.29</f>
        <v>#NAME?</v>
      </c>
      <c r="Q2436" s="177">
        <v>488.81999999997799</v>
      </c>
    </row>
    <row r="2437" spans="15:17">
      <c r="O2437" s="166">
        <v>488.82999999997799</v>
      </c>
      <c r="P2437" s="169" t="e">
        <f t="shared" si="73"/>
        <v>#NAME?</v>
      </c>
      <c r="Q2437" s="177">
        <v>488.82999999997799</v>
      </c>
    </row>
    <row r="2438" spans="15:17">
      <c r="O2438" s="166">
        <v>488.83999999997798</v>
      </c>
      <c r="P2438" s="169" t="e">
        <f t="shared" si="73"/>
        <v>#NAME?</v>
      </c>
      <c r="Q2438" s="177">
        <v>488.83999999997798</v>
      </c>
    </row>
    <row r="2439" spans="15:17">
      <c r="O2439" s="166">
        <v>488.84999999997802</v>
      </c>
      <c r="P2439" s="169" t="e">
        <f t="shared" si="73"/>
        <v>#NAME?</v>
      </c>
      <c r="Q2439" s="177">
        <v>488.84999999997802</v>
      </c>
    </row>
    <row r="2440" spans="15:17">
      <c r="O2440" s="166">
        <v>488.85999999997802</v>
      </c>
      <c r="P2440" s="169" t="e">
        <f t="shared" si="73"/>
        <v>#NAME?</v>
      </c>
      <c r="Q2440" s="177">
        <v>488.85999999997802</v>
      </c>
    </row>
    <row r="2441" spans="15:17">
      <c r="O2441" s="166">
        <v>488.86999999997801</v>
      </c>
      <c r="P2441" s="169" t="e">
        <f t="shared" si="73"/>
        <v>#NAME?</v>
      </c>
      <c r="Q2441" s="177">
        <v>488.86999999997801</v>
      </c>
    </row>
    <row r="2442" spans="15:17">
      <c r="O2442" s="166">
        <v>488.879999999978</v>
      </c>
      <c r="P2442" s="169" t="e">
        <f t="shared" si="73"/>
        <v>#NAME?</v>
      </c>
      <c r="Q2442" s="177">
        <v>488.879999999978</v>
      </c>
    </row>
    <row r="2443" spans="15:17">
      <c r="O2443" s="166">
        <v>488.88999999997799</v>
      </c>
      <c r="P2443" s="169" t="e">
        <f t="shared" si="73"/>
        <v>#NAME?</v>
      </c>
      <c r="Q2443" s="177">
        <v>488.88999999997799</v>
      </c>
    </row>
    <row r="2444" spans="15:17">
      <c r="O2444" s="166">
        <v>488.89999999997798</v>
      </c>
      <c r="P2444" s="169" t="e">
        <f t="shared" si="73"/>
        <v>#NAME?</v>
      </c>
      <c r="Q2444" s="177">
        <v>488.89999999997798</v>
      </c>
    </row>
    <row r="2445" spans="15:17">
      <c r="O2445" s="166">
        <v>488.90999999997803</v>
      </c>
      <c r="P2445" s="169" t="e">
        <f t="shared" si="73"/>
        <v>#NAME?</v>
      </c>
      <c r="Q2445" s="177">
        <v>488.90999999997803</v>
      </c>
    </row>
    <row r="2446" spans="15:17">
      <c r="O2446" s="166">
        <v>488.91999999997802</v>
      </c>
      <c r="P2446" s="169" t="e">
        <f t="shared" si="73"/>
        <v>#NAME?</v>
      </c>
      <c r="Q2446" s="177">
        <v>488.91999999997802</v>
      </c>
    </row>
    <row r="2447" spans="15:17">
      <c r="O2447" s="166">
        <v>488.92999999997801</v>
      </c>
      <c r="P2447" s="169" t="e">
        <f t="shared" si="73"/>
        <v>#NAME?</v>
      </c>
      <c r="Q2447" s="177">
        <v>488.92999999997801</v>
      </c>
    </row>
    <row r="2448" spans="15:17">
      <c r="O2448" s="166">
        <v>488.939999999978</v>
      </c>
      <c r="P2448" s="169" t="e">
        <f t="shared" si="73"/>
        <v>#NAME?</v>
      </c>
      <c r="Q2448" s="177">
        <v>488.939999999978</v>
      </c>
    </row>
    <row r="2449" spans="15:17">
      <c r="O2449" s="166">
        <v>488.94999999997799</v>
      </c>
      <c r="P2449" s="169" t="e">
        <f t="shared" si="73"/>
        <v>#NAME?</v>
      </c>
      <c r="Q2449" s="177">
        <v>488.94999999997799</v>
      </c>
    </row>
    <row r="2450" spans="15:17">
      <c r="O2450" s="166">
        <v>488.95999999997798</v>
      </c>
      <c r="P2450" s="169" t="e">
        <f t="shared" si="73"/>
        <v>#NAME?</v>
      </c>
      <c r="Q2450" s="177">
        <v>488.95999999997798</v>
      </c>
    </row>
    <row r="2451" spans="15:17">
      <c r="O2451" s="166">
        <v>488.96999999997797</v>
      </c>
      <c r="P2451" s="169" t="e">
        <f t="shared" si="73"/>
        <v>#NAME?</v>
      </c>
      <c r="Q2451" s="177">
        <v>488.96999999997797</v>
      </c>
    </row>
    <row r="2452" spans="15:17">
      <c r="O2452" s="166">
        <v>488.97999999997802</v>
      </c>
      <c r="P2452" s="169" t="e">
        <f t="shared" si="73"/>
        <v>#NAME?</v>
      </c>
      <c r="Q2452" s="177">
        <v>488.97999999997802</v>
      </c>
    </row>
    <row r="2453" spans="15:17">
      <c r="O2453" s="166">
        <v>488.98999999997801</v>
      </c>
      <c r="P2453" s="169" t="e">
        <f t="shared" si="73"/>
        <v>#NAME?</v>
      </c>
      <c r="Q2453" s="177">
        <v>488.98999999997801</v>
      </c>
    </row>
    <row r="2454" spans="15:17">
      <c r="O2454" s="166">
        <v>488.999999999978</v>
      </c>
      <c r="P2454" s="169" t="e">
        <f t="shared" si="73"/>
        <v>#NAME?</v>
      </c>
      <c r="Q2454" s="177">
        <v>488.999999999978</v>
      </c>
    </row>
    <row r="2455" spans="15:17">
      <c r="O2455" s="166">
        <v>489.00999999997799</v>
      </c>
      <c r="P2455" s="169" t="e">
        <f t="shared" si="73"/>
        <v>#NAME?</v>
      </c>
      <c r="Q2455" s="177">
        <v>489.00999999997799</v>
      </c>
    </row>
    <row r="2456" spans="15:17">
      <c r="O2456" s="166">
        <v>489.01999999997798</v>
      </c>
      <c r="P2456" s="169" t="e">
        <f t="shared" si="73"/>
        <v>#NAME?</v>
      </c>
      <c r="Q2456" s="177">
        <v>489.01999999997798</v>
      </c>
    </row>
    <row r="2457" spans="15:17">
      <c r="O2457" s="166">
        <v>489.02999999997797</v>
      </c>
      <c r="P2457" s="169" t="e">
        <f t="shared" si="73"/>
        <v>#NAME?</v>
      </c>
      <c r="Q2457" s="177">
        <v>489.02999999997797</v>
      </c>
    </row>
    <row r="2458" spans="15:17">
      <c r="O2458" s="166">
        <v>489.03999999997802</v>
      </c>
      <c r="P2458" s="169" t="e">
        <f t="shared" si="73"/>
        <v>#NAME?</v>
      </c>
      <c r="Q2458" s="177">
        <v>489.03999999997802</v>
      </c>
    </row>
    <row r="2459" spans="15:17">
      <c r="O2459" s="166">
        <v>489.04999999997801</v>
      </c>
      <c r="P2459" s="169" t="e">
        <f t="shared" si="73"/>
        <v>#NAME?</v>
      </c>
      <c r="Q2459" s="177">
        <v>489.04999999997801</v>
      </c>
    </row>
    <row r="2460" spans="15:17">
      <c r="O2460" s="166">
        <v>489.059999999978</v>
      </c>
      <c r="P2460" s="169" t="e">
        <f t="shared" si="73"/>
        <v>#NAME?</v>
      </c>
      <c r="Q2460" s="177">
        <v>489.059999999978</v>
      </c>
    </row>
    <row r="2461" spans="15:17">
      <c r="O2461" s="166">
        <v>489.06999999997799</v>
      </c>
      <c r="P2461" s="169" t="e">
        <f t="shared" si="73"/>
        <v>#NAME?</v>
      </c>
      <c r="Q2461" s="177">
        <v>489.06999999997799</v>
      </c>
    </row>
    <row r="2462" spans="15:17">
      <c r="O2462" s="166">
        <v>489.07999999997799</v>
      </c>
      <c r="P2462" s="169" t="e">
        <f t="shared" si="73"/>
        <v>#NAME?</v>
      </c>
      <c r="Q2462" s="177">
        <v>489.07999999997799</v>
      </c>
    </row>
    <row r="2463" spans="15:17">
      <c r="O2463" s="166">
        <v>489.08999999997798</v>
      </c>
      <c r="P2463" s="169" t="e">
        <f t="shared" si="73"/>
        <v>#NAME?</v>
      </c>
      <c r="Q2463" s="177">
        <v>489.08999999997798</v>
      </c>
    </row>
    <row r="2464" spans="15:17">
      <c r="O2464" s="166">
        <v>489.09999999997802</v>
      </c>
      <c r="P2464" s="169" t="e">
        <f t="shared" si="73"/>
        <v>#NAME?</v>
      </c>
      <c r="Q2464" s="177">
        <v>489.09999999997802</v>
      </c>
    </row>
    <row r="2465" spans="15:17">
      <c r="O2465" s="166">
        <v>489.10999999997802</v>
      </c>
      <c r="P2465" s="169" t="e">
        <f t="shared" si="73"/>
        <v>#NAME?</v>
      </c>
      <c r="Q2465" s="177">
        <v>489.10999999997802</v>
      </c>
    </row>
    <row r="2466" spans="15:17">
      <c r="O2466" s="166">
        <v>489.11999999997801</v>
      </c>
      <c r="P2466" s="169" t="e">
        <f t="shared" si="73"/>
        <v>#NAME?</v>
      </c>
      <c r="Q2466" s="177">
        <v>489.11999999997801</v>
      </c>
    </row>
    <row r="2467" spans="15:17">
      <c r="O2467" s="166">
        <v>489.129999999978</v>
      </c>
      <c r="P2467" s="169" t="e">
        <f t="shared" si="73"/>
        <v>#NAME?</v>
      </c>
      <c r="Q2467" s="177">
        <v>489.129999999978</v>
      </c>
    </row>
    <row r="2468" spans="15:17">
      <c r="O2468" s="166">
        <v>489.13999999997799</v>
      </c>
      <c r="P2468" s="169" t="e">
        <f t="shared" si="73"/>
        <v>#NAME?</v>
      </c>
      <c r="Q2468" s="177">
        <v>489.13999999997799</v>
      </c>
    </row>
    <row r="2469" spans="15:17">
      <c r="O2469" s="166">
        <v>489.14999999997798</v>
      </c>
      <c r="P2469" s="169" t="e">
        <f t="shared" si="73"/>
        <v>#NAME?</v>
      </c>
      <c r="Q2469" s="177">
        <v>489.14999999997798</v>
      </c>
    </row>
    <row r="2470" spans="15:17">
      <c r="O2470" s="166">
        <v>489.15999999997803</v>
      </c>
      <c r="P2470" s="169" t="e">
        <f t="shared" si="73"/>
        <v>#NAME?</v>
      </c>
      <c r="Q2470" s="177">
        <v>489.15999999997803</v>
      </c>
    </row>
    <row r="2471" spans="15:17">
      <c r="O2471" s="166">
        <v>489.16999999997802</v>
      </c>
      <c r="P2471" s="169" t="e">
        <f t="shared" si="73"/>
        <v>#NAME?</v>
      </c>
      <c r="Q2471" s="177">
        <v>489.16999999997802</v>
      </c>
    </row>
    <row r="2472" spans="15:17">
      <c r="O2472" s="166">
        <v>489.17999999997801</v>
      </c>
      <c r="P2472" s="169" t="e">
        <f t="shared" si="73"/>
        <v>#NAME?</v>
      </c>
      <c r="Q2472" s="177">
        <v>489.17999999997801</v>
      </c>
    </row>
    <row r="2473" spans="15:17">
      <c r="O2473" s="166">
        <v>489.18999999997698</v>
      </c>
      <c r="P2473" s="169" t="e">
        <f t="shared" si="73"/>
        <v>#NAME?</v>
      </c>
      <c r="Q2473" s="177">
        <v>489.18999999997698</v>
      </c>
    </row>
    <row r="2474" spans="15:17">
      <c r="O2474" s="166">
        <v>489.19999999997702</v>
      </c>
      <c r="P2474" s="169" t="e">
        <f t="shared" si="73"/>
        <v>#NAME?</v>
      </c>
      <c r="Q2474" s="177">
        <v>489.19999999997702</v>
      </c>
    </row>
    <row r="2475" spans="15:17">
      <c r="O2475" s="166">
        <v>489.20999999997798</v>
      </c>
      <c r="P2475" s="169" t="e">
        <f t="shared" si="73"/>
        <v>#NAME?</v>
      </c>
      <c r="Q2475" s="177">
        <v>489.20999999997798</v>
      </c>
    </row>
    <row r="2476" spans="15:17">
      <c r="O2476" s="166">
        <v>489.21999999997797</v>
      </c>
      <c r="P2476" s="169" t="e">
        <f t="shared" si="73"/>
        <v>#NAME?</v>
      </c>
      <c r="Q2476" s="177">
        <v>489.21999999997797</v>
      </c>
    </row>
    <row r="2477" spans="15:17">
      <c r="O2477" s="166">
        <v>489.22999999997802</v>
      </c>
      <c r="P2477" s="169" t="e">
        <f t="shared" si="73"/>
        <v>#NAME?</v>
      </c>
      <c r="Q2477" s="177">
        <v>489.22999999997802</v>
      </c>
    </row>
    <row r="2478" spans="15:17">
      <c r="O2478" s="166">
        <v>489.23999999997699</v>
      </c>
      <c r="P2478" s="169" t="e">
        <f t="shared" si="73"/>
        <v>#NAME?</v>
      </c>
      <c r="Q2478" s="177">
        <v>489.23999999997699</v>
      </c>
    </row>
    <row r="2479" spans="15:17">
      <c r="O2479" s="166">
        <v>489.24999999997698</v>
      </c>
      <c r="P2479" s="169" t="e">
        <f t="shared" si="73"/>
        <v>#NAME?</v>
      </c>
      <c r="Q2479" s="177">
        <v>489.24999999997698</v>
      </c>
    </row>
    <row r="2480" spans="15:17">
      <c r="O2480" s="166">
        <v>489.25999999997703</v>
      </c>
      <c r="P2480" s="169" t="e">
        <f t="shared" si="73"/>
        <v>#NAME?</v>
      </c>
      <c r="Q2480" s="177">
        <v>489.25999999997703</v>
      </c>
    </row>
    <row r="2481" spans="15:17">
      <c r="O2481" s="166">
        <v>489.26999999997702</v>
      </c>
      <c r="P2481" s="169" t="e">
        <f t="shared" si="73"/>
        <v>#NAME?</v>
      </c>
      <c r="Q2481" s="177">
        <v>489.26999999997702</v>
      </c>
    </row>
    <row r="2482" spans="15:17">
      <c r="O2482" s="166">
        <v>489.27999999997797</v>
      </c>
      <c r="P2482" s="169" t="e">
        <f t="shared" si="73"/>
        <v>#NAME?</v>
      </c>
      <c r="Q2482" s="177">
        <v>489.27999999997797</v>
      </c>
    </row>
    <row r="2483" spans="15:17">
      <c r="O2483" s="166">
        <v>489.28999999997802</v>
      </c>
      <c r="P2483" s="169" t="e">
        <f t="shared" si="73"/>
        <v>#NAME?</v>
      </c>
      <c r="Q2483" s="177">
        <v>489.28999999997802</v>
      </c>
    </row>
    <row r="2484" spans="15:17">
      <c r="O2484" s="166">
        <v>489.29999999997699</v>
      </c>
      <c r="P2484" s="169" t="e">
        <f t="shared" si="73"/>
        <v>#NAME?</v>
      </c>
      <c r="Q2484" s="177">
        <v>489.29999999997699</v>
      </c>
    </row>
    <row r="2485" spans="15:17">
      <c r="O2485" s="166">
        <v>489.30999999997698</v>
      </c>
      <c r="P2485" s="169" t="e">
        <f t="shared" si="73"/>
        <v>#NAME?</v>
      </c>
      <c r="Q2485" s="177">
        <v>489.30999999997698</v>
      </c>
    </row>
    <row r="2486" spans="15:17">
      <c r="O2486" s="166">
        <v>489.31999999997697</v>
      </c>
      <c r="P2486" s="169" t="e">
        <f t="shared" si="73"/>
        <v>#NAME?</v>
      </c>
      <c r="Q2486" s="177">
        <v>489.31999999997697</v>
      </c>
    </row>
    <row r="2487" spans="15:17">
      <c r="O2487" s="166">
        <v>489.32999999997702</v>
      </c>
      <c r="P2487" s="169" t="e">
        <f t="shared" si="73"/>
        <v>#NAME?</v>
      </c>
      <c r="Q2487" s="177">
        <v>489.32999999997702</v>
      </c>
    </row>
    <row r="2488" spans="15:17">
      <c r="O2488" s="166">
        <v>489.33999999997701</v>
      </c>
      <c r="P2488" s="169" t="e">
        <f t="shared" si="73"/>
        <v>#NAME?</v>
      </c>
      <c r="Q2488" s="177">
        <v>489.33999999997701</v>
      </c>
    </row>
    <row r="2489" spans="15:17">
      <c r="O2489" s="166">
        <v>489.349999999977</v>
      </c>
      <c r="P2489" s="169" t="e">
        <f t="shared" si="73"/>
        <v>#NAME?</v>
      </c>
      <c r="Q2489" s="177">
        <v>489.349999999977</v>
      </c>
    </row>
    <row r="2490" spans="15:17">
      <c r="O2490" s="166">
        <v>489.35999999997699</v>
      </c>
      <c r="P2490" s="169" t="e">
        <f t="shared" si="73"/>
        <v>#NAME?</v>
      </c>
      <c r="Q2490" s="177">
        <v>489.35999999997699</v>
      </c>
    </row>
    <row r="2491" spans="15:17">
      <c r="O2491" s="166">
        <v>489.36999999997698</v>
      </c>
      <c r="P2491" s="169" t="e">
        <f t="shared" si="73"/>
        <v>#NAME?</v>
      </c>
      <c r="Q2491" s="177">
        <v>489.36999999997698</v>
      </c>
    </row>
    <row r="2492" spans="15:17">
      <c r="O2492" s="166">
        <v>489.37999999997697</v>
      </c>
      <c r="P2492" s="169" t="e">
        <f t="shared" si="73"/>
        <v>#NAME?</v>
      </c>
      <c r="Q2492" s="177">
        <v>489.37999999997697</v>
      </c>
    </row>
    <row r="2493" spans="15:17">
      <c r="O2493" s="166">
        <v>489.38999999997702</v>
      </c>
      <c r="P2493" s="169" t="e">
        <f t="shared" si="73"/>
        <v>#NAME?</v>
      </c>
      <c r="Q2493" s="177">
        <v>489.38999999997702</v>
      </c>
    </row>
    <row r="2494" spans="15:17">
      <c r="O2494" s="166">
        <v>489.39999999997701</v>
      </c>
      <c r="P2494" s="169" t="e">
        <f t="shared" si="73"/>
        <v>#NAME?</v>
      </c>
      <c r="Q2494" s="177">
        <v>489.39999999997701</v>
      </c>
    </row>
    <row r="2495" spans="15:17">
      <c r="O2495" s="166">
        <v>489.409999999977</v>
      </c>
      <c r="P2495" s="169" t="e">
        <f t="shared" si="73"/>
        <v>#NAME?</v>
      </c>
      <c r="Q2495" s="177">
        <v>489.409999999977</v>
      </c>
    </row>
    <row r="2496" spans="15:17">
      <c r="O2496" s="166">
        <v>489.41999999997699</v>
      </c>
      <c r="P2496" s="169" t="e">
        <f t="shared" si="73"/>
        <v>#NAME?</v>
      </c>
      <c r="Q2496" s="177">
        <v>489.41999999997699</v>
      </c>
    </row>
    <row r="2497" spans="15:17">
      <c r="O2497" s="166">
        <v>489.42999999997699</v>
      </c>
      <c r="P2497" s="169" t="e">
        <f t="shared" si="73"/>
        <v>#NAME?</v>
      </c>
      <c r="Q2497" s="177">
        <v>489.42999999997699</v>
      </c>
    </row>
    <row r="2498" spans="15:17">
      <c r="O2498" s="166">
        <v>489.43999999997698</v>
      </c>
      <c r="P2498" s="169" t="e">
        <f t="shared" si="73"/>
        <v>#NAME?</v>
      </c>
      <c r="Q2498" s="177">
        <v>489.43999999997698</v>
      </c>
    </row>
    <row r="2499" spans="15:17">
      <c r="O2499" s="166">
        <v>489.44999999997702</v>
      </c>
      <c r="P2499" s="169" t="e">
        <f t="shared" si="73"/>
        <v>#NAME?</v>
      </c>
      <c r="Q2499" s="177">
        <v>489.44999999997702</v>
      </c>
    </row>
    <row r="2500" spans="15:17">
      <c r="O2500" s="166">
        <v>489.45999999997701</v>
      </c>
      <c r="P2500" s="169" t="e">
        <f t="shared" ref="P2500:P2554" si="74">VLOOKUP(O2500,THONGSOHO_BTS,2,1)+(VLOOKUP(O2500+5,THONGSOHO_BTS,2,1)-VLOOKUP(O2500,THONGSOHO_BTS,2,1))/5*(O2500-VLOOKUP(O2500,THONGSOHO_BTS,1,1))-264.29</f>
        <v>#NAME?</v>
      </c>
      <c r="Q2500" s="177">
        <v>489.45999999997701</v>
      </c>
    </row>
    <row r="2501" spans="15:17">
      <c r="O2501" s="166">
        <v>489.46999999997701</v>
      </c>
      <c r="P2501" s="169" t="e">
        <f t="shared" si="74"/>
        <v>#NAME?</v>
      </c>
      <c r="Q2501" s="177">
        <v>489.46999999997701</v>
      </c>
    </row>
    <row r="2502" spans="15:17">
      <c r="O2502" s="166">
        <v>489.479999999977</v>
      </c>
      <c r="P2502" s="169" t="e">
        <f t="shared" si="74"/>
        <v>#NAME?</v>
      </c>
      <c r="Q2502" s="177">
        <v>489.479999999977</v>
      </c>
    </row>
    <row r="2503" spans="15:17">
      <c r="O2503" s="166">
        <v>489.48999999997699</v>
      </c>
      <c r="P2503" s="169" t="e">
        <f t="shared" si="74"/>
        <v>#NAME?</v>
      </c>
      <c r="Q2503" s="177">
        <v>489.48999999997699</v>
      </c>
    </row>
    <row r="2504" spans="15:17">
      <c r="O2504" s="166">
        <v>489.49999999997698</v>
      </c>
      <c r="P2504" s="169" t="e">
        <f t="shared" si="74"/>
        <v>#NAME?</v>
      </c>
      <c r="Q2504" s="177">
        <v>489.49999999997698</v>
      </c>
    </row>
    <row r="2505" spans="15:17">
      <c r="O2505" s="166">
        <v>489.50999999997703</v>
      </c>
      <c r="P2505" s="169" t="e">
        <f t="shared" si="74"/>
        <v>#NAME?</v>
      </c>
      <c r="Q2505" s="177">
        <v>489.50999999997703</v>
      </c>
    </row>
    <row r="2506" spans="15:17">
      <c r="O2506" s="166">
        <v>489.51999999997702</v>
      </c>
      <c r="P2506" s="169" t="e">
        <f t="shared" si="74"/>
        <v>#NAME?</v>
      </c>
      <c r="Q2506" s="177">
        <v>489.51999999997702</v>
      </c>
    </row>
    <row r="2507" spans="15:17">
      <c r="O2507" s="166">
        <v>489.52999999997701</v>
      </c>
      <c r="P2507" s="169" t="e">
        <f t="shared" si="74"/>
        <v>#NAME?</v>
      </c>
      <c r="Q2507" s="177">
        <v>489.52999999997701</v>
      </c>
    </row>
    <row r="2508" spans="15:17">
      <c r="O2508" s="166">
        <v>489.539999999977</v>
      </c>
      <c r="P2508" s="169" t="e">
        <f t="shared" si="74"/>
        <v>#NAME?</v>
      </c>
      <c r="Q2508" s="177">
        <v>489.539999999977</v>
      </c>
    </row>
    <row r="2509" spans="15:17">
      <c r="O2509" s="166">
        <v>489.54999999997699</v>
      </c>
      <c r="P2509" s="169" t="e">
        <f t="shared" si="74"/>
        <v>#NAME?</v>
      </c>
      <c r="Q2509" s="177">
        <v>489.54999999997699</v>
      </c>
    </row>
    <row r="2510" spans="15:17">
      <c r="O2510" s="166">
        <v>489.55999999997698</v>
      </c>
      <c r="P2510" s="169" t="e">
        <f t="shared" si="74"/>
        <v>#NAME?</v>
      </c>
      <c r="Q2510" s="177">
        <v>489.55999999997698</v>
      </c>
    </row>
    <row r="2511" spans="15:17">
      <c r="O2511" s="166">
        <v>489.56999999997697</v>
      </c>
      <c r="P2511" s="169" t="e">
        <f t="shared" si="74"/>
        <v>#NAME?</v>
      </c>
      <c r="Q2511" s="177">
        <v>489.56999999997697</v>
      </c>
    </row>
    <row r="2512" spans="15:17">
      <c r="O2512" s="166">
        <v>489.57999999997702</v>
      </c>
      <c r="P2512" s="169" t="e">
        <f t="shared" si="74"/>
        <v>#NAME?</v>
      </c>
      <c r="Q2512" s="177">
        <v>489.57999999997702</v>
      </c>
    </row>
    <row r="2513" spans="15:17">
      <c r="O2513" s="166">
        <v>489.58999999997701</v>
      </c>
      <c r="P2513" s="169" t="e">
        <f t="shared" si="74"/>
        <v>#NAME?</v>
      </c>
      <c r="Q2513" s="177">
        <v>489.58999999997701</v>
      </c>
    </row>
    <row r="2514" spans="15:17">
      <c r="O2514" s="166">
        <v>489.599999999977</v>
      </c>
      <c r="P2514" s="169" t="e">
        <f t="shared" si="74"/>
        <v>#NAME?</v>
      </c>
      <c r="Q2514" s="177">
        <v>489.599999999977</v>
      </c>
    </row>
    <row r="2515" spans="15:17">
      <c r="O2515" s="166">
        <v>489.60999999997699</v>
      </c>
      <c r="P2515" s="169" t="e">
        <f t="shared" si="74"/>
        <v>#NAME?</v>
      </c>
      <c r="Q2515" s="177">
        <v>489.60999999997699</v>
      </c>
    </row>
    <row r="2516" spans="15:17">
      <c r="O2516" s="166">
        <v>489.61999999997698</v>
      </c>
      <c r="P2516" s="169" t="e">
        <f t="shared" si="74"/>
        <v>#NAME?</v>
      </c>
      <c r="Q2516" s="177">
        <v>489.61999999997698</v>
      </c>
    </row>
    <row r="2517" spans="15:17">
      <c r="O2517" s="166">
        <v>489.62999999997697</v>
      </c>
      <c r="P2517" s="169" t="e">
        <f t="shared" si="74"/>
        <v>#NAME?</v>
      </c>
      <c r="Q2517" s="177">
        <v>489.62999999997697</v>
      </c>
    </row>
    <row r="2518" spans="15:17">
      <c r="O2518" s="166">
        <v>489.63999999997702</v>
      </c>
      <c r="P2518" s="169" t="e">
        <f t="shared" si="74"/>
        <v>#NAME?</v>
      </c>
      <c r="Q2518" s="177">
        <v>489.63999999997702</v>
      </c>
    </row>
    <row r="2519" spans="15:17">
      <c r="O2519" s="166">
        <v>489.64999999997701</v>
      </c>
      <c r="P2519" s="169" t="e">
        <f t="shared" si="74"/>
        <v>#NAME?</v>
      </c>
      <c r="Q2519" s="177">
        <v>489.64999999997701</v>
      </c>
    </row>
    <row r="2520" spans="15:17">
      <c r="O2520" s="166">
        <v>489.659999999977</v>
      </c>
      <c r="P2520" s="169" t="e">
        <f t="shared" si="74"/>
        <v>#NAME?</v>
      </c>
      <c r="Q2520" s="177">
        <v>489.659999999977</v>
      </c>
    </row>
    <row r="2521" spans="15:17">
      <c r="O2521" s="166">
        <v>489.66999999997699</v>
      </c>
      <c r="P2521" s="169" t="e">
        <f t="shared" si="74"/>
        <v>#NAME?</v>
      </c>
      <c r="Q2521" s="177">
        <v>489.66999999997699</v>
      </c>
    </row>
    <row r="2522" spans="15:17">
      <c r="O2522" s="166">
        <v>489.67999999997699</v>
      </c>
      <c r="P2522" s="169" t="e">
        <f t="shared" si="74"/>
        <v>#NAME?</v>
      </c>
      <c r="Q2522" s="177">
        <v>489.67999999997699</v>
      </c>
    </row>
    <row r="2523" spans="15:17">
      <c r="O2523" s="166">
        <v>489.68999999997698</v>
      </c>
      <c r="P2523" s="169" t="e">
        <f t="shared" si="74"/>
        <v>#NAME?</v>
      </c>
      <c r="Q2523" s="177">
        <v>489.68999999997698</v>
      </c>
    </row>
    <row r="2524" spans="15:17">
      <c r="O2524" s="166">
        <v>489.69999999997702</v>
      </c>
      <c r="P2524" s="169" t="e">
        <f t="shared" si="74"/>
        <v>#NAME?</v>
      </c>
      <c r="Q2524" s="177">
        <v>489.69999999997702</v>
      </c>
    </row>
    <row r="2525" spans="15:17">
      <c r="O2525" s="166">
        <v>489.70999999997701</v>
      </c>
      <c r="P2525" s="169" t="e">
        <f t="shared" si="74"/>
        <v>#NAME?</v>
      </c>
      <c r="Q2525" s="177">
        <v>489.70999999997701</v>
      </c>
    </row>
    <row r="2526" spans="15:17">
      <c r="O2526" s="166">
        <v>489.71999999997701</v>
      </c>
      <c r="P2526" s="169" t="e">
        <f t="shared" si="74"/>
        <v>#NAME?</v>
      </c>
      <c r="Q2526" s="177">
        <v>489.71999999997701</v>
      </c>
    </row>
    <row r="2527" spans="15:17">
      <c r="O2527" s="166">
        <v>489.729999999977</v>
      </c>
      <c r="P2527" s="169" t="e">
        <f t="shared" si="74"/>
        <v>#NAME?</v>
      </c>
      <c r="Q2527" s="177">
        <v>489.729999999977</v>
      </c>
    </row>
    <row r="2528" spans="15:17">
      <c r="O2528" s="166">
        <v>489.73999999997699</v>
      </c>
      <c r="P2528" s="169" t="e">
        <f t="shared" si="74"/>
        <v>#NAME?</v>
      </c>
      <c r="Q2528" s="177">
        <v>489.73999999997699</v>
      </c>
    </row>
    <row r="2529" spans="15:17">
      <c r="O2529" s="166">
        <v>489.74999999997698</v>
      </c>
      <c r="P2529" s="169" t="e">
        <f t="shared" si="74"/>
        <v>#NAME?</v>
      </c>
      <c r="Q2529" s="177">
        <v>489.74999999997698</v>
      </c>
    </row>
    <row r="2530" spans="15:17">
      <c r="O2530" s="166">
        <v>489.75999999997703</v>
      </c>
      <c r="P2530" s="169" t="e">
        <f t="shared" si="74"/>
        <v>#NAME?</v>
      </c>
      <c r="Q2530" s="177">
        <v>489.75999999997703</v>
      </c>
    </row>
    <row r="2531" spans="15:17">
      <c r="O2531" s="166">
        <v>489.76999999997702</v>
      </c>
      <c r="P2531" s="169" t="e">
        <f t="shared" si="74"/>
        <v>#NAME?</v>
      </c>
      <c r="Q2531" s="177">
        <v>489.76999999997702</v>
      </c>
    </row>
    <row r="2532" spans="15:17">
      <c r="O2532" s="166">
        <v>489.77999999997701</v>
      </c>
      <c r="P2532" s="169" t="e">
        <f t="shared" si="74"/>
        <v>#NAME?</v>
      </c>
      <c r="Q2532" s="177">
        <v>489.77999999997701</v>
      </c>
    </row>
    <row r="2533" spans="15:17">
      <c r="O2533" s="166">
        <v>489.789999999977</v>
      </c>
      <c r="P2533" s="169" t="e">
        <f t="shared" si="74"/>
        <v>#NAME?</v>
      </c>
      <c r="Q2533" s="177">
        <v>489.789999999977</v>
      </c>
    </row>
    <row r="2534" spans="15:17">
      <c r="O2534" s="166">
        <v>489.79999999997699</v>
      </c>
      <c r="P2534" s="169" t="e">
        <f t="shared" si="74"/>
        <v>#NAME?</v>
      </c>
      <c r="Q2534" s="177">
        <v>489.79999999997699</v>
      </c>
    </row>
    <row r="2535" spans="15:17">
      <c r="O2535" s="166">
        <v>489.80999999997698</v>
      </c>
      <c r="P2535" s="169" t="e">
        <f t="shared" si="74"/>
        <v>#NAME?</v>
      </c>
      <c r="Q2535" s="177">
        <v>489.80999999997698</v>
      </c>
    </row>
    <row r="2536" spans="15:17">
      <c r="O2536" s="166">
        <v>489.81999999997697</v>
      </c>
      <c r="P2536" s="169" t="e">
        <f t="shared" si="74"/>
        <v>#NAME?</v>
      </c>
      <c r="Q2536" s="177">
        <v>489.81999999997697</v>
      </c>
    </row>
    <row r="2537" spans="15:17">
      <c r="O2537" s="166">
        <v>489.82999999997702</v>
      </c>
      <c r="P2537" s="169" t="e">
        <f t="shared" si="74"/>
        <v>#NAME?</v>
      </c>
      <c r="Q2537" s="177">
        <v>489.82999999997702</v>
      </c>
    </row>
    <row r="2538" spans="15:17">
      <c r="O2538" s="166">
        <v>489.83999999997701</v>
      </c>
      <c r="P2538" s="169" t="e">
        <f t="shared" si="74"/>
        <v>#NAME?</v>
      </c>
      <c r="Q2538" s="177">
        <v>489.83999999997701</v>
      </c>
    </row>
    <row r="2539" spans="15:17">
      <c r="O2539" s="166">
        <v>489.849999999977</v>
      </c>
      <c r="P2539" s="169" t="e">
        <f t="shared" si="74"/>
        <v>#NAME?</v>
      </c>
      <c r="Q2539" s="177">
        <v>489.849999999977</v>
      </c>
    </row>
    <row r="2540" spans="15:17">
      <c r="O2540" s="166">
        <v>489.85999999997699</v>
      </c>
      <c r="P2540" s="169" t="e">
        <f t="shared" si="74"/>
        <v>#NAME?</v>
      </c>
      <c r="Q2540" s="177">
        <v>489.85999999997699</v>
      </c>
    </row>
    <row r="2541" spans="15:17">
      <c r="O2541" s="166">
        <v>489.86999999997698</v>
      </c>
      <c r="P2541" s="169" t="e">
        <f t="shared" si="74"/>
        <v>#NAME?</v>
      </c>
      <c r="Q2541" s="177">
        <v>489.86999999997698</v>
      </c>
    </row>
    <row r="2542" spans="15:17">
      <c r="O2542" s="166">
        <v>489.87999999997697</v>
      </c>
      <c r="P2542" s="169" t="e">
        <f t="shared" si="74"/>
        <v>#NAME?</v>
      </c>
      <c r="Q2542" s="177">
        <v>489.87999999997697</v>
      </c>
    </row>
    <row r="2543" spans="15:17">
      <c r="O2543" s="166">
        <v>489.88999999997702</v>
      </c>
      <c r="P2543" s="169" t="e">
        <f t="shared" si="74"/>
        <v>#NAME?</v>
      </c>
      <c r="Q2543" s="177">
        <v>489.88999999997702</v>
      </c>
    </row>
    <row r="2544" spans="15:17">
      <c r="O2544" s="166">
        <v>489.89999999997701</v>
      </c>
      <c r="P2544" s="169" t="e">
        <f t="shared" si="74"/>
        <v>#NAME?</v>
      </c>
      <c r="Q2544" s="177">
        <v>489.89999999997701</v>
      </c>
    </row>
    <row r="2545" spans="15:17">
      <c r="O2545" s="166">
        <v>489.909999999977</v>
      </c>
      <c r="P2545" s="169" t="e">
        <f t="shared" si="74"/>
        <v>#NAME?</v>
      </c>
      <c r="Q2545" s="177">
        <v>489.909999999977</v>
      </c>
    </row>
    <row r="2546" spans="15:17">
      <c r="O2546" s="166">
        <v>489.91999999997699</v>
      </c>
      <c r="P2546" s="169" t="e">
        <f t="shared" si="74"/>
        <v>#NAME?</v>
      </c>
      <c r="Q2546" s="177">
        <v>489.91999999997699</v>
      </c>
    </row>
    <row r="2547" spans="15:17">
      <c r="O2547" s="166">
        <v>489.92999999997699</v>
      </c>
      <c r="P2547" s="169" t="e">
        <f t="shared" si="74"/>
        <v>#NAME?</v>
      </c>
      <c r="Q2547" s="177">
        <v>489.92999999997699</v>
      </c>
    </row>
    <row r="2548" spans="15:17">
      <c r="O2548" s="166">
        <v>489.93999999997698</v>
      </c>
      <c r="P2548" s="169" t="e">
        <f t="shared" si="74"/>
        <v>#NAME?</v>
      </c>
      <c r="Q2548" s="177">
        <v>489.93999999997698</v>
      </c>
    </row>
    <row r="2549" spans="15:17">
      <c r="O2549" s="166">
        <v>489.94999999997702</v>
      </c>
      <c r="P2549" s="169" t="e">
        <f t="shared" si="74"/>
        <v>#NAME?</v>
      </c>
      <c r="Q2549" s="177">
        <v>489.94999999997702</v>
      </c>
    </row>
    <row r="2550" spans="15:17">
      <c r="O2550" s="166">
        <v>489.95999999997701</v>
      </c>
      <c r="P2550" s="169" t="e">
        <f t="shared" si="74"/>
        <v>#NAME?</v>
      </c>
      <c r="Q2550" s="177">
        <v>489.95999999997701</v>
      </c>
    </row>
    <row r="2551" spans="15:17">
      <c r="O2551" s="166">
        <v>489.96999999997701</v>
      </c>
      <c r="P2551" s="169" t="e">
        <f t="shared" si="74"/>
        <v>#NAME?</v>
      </c>
      <c r="Q2551" s="177">
        <v>489.96999999997701</v>
      </c>
    </row>
    <row r="2552" spans="15:17">
      <c r="O2552" s="166">
        <v>489.979999999977</v>
      </c>
      <c r="P2552" s="169" t="e">
        <f t="shared" si="74"/>
        <v>#NAME?</v>
      </c>
      <c r="Q2552" s="177">
        <v>489.979999999977</v>
      </c>
    </row>
    <row r="2553" spans="15:17">
      <c r="O2553" s="166">
        <v>489.98999999997699</v>
      </c>
      <c r="P2553" s="169" t="e">
        <f t="shared" si="74"/>
        <v>#NAME?</v>
      </c>
      <c r="Q2553" s="177">
        <v>489.98999999997699</v>
      </c>
    </row>
    <row r="2554" spans="15:17">
      <c r="O2554" s="166">
        <v>489.99999999997698</v>
      </c>
      <c r="P2554" s="169" t="e">
        <f t="shared" si="74"/>
        <v>#NAME?</v>
      </c>
      <c r="Q2554" s="177">
        <v>489.99999999997698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6"/>
  <sheetViews>
    <sheetView topLeftCell="T1" zoomScale="70" zoomScaleNormal="70" workbookViewId="0">
      <selection activeCell="AR13" sqref="AR13:AR17"/>
    </sheetView>
  </sheetViews>
  <sheetFormatPr defaultRowHeight="15"/>
  <sheetData>
    <row r="1" spans="1:47">
      <c r="A1" s="314" t="s">
        <v>19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</row>
    <row r="2" spans="1:47">
      <c r="A2" s="313" t="s">
        <v>20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P2" s="313" t="s">
        <v>21</v>
      </c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26" t="s">
        <v>22</v>
      </c>
      <c r="AE2" s="134">
        <f>'ThK SL điện'!Q217</f>
        <v>61.071907000000117</v>
      </c>
      <c r="AF2" s="25" t="s">
        <v>23</v>
      </c>
    </row>
    <row r="3" spans="1:47">
      <c r="A3" s="315" t="s">
        <v>24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P3" s="315" t="s">
        <v>24</v>
      </c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26" t="s">
        <v>25</v>
      </c>
      <c r="AE3" s="25">
        <v>8.8800000000000008</v>
      </c>
      <c r="AF3" s="27" t="s">
        <v>26</v>
      </c>
    </row>
    <row r="4" spans="1:47">
      <c r="A4" s="23" t="s">
        <v>27</v>
      </c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3">
        <v>11</v>
      </c>
      <c r="M4" s="23">
        <v>12</v>
      </c>
      <c r="N4" s="23" t="s">
        <v>28</v>
      </c>
      <c r="P4" s="23" t="s">
        <v>27</v>
      </c>
      <c r="Q4" s="23">
        <v>1</v>
      </c>
      <c r="R4" s="23">
        <v>2</v>
      </c>
      <c r="S4" s="23">
        <v>3</v>
      </c>
      <c r="T4" s="23">
        <v>4</v>
      </c>
      <c r="U4" s="23">
        <v>5</v>
      </c>
      <c r="V4" s="23">
        <v>6</v>
      </c>
      <c r="W4" s="23">
        <v>7</v>
      </c>
      <c r="X4" s="23">
        <v>8</v>
      </c>
      <c r="Y4" s="23">
        <v>9</v>
      </c>
      <c r="Z4" s="23">
        <v>10</v>
      </c>
      <c r="AA4" s="23">
        <v>11</v>
      </c>
      <c r="AB4" s="23">
        <v>12</v>
      </c>
      <c r="AC4" s="23" t="s">
        <v>29</v>
      </c>
      <c r="AE4" s="313" t="s">
        <v>30</v>
      </c>
      <c r="AF4" s="313"/>
      <c r="AG4" s="313"/>
      <c r="AH4" s="313"/>
      <c r="AI4" s="313"/>
      <c r="AJ4" s="313"/>
      <c r="AM4" s="313" t="s">
        <v>31</v>
      </c>
      <c r="AN4" s="313"/>
      <c r="AO4" s="313"/>
      <c r="AP4" s="313"/>
      <c r="AQ4" s="313"/>
      <c r="AR4" s="313"/>
    </row>
    <row r="5" spans="1:47">
      <c r="A5" s="24" t="s">
        <v>32</v>
      </c>
      <c r="B5" s="316" t="s">
        <v>33</v>
      </c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P5" s="138" t="s">
        <v>32</v>
      </c>
      <c r="Q5" s="136">
        <v>31</v>
      </c>
      <c r="R5" s="136">
        <v>29</v>
      </c>
      <c r="S5" s="136">
        <v>31</v>
      </c>
      <c r="T5" s="136">
        <v>30</v>
      </c>
      <c r="U5" s="136">
        <v>31</v>
      </c>
      <c r="V5" s="136">
        <v>30</v>
      </c>
      <c r="W5" s="136">
        <v>31</v>
      </c>
      <c r="X5" s="136">
        <v>31</v>
      </c>
      <c r="Y5" s="136">
        <v>30</v>
      </c>
      <c r="Z5" s="136">
        <v>31</v>
      </c>
      <c r="AA5" s="136">
        <v>30</v>
      </c>
      <c r="AB5" s="136">
        <v>31</v>
      </c>
      <c r="AC5" s="137" t="s">
        <v>23</v>
      </c>
      <c r="AD5" s="26" t="s">
        <v>34</v>
      </c>
      <c r="AE5" s="26" t="s">
        <v>35</v>
      </c>
      <c r="AF5" s="26" t="s">
        <v>36</v>
      </c>
      <c r="AG5" s="26" t="s">
        <v>37</v>
      </c>
      <c r="AH5" s="26" t="s">
        <v>38</v>
      </c>
      <c r="AI5" s="26" t="s">
        <v>39</v>
      </c>
      <c r="AJ5" s="26" t="s">
        <v>40</v>
      </c>
      <c r="AL5" s="26" t="s">
        <v>34</v>
      </c>
      <c r="AM5" s="243" t="s">
        <v>41</v>
      </c>
      <c r="AN5" s="25" t="s">
        <v>38</v>
      </c>
      <c r="AO5" s="25" t="s">
        <v>39</v>
      </c>
      <c r="AP5" s="25" t="s">
        <v>42</v>
      </c>
      <c r="AQ5" s="25" t="s">
        <v>43</v>
      </c>
      <c r="AR5" s="244" t="s">
        <v>44</v>
      </c>
      <c r="AS5" s="25" t="s">
        <v>36</v>
      </c>
      <c r="AT5" s="25" t="s">
        <v>37</v>
      </c>
      <c r="AU5" s="246" t="s">
        <v>45</v>
      </c>
    </row>
    <row r="6" spans="1:47">
      <c r="A6" s="273">
        <v>5</v>
      </c>
      <c r="B6" s="274">
        <v>76.894999999999996</v>
      </c>
      <c r="C6" s="274">
        <v>51.793752539579373</v>
      </c>
      <c r="D6" s="274">
        <v>39.700000000000003</v>
      </c>
      <c r="E6" s="274">
        <v>45.61456853930499</v>
      </c>
      <c r="F6" s="274">
        <v>78.583118279569888</v>
      </c>
      <c r="G6" s="274">
        <v>105</v>
      </c>
      <c r="H6" s="274">
        <v>169.08745161290321</v>
      </c>
      <c r="I6" s="274">
        <v>291.09999999999997</v>
      </c>
      <c r="J6" s="274">
        <v>268.45</v>
      </c>
      <c r="K6" s="274">
        <v>311.09999999999997</v>
      </c>
      <c r="L6" s="274">
        <v>257.39999999999986</v>
      </c>
      <c r="M6" s="274">
        <v>188.1</v>
      </c>
      <c r="N6" s="274">
        <v>134.48666666666665</v>
      </c>
      <c r="P6" s="283">
        <v>5</v>
      </c>
      <c r="Q6" s="135">
        <f t="shared" ref="Q6:AB6" si="0">IF(B6*Q5*24*3600/$AE$3/10^6&gt;$AE$2,$AE$2,B6*Q5*24*3600/$AE$3/10^6)</f>
        <v>23.193194594594594</v>
      </c>
      <c r="R6" s="135">
        <f t="shared" si="0"/>
        <v>14.614237203059695</v>
      </c>
      <c r="S6" s="135">
        <f t="shared" si="0"/>
        <v>11.974378378378379</v>
      </c>
      <c r="T6" s="135">
        <f t="shared" si="0"/>
        <v>13.314522708770106</v>
      </c>
      <c r="U6" s="135">
        <f t="shared" si="0"/>
        <v>23.702367567567563</v>
      </c>
      <c r="V6" s="135">
        <f t="shared" si="0"/>
        <v>30.648648648648646</v>
      </c>
      <c r="W6" s="135">
        <f t="shared" si="0"/>
        <v>51.000431351351338</v>
      </c>
      <c r="X6" s="135">
        <f t="shared" si="0"/>
        <v>61.071907000000117</v>
      </c>
      <c r="Y6" s="135">
        <f t="shared" si="0"/>
        <v>61.071907000000117</v>
      </c>
      <c r="Z6" s="135">
        <f t="shared" si="0"/>
        <v>61.071907000000117</v>
      </c>
      <c r="AA6" s="135">
        <f t="shared" si="0"/>
        <v>61.071907000000117</v>
      </c>
      <c r="AB6" s="135">
        <f t="shared" si="0"/>
        <v>56.735027027027016</v>
      </c>
      <c r="AC6" s="135">
        <f>SUM(Q6:AB6)</f>
        <v>469.47043547939779</v>
      </c>
      <c r="AD6" s="26">
        <v>1</v>
      </c>
      <c r="AE6" s="134">
        <f>'Theo dõi TV'!H8</f>
        <v>45.692364572466708</v>
      </c>
      <c r="AF6" s="235">
        <f>_xlfn.XLOOKUP(AE6,B$6:B$24,B$6:B$24,,-1,1)</f>
        <v>44.789999999999992</v>
      </c>
      <c r="AG6" s="235">
        <f>_xlfn.XLOOKUP(AE6,B$6:B$24,B$6:B$24,,1,1)</f>
        <v>48.75</v>
      </c>
      <c r="AH6" s="25">
        <f>_xlfn.XLOOKUP(AE6,$B$6:$B$24,A$6:A$24,,-1,1)</f>
        <v>55</v>
      </c>
      <c r="AI6" s="25">
        <f>_xlfn.XLOOKUP(AE6,$B$6:$B$24,A$6:A$24,,1,1)</f>
        <v>50</v>
      </c>
      <c r="AJ6" s="235">
        <f>IF(AE6=AF6,AH6,FORECAST(AE6,AH6:AI6,AF6:AG6))</f>
        <v>53.860650792339996</v>
      </c>
      <c r="AL6" s="26">
        <v>1</v>
      </c>
      <c r="AM6" s="245">
        <v>53.860650792339996</v>
      </c>
      <c r="AN6" s="25">
        <f t="shared" ref="AN6:AN17" si="1">_xlfn.XLOOKUP(AM6,$P$6:$P$24,$P$6:$P$24,,-1,1)</f>
        <v>50</v>
      </c>
      <c r="AO6" s="25">
        <f t="shared" ref="AO6:AO17" si="2">_xlfn.XLOOKUP(AM6,$P$6:$P$24,$P$6:$P$24,,1,1)</f>
        <v>55</v>
      </c>
      <c r="AP6" s="235">
        <f>_xlfn.XLOOKUP(AM6,$P$6:$P$24,$Q$6:$Q$24,,-1,1)</f>
        <v>14.704054054054053</v>
      </c>
      <c r="AQ6" s="235">
        <f>_xlfn.XLOOKUP(AM6,$P$6:$P$24,$Q$6:$Q$24,,1,1)</f>
        <v>13.509632432432429</v>
      </c>
      <c r="AR6" s="242">
        <f>IF(AM6=AN6,AP6,FORECAST(AM6,AP6:AQ6,AN6:AO6))</f>
        <v>13.781805098073741</v>
      </c>
      <c r="AS6" s="235">
        <f>_xlfn.XLOOKUP(AM6,$A$6:$A$24,$B$6:$B$24,,-1,1)</f>
        <v>48.75</v>
      </c>
      <c r="AT6" s="235">
        <f>_xlfn.XLOOKUP(AM6,$A$6:$A$24,$B$6:$B$24,,1,1)</f>
        <v>44.789999999999992</v>
      </c>
      <c r="AU6" s="247">
        <f>IF(AM6=AN6,AS6,FORECAST(AM6,AS6:AT6,AN6:AO6))</f>
        <v>45.692364572466715</v>
      </c>
    </row>
    <row r="7" spans="1:47">
      <c r="A7" s="275">
        <v>10</v>
      </c>
      <c r="B7" s="276">
        <v>70.890984677419354</v>
      </c>
      <c r="C7" s="276">
        <v>50.4</v>
      </c>
      <c r="D7" s="276">
        <v>37.41049752754536</v>
      </c>
      <c r="E7" s="276">
        <v>41.250733333333336</v>
      </c>
      <c r="F7" s="276">
        <v>65.14154901432876</v>
      </c>
      <c r="G7" s="276">
        <v>103.05842536531543</v>
      </c>
      <c r="H7" s="276">
        <v>150.01873051076311</v>
      </c>
      <c r="I7" s="276">
        <v>271</v>
      </c>
      <c r="J7" s="276">
        <v>249.3</v>
      </c>
      <c r="K7" s="276">
        <v>286.40000000000003</v>
      </c>
      <c r="L7" s="276">
        <v>206.79999999999995</v>
      </c>
      <c r="M7" s="276">
        <v>167.2</v>
      </c>
      <c r="N7" s="276">
        <v>122.37700832596349</v>
      </c>
      <c r="P7" s="284">
        <v>10</v>
      </c>
      <c r="Q7" s="135">
        <f t="shared" ref="Q7:AB7" si="3">IF(B7*Q5*24*3600/$AE$3/10^6&gt;$AE$2,$AE$2,B7*Q5*24*3600/$AE$3/10^6)</f>
        <v>21.382253756756754</v>
      </c>
      <c r="R7" s="135">
        <f t="shared" si="3"/>
        <v>14.220972972972971</v>
      </c>
      <c r="S7" s="135">
        <f t="shared" si="3"/>
        <v>11.283814929929898</v>
      </c>
      <c r="T7" s="135">
        <f t="shared" si="3"/>
        <v>12.040754594594596</v>
      </c>
      <c r="U7" s="135">
        <f t="shared" si="3"/>
        <v>19.648099648646188</v>
      </c>
      <c r="V7" s="135">
        <f t="shared" si="3"/>
        <v>30.081918755281258</v>
      </c>
      <c r="W7" s="135">
        <f t="shared" si="3"/>
        <v>45.248892770273414</v>
      </c>
      <c r="X7" s="135">
        <f t="shared" si="3"/>
        <v>61.071907000000117</v>
      </c>
      <c r="Y7" s="135">
        <f t="shared" si="3"/>
        <v>61.071907000000117</v>
      </c>
      <c r="Z7" s="135">
        <f t="shared" si="3"/>
        <v>61.071907000000117</v>
      </c>
      <c r="AA7" s="135">
        <f t="shared" si="3"/>
        <v>60.363243243243211</v>
      </c>
      <c r="AB7" s="135">
        <f t="shared" si="3"/>
        <v>50.431135135135122</v>
      </c>
      <c r="AC7" s="135">
        <f t="shared" ref="AC7:AC20" si="4">SUM(Q7:AB7)</f>
        <v>447.91680680683385</v>
      </c>
      <c r="AD7" s="26">
        <v>2</v>
      </c>
      <c r="AE7" s="134">
        <f>'Theo dõi TV'!H9</f>
        <v>31.174345953948691</v>
      </c>
      <c r="AF7" s="235">
        <f>_xlfn.XLOOKUP(AE7,C$6:C$24,C$6:C$24,,-1,1)</f>
        <v>30.602674329501959</v>
      </c>
      <c r="AG7" s="235">
        <f>_xlfn.XLOOKUP(AE7,C$6:C$24,C$6:C$24,,1,1)</f>
        <v>31.786017241379309</v>
      </c>
      <c r="AH7" s="25">
        <f>_xlfn.XLOOKUP(AE7,$C$6:$C$24,$A$6:$A$24,,-1,1)</f>
        <v>60</v>
      </c>
      <c r="AI7" s="25">
        <f>_xlfn.XLOOKUP(AE7,$C$6:$C$24,$A$6:$A$24,,1,1)</f>
        <v>55</v>
      </c>
      <c r="AJ7" s="235">
        <f>IF(AE7=AF7,AH7,FORECAST(AE7,AH7:AI7,AF7:AG7))</f>
        <v>57.584505646212932</v>
      </c>
      <c r="AL7" s="26">
        <v>2</v>
      </c>
      <c r="AM7" s="245">
        <v>57.584505646212932</v>
      </c>
      <c r="AN7" s="25">
        <f t="shared" si="1"/>
        <v>55</v>
      </c>
      <c r="AO7" s="25">
        <f t="shared" si="2"/>
        <v>60</v>
      </c>
      <c r="AP7" s="235">
        <f>_xlfn.XLOOKUP(AM7,$P$6:$P$24,$R$6:$R$24,,-1,1)</f>
        <v>8.9688113513513503</v>
      </c>
      <c r="AQ7" s="235">
        <f>_xlfn.XLOOKUP(AM7,$P$6:$P$24,$R$6:$R$24,,1,1)</f>
        <v>8.634916756756768</v>
      </c>
      <c r="AR7" s="242">
        <f>IF(AM7=AN7,AP7,FORECAST(AM7,AP7:AQ7,AN7:AO7))</f>
        <v>8.7962208583574153</v>
      </c>
      <c r="AS7" s="235">
        <f>_xlfn.XLOOKUP(AM7,$A$6:$A$24,$C$6:$C$24,,-1,1)</f>
        <v>31.786017241379309</v>
      </c>
      <c r="AT7" s="235">
        <f>_xlfn.XLOOKUP(AM7,$A$6:$A$24,$C$6:$C$24,,1,1)</f>
        <v>30.602674329501959</v>
      </c>
      <c r="AU7" s="247">
        <f t="shared" ref="AU7:AU17" si="5">IF(AM7=AN7,AS7,FORECAST(AM7,AS7:AT7,AN7:AO7))</f>
        <v>31.174345953948695</v>
      </c>
    </row>
    <row r="8" spans="1:47">
      <c r="A8" s="275">
        <v>15</v>
      </c>
      <c r="B8" s="276">
        <v>67.499999999999986</v>
      </c>
      <c r="C8" s="276">
        <v>43.759999999999984</v>
      </c>
      <c r="D8" s="276">
        <v>35.234731182795706</v>
      </c>
      <c r="E8" s="276">
        <v>36.294999999999995</v>
      </c>
      <c r="F8" s="276">
        <v>55.191754685633185</v>
      </c>
      <c r="G8" s="276">
        <v>94.806893761575452</v>
      </c>
      <c r="H8" s="276">
        <v>143.94316129032256</v>
      </c>
      <c r="I8" s="276">
        <v>241.95</v>
      </c>
      <c r="J8" s="276">
        <v>242.87876666666665</v>
      </c>
      <c r="K8" s="276">
        <v>273.79583679808627</v>
      </c>
      <c r="L8" s="276">
        <v>187.44853050248372</v>
      </c>
      <c r="M8" s="276">
        <v>138.17164813560552</v>
      </c>
      <c r="N8" s="276">
        <v>111.01875</v>
      </c>
      <c r="P8" s="284">
        <v>15</v>
      </c>
      <c r="Q8" s="135">
        <f t="shared" ref="Q8:AB8" si="6">IF(B8*Q5*24*3600/$AE$3/10^6&gt;$AE$2,$AE$2,B8*Q5*24*3600/$AE$3/10^6)</f>
        <v>20.359459459459451</v>
      </c>
      <c r="R8" s="135">
        <f t="shared" si="6"/>
        <v>12.34741621621621</v>
      </c>
      <c r="S8" s="135">
        <f t="shared" si="6"/>
        <v>10.627556756756759</v>
      </c>
      <c r="T8" s="135">
        <f t="shared" si="6"/>
        <v>10.594216216216214</v>
      </c>
      <c r="U8" s="135">
        <f t="shared" si="6"/>
        <v>16.647026548423412</v>
      </c>
      <c r="V8" s="135">
        <f t="shared" si="6"/>
        <v>27.673363584459864</v>
      </c>
      <c r="W8" s="135">
        <f t="shared" si="6"/>
        <v>43.416369729729716</v>
      </c>
      <c r="X8" s="135">
        <f t="shared" si="6"/>
        <v>61.071907000000117</v>
      </c>
      <c r="Y8" s="135">
        <f t="shared" si="6"/>
        <v>61.071907000000117</v>
      </c>
      <c r="Z8" s="135">
        <f t="shared" si="6"/>
        <v>61.071907000000117</v>
      </c>
      <c r="AA8" s="135">
        <f t="shared" si="6"/>
        <v>54.714706200724976</v>
      </c>
      <c r="AB8" s="135">
        <f t="shared" si="6"/>
        <v>41.675556572793447</v>
      </c>
      <c r="AC8" s="135">
        <f t="shared" si="4"/>
        <v>421.2713922847804</v>
      </c>
      <c r="AD8" s="26">
        <v>3</v>
      </c>
      <c r="AE8" s="134">
        <f>'Theo dõi TV'!H10</f>
        <v>24.670411664251137</v>
      </c>
      <c r="AF8" s="235">
        <f>_xlfn.XLOOKUP(AE8,D$6:D$24,D$6:D$24,,-1,1)</f>
        <v>23.584863500586891</v>
      </c>
      <c r="AG8" s="235">
        <f>_xlfn.XLOOKUP(AE8,D$6:D$24,D$6:D$24,,1,1)</f>
        <v>24.987450000000003</v>
      </c>
      <c r="AH8" s="25">
        <f>_xlfn.XLOOKUP(AE8,$D$6:$D$24,$A$6:$A$24,,-1,1)</f>
        <v>60</v>
      </c>
      <c r="AI8" s="25">
        <f>_xlfn.XLOOKUP(AE8,$D$6:$D$24,$A$6:$A$24,,1,1)</f>
        <v>55</v>
      </c>
      <c r="AJ8" s="235">
        <f t="shared" ref="AJ8:AJ17" si="7">IF(AE8=AF8,AH8,FORECAST(AE8,AH8:AI8,AF8:AG8))</f>
        <v>56.130191741762545</v>
      </c>
      <c r="AL8" s="26">
        <v>3</v>
      </c>
      <c r="AM8" s="245">
        <v>56.130191741762545</v>
      </c>
      <c r="AN8" s="25">
        <f t="shared" si="1"/>
        <v>55</v>
      </c>
      <c r="AO8" s="25">
        <f t="shared" si="2"/>
        <v>60</v>
      </c>
      <c r="AP8" s="235">
        <f>_xlfn.XLOOKUP(AM8,$P$6:$P$24,$S$6:$S$24,,-1,1)</f>
        <v>7.5367551891891891</v>
      </c>
      <c r="AQ8" s="235">
        <f>_xlfn.XLOOKUP(AM8,$P$6:$P$24,$S$6:$S$24,,1,1)</f>
        <v>7.1137047747716133</v>
      </c>
      <c r="AR8" s="242">
        <f t="shared" ref="AR8:AR17" si="8">IF(AM8=AN8,AP8,FORECAST(AM8,AP8:AQ8,AN8:AO8))</f>
        <v>7.4411295722443942</v>
      </c>
      <c r="AS8" s="235">
        <f>_xlfn.XLOOKUP(AM8,$A$6:$A$24,$D$6:$D$24,,-1,1)</f>
        <v>24.987450000000003</v>
      </c>
      <c r="AT8" s="235">
        <f>_xlfn.XLOOKUP(AM8,$A$6:$A$24,$D$6:$D$24,,1,1)</f>
        <v>23.584863500586891</v>
      </c>
      <c r="AU8" s="247">
        <f t="shared" si="5"/>
        <v>24.670411664251134</v>
      </c>
    </row>
    <row r="9" spans="1:47">
      <c r="A9" s="275">
        <v>20</v>
      </c>
      <c r="B9" s="276">
        <v>65.41963440860215</v>
      </c>
      <c r="C9" s="276">
        <v>39.829075670509006</v>
      </c>
      <c r="D9" s="276">
        <v>33.36</v>
      </c>
      <c r="E9" s="276">
        <v>35.4</v>
      </c>
      <c r="F9" s="276">
        <v>52.5</v>
      </c>
      <c r="G9" s="276">
        <v>91.041479629641955</v>
      </c>
      <c r="H9" s="276">
        <v>133.65527377540664</v>
      </c>
      <c r="I9" s="276">
        <v>228.9864919840177</v>
      </c>
      <c r="J9" s="276">
        <v>230.55280558534534</v>
      </c>
      <c r="K9" s="276">
        <v>256.0028709677419</v>
      </c>
      <c r="L9" s="276">
        <v>184.96041020522898</v>
      </c>
      <c r="M9" s="276">
        <v>120.42191763039513</v>
      </c>
      <c r="N9" s="276">
        <v>103.72268668373442</v>
      </c>
      <c r="P9" s="284">
        <v>20</v>
      </c>
      <c r="Q9" s="135">
        <f t="shared" ref="Q9:AB9" si="9">IF(B9*Q5*24*3600/$AE$3/10^6&gt;$AE$2,$AE$2,B9*Q5*24*3600/$AE$3/10^6)</f>
        <v>19.731976216216214</v>
      </c>
      <c r="R9" s="135">
        <f t="shared" si="9"/>
        <v>11.238258108111189</v>
      </c>
      <c r="S9" s="135">
        <f t="shared" si="9"/>
        <v>10.062097297297299</v>
      </c>
      <c r="T9" s="135">
        <f t="shared" si="9"/>
        <v>10.332972972972973</v>
      </c>
      <c r="U9" s="135">
        <f t="shared" si="9"/>
        <v>15.835135135135133</v>
      </c>
      <c r="V9" s="135">
        <f t="shared" si="9"/>
        <v>26.57426972973332</v>
      </c>
      <c r="W9" s="135">
        <f t="shared" si="9"/>
        <v>40.313320414419948</v>
      </c>
      <c r="X9" s="135">
        <f t="shared" si="9"/>
        <v>61.071907000000117</v>
      </c>
      <c r="Y9" s="135">
        <f t="shared" si="9"/>
        <v>61.071907000000117</v>
      </c>
      <c r="Z9" s="135">
        <f t="shared" si="9"/>
        <v>61.071907000000117</v>
      </c>
      <c r="AA9" s="135">
        <f t="shared" si="9"/>
        <v>53.988444059904673</v>
      </c>
      <c r="AB9" s="135">
        <f t="shared" si="9"/>
        <v>36.321854074465129</v>
      </c>
      <c r="AC9" s="135">
        <f t="shared" si="4"/>
        <v>407.61404900825625</v>
      </c>
      <c r="AD9" s="26">
        <v>4</v>
      </c>
      <c r="AE9" s="134">
        <f>'Theo dõi TV'!H11</f>
        <v>23.551150049021633</v>
      </c>
      <c r="AF9" s="235">
        <f>_xlfn.XLOOKUP(AE9,E$6:E$24,E$6:E$24,,-1,1)</f>
        <v>21.462263888888888</v>
      </c>
      <c r="AG9" s="235">
        <f>_xlfn.XLOOKUP(AE9,E$6:E$24,E$6:E$24,,1,1)</f>
        <v>23.606300000000005</v>
      </c>
      <c r="AH9" s="25">
        <f>_xlfn.XLOOKUP(AE9,$E$6:$E$24,$A$6:$A$24,,-1,1)</f>
        <v>75</v>
      </c>
      <c r="AI9" s="25">
        <f>_xlfn.XLOOKUP(AE9,$E$6:$E$24,$A$6:$A$24,,1,1)</f>
        <v>70</v>
      </c>
      <c r="AJ9" s="235">
        <f t="shared" si="7"/>
        <v>70.128612458280344</v>
      </c>
      <c r="AL9" s="26">
        <v>4</v>
      </c>
      <c r="AM9" s="245">
        <v>70.128612458280344</v>
      </c>
      <c r="AN9" s="25">
        <f t="shared" si="1"/>
        <v>70</v>
      </c>
      <c r="AO9" s="25">
        <f t="shared" si="2"/>
        <v>75</v>
      </c>
      <c r="AP9" s="235">
        <f>_xlfn.XLOOKUP(AM9,$P$6:$P$24,$T$6:$T$24,,-1,1)</f>
        <v>6.8904875675675674</v>
      </c>
      <c r="AQ9" s="235">
        <f>_xlfn.XLOOKUP(AM9,$P$6:$P$24,$T$6:$T$24,,1,1)</f>
        <v>6.2646608108108088</v>
      </c>
      <c r="AR9" s="242">
        <f t="shared" si="8"/>
        <v>6.8743897440387496</v>
      </c>
      <c r="AS9" s="235">
        <f>_xlfn.XLOOKUP(AM9,$A$6:$A$24,$E$6:$E$24,,-1,1)</f>
        <v>23.606300000000005</v>
      </c>
      <c r="AT9" s="235">
        <f>_xlfn.XLOOKUP(AM9,$A$6:$A$24,$E$6:$E$24,,1,1)</f>
        <v>21.462263888888888</v>
      </c>
      <c r="AU9" s="247">
        <f t="shared" si="5"/>
        <v>23.551150049021636</v>
      </c>
    </row>
    <row r="10" spans="1:47">
      <c r="A10" s="275">
        <v>25</v>
      </c>
      <c r="B10" s="276">
        <v>62.437150537634409</v>
      </c>
      <c r="C10" s="276">
        <v>39.081441796788944</v>
      </c>
      <c r="D10" s="276">
        <v>32.015679379484581</v>
      </c>
      <c r="E10" s="276">
        <v>32.924999999999997</v>
      </c>
      <c r="F10" s="276">
        <v>52.174999999999997</v>
      </c>
      <c r="G10" s="276">
        <v>85.325000000000003</v>
      </c>
      <c r="H10" s="276">
        <v>126.5</v>
      </c>
      <c r="I10" s="276">
        <v>206</v>
      </c>
      <c r="J10" s="276">
        <v>225</v>
      </c>
      <c r="K10" s="276">
        <v>233.49713261649759</v>
      </c>
      <c r="L10" s="276">
        <v>174.68856404321011</v>
      </c>
      <c r="M10" s="276">
        <v>107</v>
      </c>
      <c r="N10" s="276">
        <v>102.04791666666667</v>
      </c>
      <c r="P10" s="284">
        <v>25</v>
      </c>
      <c r="Q10" s="135">
        <f t="shared" ref="Q10:AB10" si="10">IF(B10*Q5*24*3600/$AE$3/10^6&gt;$AE$2,$AE$2,B10*Q5*24*3600/$AE$3/10^6)</f>
        <v>18.832394594594597</v>
      </c>
      <c r="R10" s="135">
        <f t="shared" si="10"/>
        <v>11.027304117796664</v>
      </c>
      <c r="S10" s="135">
        <f t="shared" si="10"/>
        <v>9.656621131758051</v>
      </c>
      <c r="T10" s="135">
        <f t="shared" si="10"/>
        <v>9.6105405405405389</v>
      </c>
      <c r="U10" s="135">
        <f t="shared" si="10"/>
        <v>15.737108108108107</v>
      </c>
      <c r="V10" s="135">
        <f t="shared" si="10"/>
        <v>24.905675675675674</v>
      </c>
      <c r="W10" s="135">
        <f t="shared" si="10"/>
        <v>38.155135135135126</v>
      </c>
      <c r="X10" s="135">
        <f t="shared" si="10"/>
        <v>61.071907000000117</v>
      </c>
      <c r="Y10" s="135">
        <f t="shared" si="10"/>
        <v>61.071907000000117</v>
      </c>
      <c r="Z10" s="135">
        <f t="shared" si="10"/>
        <v>61.071907000000117</v>
      </c>
      <c r="AA10" s="135">
        <f t="shared" si="10"/>
        <v>50.990175450450508</v>
      </c>
      <c r="AB10" s="135">
        <f t="shared" si="10"/>
        <v>32.273513513513507</v>
      </c>
      <c r="AC10" s="135">
        <f t="shared" si="4"/>
        <v>394.40418926757309</v>
      </c>
      <c r="AD10" s="26">
        <v>5</v>
      </c>
      <c r="AE10" s="134">
        <f>'Theo dõi TV'!H12</f>
        <v>35.340364183822359</v>
      </c>
      <c r="AF10" s="235">
        <f>_xlfn.XLOOKUP(AE10,F$6:F$24,F$6:F$24,,-1,1)</f>
        <v>34.013593548387092</v>
      </c>
      <c r="AG10" s="235">
        <f>_xlfn.XLOOKUP(AE10,F$6:F$24,F$6:F$24,,1,1)</f>
        <v>37.380000000000003</v>
      </c>
      <c r="AH10" s="25">
        <f>_xlfn.XLOOKUP(AE10,$F$6:$F$24,$A$6:$A$24,,-1,1)</f>
        <v>65</v>
      </c>
      <c r="AI10" s="25">
        <f>_xlfn.XLOOKUP(AE10,$F$6:$F$24,$A$6:$A$24,,1,1)</f>
        <v>60</v>
      </c>
      <c r="AJ10" s="235">
        <f t="shared" si="7"/>
        <v>63.029396250117692</v>
      </c>
      <c r="AL10" s="26">
        <v>5</v>
      </c>
      <c r="AM10" s="245">
        <v>63.029396250117692</v>
      </c>
      <c r="AN10" s="25">
        <f t="shared" si="1"/>
        <v>60</v>
      </c>
      <c r="AO10" s="25">
        <f t="shared" si="2"/>
        <v>65</v>
      </c>
      <c r="AP10" s="235">
        <f>_xlfn.XLOOKUP(AM10,$P$6:$P$24,$U$6:$U$24,,-1,1)</f>
        <v>11.274616216216216</v>
      </c>
      <c r="AQ10" s="235">
        <f>_xlfn.XLOOKUP(AM10,$P$6:$P$24,$U$6:$U$24,,1,1)</f>
        <v>10.259235243243241</v>
      </c>
      <c r="AR10" s="242">
        <f t="shared" si="8"/>
        <v>10.65941795382318</v>
      </c>
      <c r="AS10" s="235">
        <f>_xlfn.XLOOKUP(AM10,$A$6:$A$24,$F$6:$F$24,,-1,1)</f>
        <v>37.380000000000003</v>
      </c>
      <c r="AT10" s="235">
        <f>_xlfn.XLOOKUP(AM10,$A$6:$A$24,$F$6:$F$24,,1,1)</f>
        <v>34.013593548387092</v>
      </c>
      <c r="AU10" s="247">
        <f t="shared" si="5"/>
        <v>35.340364183822366</v>
      </c>
    </row>
    <row r="11" spans="1:47">
      <c r="A11" s="275">
        <v>30</v>
      </c>
      <c r="B11" s="276">
        <v>60.03761525537633</v>
      </c>
      <c r="C11" s="276">
        <v>38.889517857142849</v>
      </c>
      <c r="D11" s="276">
        <v>31.219806451612904</v>
      </c>
      <c r="E11" s="276">
        <v>31.495148518518672</v>
      </c>
      <c r="F11" s="276">
        <v>50.561133064428205</v>
      </c>
      <c r="G11" s="276">
        <v>82.64</v>
      </c>
      <c r="H11" s="276">
        <v>119.79670967741937</v>
      </c>
      <c r="I11" s="276">
        <v>197.4242741935484</v>
      </c>
      <c r="J11" s="276">
        <v>216.95486572531613</v>
      </c>
      <c r="K11" s="276">
        <v>210.8</v>
      </c>
      <c r="L11" s="276">
        <v>168.26065487156109</v>
      </c>
      <c r="M11" s="276">
        <v>93.199999999999989</v>
      </c>
      <c r="N11" s="276">
        <v>100.88018839925756</v>
      </c>
      <c r="P11" s="284">
        <v>30</v>
      </c>
      <c r="Q11" s="135">
        <f t="shared" ref="Q11:AB11" si="11">IF(B11*Q5*24*3600/$AE$3/10^6&gt;$AE$2,$AE$2,B11*Q5*24*3600/$AE$3/10^6)</f>
        <v>18.108642871621619</v>
      </c>
      <c r="R11" s="135">
        <f t="shared" si="11"/>
        <v>10.973150444015442</v>
      </c>
      <c r="S11" s="135">
        <f t="shared" si="11"/>
        <v>9.4165686486486475</v>
      </c>
      <c r="T11" s="135">
        <f t="shared" si="11"/>
        <v>9.1931784864865325</v>
      </c>
      <c r="U11" s="135">
        <f t="shared" si="11"/>
        <v>15.250330945919423</v>
      </c>
      <c r="V11" s="135">
        <f t="shared" si="11"/>
        <v>24.121945945945942</v>
      </c>
      <c r="W11" s="135">
        <f t="shared" si="11"/>
        <v>36.133277837837838</v>
      </c>
      <c r="X11" s="135">
        <f t="shared" si="11"/>
        <v>59.547429729729728</v>
      </c>
      <c r="Y11" s="135">
        <f t="shared" si="11"/>
        <v>61.071907000000117</v>
      </c>
      <c r="Z11" s="135">
        <f t="shared" si="11"/>
        <v>61.071907000000117</v>
      </c>
      <c r="AA11" s="135">
        <f t="shared" si="11"/>
        <v>49.113920881428626</v>
      </c>
      <c r="AB11" s="135">
        <f t="shared" si="11"/>
        <v>28.111135135135129</v>
      </c>
      <c r="AC11" s="135">
        <f t="shared" si="4"/>
        <v>382.11339492676916</v>
      </c>
      <c r="AD11" s="26">
        <v>6</v>
      </c>
      <c r="AE11" s="134">
        <f>'Theo dõi TV'!H13</f>
        <v>71.350534137218901</v>
      </c>
      <c r="AF11" s="235">
        <f>_xlfn.XLOOKUP(AE11,G$6:G$24,G$6:G$24,,-1,1)</f>
        <v>68.665593827168948</v>
      </c>
      <c r="AG11" s="235">
        <f>_xlfn.XLOOKUP(AE11,G$6:G$24,G$6:G$24,,1,1)</f>
        <v>73.099999999999994</v>
      </c>
      <c r="AH11" s="25">
        <f>_xlfn.XLOOKUP(AE11,$G$6:$G$24,$A$6:$A$24,,-1,1)</f>
        <v>45</v>
      </c>
      <c r="AI11" s="25">
        <f>_xlfn.XLOOKUP(AE11,$G$6:$G$24,$A$6:$A$24,,1,1)</f>
        <v>40</v>
      </c>
      <c r="AJ11" s="235">
        <f t="shared" si="7"/>
        <v>41.972604441942892</v>
      </c>
      <c r="AL11" s="26">
        <v>6</v>
      </c>
      <c r="AM11" s="245">
        <v>41.972604441942892</v>
      </c>
      <c r="AN11" s="25">
        <f t="shared" si="1"/>
        <v>40</v>
      </c>
      <c r="AO11" s="25">
        <f t="shared" si="2"/>
        <v>45</v>
      </c>
      <c r="AP11" s="235">
        <f>_xlfn.XLOOKUP(AM11,$P$6:$P$24,$V$6:$V$24,,-1,1)</f>
        <v>21.337297297297294</v>
      </c>
      <c r="AQ11" s="235">
        <f>_xlfn.XLOOKUP(AM11,$P$6:$P$24,$V$6:$V$24,,1,1)</f>
        <v>20.042930090092554</v>
      </c>
      <c r="AR11" s="242">
        <f t="shared" si="8"/>
        <v>20.826642396809838</v>
      </c>
      <c r="AS11" s="235">
        <f>_xlfn.XLOOKUP(AM11,$A$6:$A$24,$G$6:$G$24,,-1,1)</f>
        <v>73.099999999999994</v>
      </c>
      <c r="AT11" s="235">
        <f>_xlfn.XLOOKUP(AM11,$A$6:$A$24,$G$6:$G$24,,1,1)</f>
        <v>68.665593827168948</v>
      </c>
      <c r="AU11" s="247">
        <f t="shared" si="5"/>
        <v>71.350534137218887</v>
      </c>
    </row>
    <row r="12" spans="1:47">
      <c r="A12" s="275">
        <v>35</v>
      </c>
      <c r="B12" s="276">
        <v>56.537802419357078</v>
      </c>
      <c r="C12" s="276">
        <v>37.034285714285716</v>
      </c>
      <c r="D12" s="276">
        <v>29.95</v>
      </c>
      <c r="E12" s="276">
        <v>31.155000000000001</v>
      </c>
      <c r="F12" s="276">
        <v>47.79766129032258</v>
      </c>
      <c r="G12" s="276">
        <v>80.56</v>
      </c>
      <c r="H12" s="276">
        <v>111.1</v>
      </c>
      <c r="I12" s="276">
        <v>192.58836229843038</v>
      </c>
      <c r="J12" s="276">
        <v>212.1</v>
      </c>
      <c r="K12" s="276">
        <v>206.17161290322582</v>
      </c>
      <c r="L12" s="276">
        <v>149.5</v>
      </c>
      <c r="M12" s="276">
        <v>84.741194790563753</v>
      </c>
      <c r="N12" s="276">
        <v>98.228333333333325</v>
      </c>
      <c r="P12" s="284">
        <v>35</v>
      </c>
      <c r="Q12" s="135">
        <f t="shared" ref="Q12:AB12" si="12">IF(B12*Q5*24*3600/$AE$3/10^6&gt;$AE$2,$AE$2,B12*Q5*24*3600/$AE$3/10^6)</f>
        <v>17.053023648649319</v>
      </c>
      <c r="R12" s="135">
        <f t="shared" si="12"/>
        <v>10.449674131274131</v>
      </c>
      <c r="S12" s="135">
        <f t="shared" si="12"/>
        <v>9.033567567567566</v>
      </c>
      <c r="T12" s="135">
        <f t="shared" si="12"/>
        <v>9.093891891891893</v>
      </c>
      <c r="U12" s="135">
        <f t="shared" si="12"/>
        <v>14.416808108108107</v>
      </c>
      <c r="V12" s="135">
        <f t="shared" si="12"/>
        <v>23.514810810810811</v>
      </c>
      <c r="W12" s="135">
        <f t="shared" si="12"/>
        <v>33.51016216216216</v>
      </c>
      <c r="X12" s="135">
        <f t="shared" si="12"/>
        <v>58.088814141904948</v>
      </c>
      <c r="Y12" s="135">
        <f t="shared" si="12"/>
        <v>61.071907000000117</v>
      </c>
      <c r="Z12" s="135">
        <f t="shared" si="12"/>
        <v>61.071907000000117</v>
      </c>
      <c r="AA12" s="135">
        <f t="shared" si="12"/>
        <v>43.637837837837836</v>
      </c>
      <c r="AB12" s="135">
        <f t="shared" si="12"/>
        <v>25.559776590883555</v>
      </c>
      <c r="AC12" s="135">
        <f t="shared" si="4"/>
        <v>366.50218089109052</v>
      </c>
      <c r="AD12" s="26">
        <v>7</v>
      </c>
      <c r="AE12" s="134">
        <f>'Theo dõi TV'!H14</f>
        <v>75</v>
      </c>
      <c r="AF12" s="235">
        <f>_xlfn.XLOOKUP(AE12,H$6:H$24,H$6:H$24,,-1,1)</f>
        <v>74.219919354838723</v>
      </c>
      <c r="AG12" s="235">
        <f>_xlfn.XLOOKUP(AE12,H$6:H$24,H$6:H$24,,1,1)</f>
        <v>78.974689556083845</v>
      </c>
      <c r="AH12" s="25">
        <f>_xlfn.XLOOKUP(AE12,$H$6:$H$24,$A$6:$A$24,,-1,1)</f>
        <v>70</v>
      </c>
      <c r="AI12" s="25">
        <f>_xlfn.XLOOKUP(AE12,$H$6:$H$24,$A$6:$A$24,,1,1)</f>
        <v>65</v>
      </c>
      <c r="AJ12" s="235">
        <f t="shared" si="7"/>
        <v>69.179686281203473</v>
      </c>
      <c r="AL12" s="26">
        <v>7</v>
      </c>
      <c r="AM12" s="459">
        <f>AJ12</f>
        <v>69.179686281203473</v>
      </c>
      <c r="AN12" s="25">
        <f t="shared" si="1"/>
        <v>65</v>
      </c>
      <c r="AO12" s="25">
        <f t="shared" si="2"/>
        <v>70</v>
      </c>
      <c r="AP12" s="235">
        <f>_xlfn.XLOOKUP(AM12,$P$6:$P$24,$W$6:$W$24,,-1,1)</f>
        <v>23.820473930970156</v>
      </c>
      <c r="AQ12" s="235">
        <f>_xlfn.XLOOKUP(AM12,$P$6:$P$24,$W$6:$W$24,,1,1)</f>
        <v>22.386332432432436</v>
      </c>
      <c r="AR12" s="242">
        <f t="shared" si="8"/>
        <v>22.621621621621621</v>
      </c>
      <c r="AS12" s="235">
        <f>_xlfn.XLOOKUP(AM12,$A$6:$A$24,$H$6:$H$24,,-1,1)</f>
        <v>78.974689556083845</v>
      </c>
      <c r="AT12" s="235">
        <f>_xlfn.XLOOKUP(AM12,$A$6:$A$24,$H$6:$H$24,,1,1)</f>
        <v>74.219919354838723</v>
      </c>
      <c r="AU12" s="247">
        <f t="shared" si="5"/>
        <v>75</v>
      </c>
    </row>
    <row r="13" spans="1:47">
      <c r="A13" s="275">
        <v>40</v>
      </c>
      <c r="B13" s="276">
        <v>55.14</v>
      </c>
      <c r="C13" s="276">
        <v>35.18</v>
      </c>
      <c r="D13" s="276">
        <v>28.06</v>
      </c>
      <c r="E13" s="276">
        <v>29.684626962234418</v>
      </c>
      <c r="F13" s="276">
        <v>44.021856496414401</v>
      </c>
      <c r="G13" s="276">
        <v>73.099999999999994</v>
      </c>
      <c r="H13" s="276">
        <v>104.19999999999999</v>
      </c>
      <c r="I13" s="276">
        <v>166.85627139340551</v>
      </c>
      <c r="J13" s="276">
        <v>204.51920000000001</v>
      </c>
      <c r="K13" s="276">
        <v>190.63382019538903</v>
      </c>
      <c r="L13" s="276">
        <v>139</v>
      </c>
      <c r="M13" s="276">
        <v>81.16</v>
      </c>
      <c r="N13" s="276">
        <v>97.513060161616423</v>
      </c>
      <c r="P13" s="284">
        <v>40</v>
      </c>
      <c r="Q13" s="135">
        <f t="shared" ref="Q13:AB13" si="13">IF(B13*Q5*24*3600/$AE$3/10^6&gt;$AE$2,$AE$2,B13*Q5*24*3600/$AE$3/10^6)</f>
        <v>16.631416216216213</v>
      </c>
      <c r="R13" s="135">
        <f t="shared" si="13"/>
        <v>9.9264648648648635</v>
      </c>
      <c r="S13" s="135">
        <f t="shared" si="13"/>
        <v>8.4635027027027014</v>
      </c>
      <c r="T13" s="135">
        <f t="shared" si="13"/>
        <v>8.6647019241116681</v>
      </c>
      <c r="U13" s="135">
        <f t="shared" si="13"/>
        <v>13.277943743242828</v>
      </c>
      <c r="V13" s="135">
        <f t="shared" si="13"/>
        <v>21.337297297297294</v>
      </c>
      <c r="W13" s="135">
        <f t="shared" si="13"/>
        <v>31.428972972972964</v>
      </c>
      <c r="X13" s="135">
        <f t="shared" si="13"/>
        <v>50.327459155416364</v>
      </c>
      <c r="Y13" s="135">
        <f t="shared" si="13"/>
        <v>59.697496216216209</v>
      </c>
      <c r="Z13" s="135">
        <f t="shared" si="13"/>
        <v>57.49928198325788</v>
      </c>
      <c r="AA13" s="135">
        <f t="shared" si="13"/>
        <v>40.57297297297297</v>
      </c>
      <c r="AB13" s="135">
        <f t="shared" si="13"/>
        <v>24.479610810810808</v>
      </c>
      <c r="AC13" s="135">
        <f t="shared" si="4"/>
        <v>342.30712086008282</v>
      </c>
      <c r="AD13" s="26">
        <v>8</v>
      </c>
      <c r="AE13" s="134">
        <f>'Theo dõi TV'!H15</f>
        <v>115</v>
      </c>
      <c r="AF13" s="235">
        <f>_xlfn.XLOOKUP(AE13,I$6:I$24,I$6:I$24,,-1,1)</f>
        <v>106.9</v>
      </c>
      <c r="AG13" s="235">
        <f>_xlfn.XLOOKUP(AE13,I$6:I$24,I$6:I$24,,1,1)</f>
        <v>122.9</v>
      </c>
      <c r="AH13" s="25">
        <f>_xlfn.XLOOKUP(AE13,$I$6:$I$24,$A$6:$A$24,,-1,1)</f>
        <v>70</v>
      </c>
      <c r="AI13" s="25">
        <f>_xlfn.XLOOKUP(AE13,$I$6:$I$24,$A$6:$A$24,,1,1)</f>
        <v>65</v>
      </c>
      <c r="AJ13" s="235">
        <f t="shared" si="7"/>
        <v>67.46875</v>
      </c>
      <c r="AL13" s="26">
        <v>8</v>
      </c>
      <c r="AM13" s="459">
        <v>91</v>
      </c>
      <c r="AN13" s="25">
        <f t="shared" si="1"/>
        <v>90</v>
      </c>
      <c r="AO13" s="25">
        <f t="shared" si="2"/>
        <v>95</v>
      </c>
      <c r="AP13" s="235">
        <f>_xlfn.XLOOKUP(AM13,$P$6:$P$24,$X$6:$X$24,,-1,1)</f>
        <v>25.725750810810808</v>
      </c>
      <c r="AQ13" s="235">
        <f>_xlfn.XLOOKUP(AM13,$P$6:$P$24,$X$6:$X$24,,1,1)</f>
        <v>21.781605405405404</v>
      </c>
      <c r="AR13" s="242">
        <f t="shared" si="8"/>
        <v>24.936921729729733</v>
      </c>
      <c r="AS13" s="235">
        <f>_xlfn.XLOOKUP(AM13,$A$6:$A$24,$I$6:$I$24,,-1,1)</f>
        <v>85.291467741935477</v>
      </c>
      <c r="AT13" s="235">
        <f>_xlfn.XLOOKUP(AM13,$A$6:$A$24,$I$6:$I$24,,1,1)</f>
        <v>72.215000000000018</v>
      </c>
      <c r="AU13" s="247">
        <f t="shared" si="5"/>
        <v>82.676174193548405</v>
      </c>
    </row>
    <row r="14" spans="1:47">
      <c r="A14" s="275">
        <v>45</v>
      </c>
      <c r="B14" s="276">
        <v>51.68</v>
      </c>
      <c r="C14" s="276">
        <v>33.928124195767097</v>
      </c>
      <c r="D14" s="276">
        <v>26.665000000000003</v>
      </c>
      <c r="E14" s="276">
        <v>28.085199999999997</v>
      </c>
      <c r="F14" s="276">
        <v>43.045000000000002</v>
      </c>
      <c r="G14" s="276">
        <v>68.665593827168948</v>
      </c>
      <c r="H14" s="276">
        <v>98.773667413407637</v>
      </c>
      <c r="I14" s="276">
        <v>151.52523873914703</v>
      </c>
      <c r="J14" s="276">
        <v>191.66877500000001</v>
      </c>
      <c r="K14" s="276">
        <v>178.55</v>
      </c>
      <c r="L14" s="276">
        <v>126.64913333333335</v>
      </c>
      <c r="M14" s="276">
        <v>79.3</v>
      </c>
      <c r="N14" s="276">
        <v>94.437340728257524</v>
      </c>
      <c r="P14" s="284">
        <v>45</v>
      </c>
      <c r="Q14" s="135">
        <f t="shared" ref="Q14:AB14" si="14">IF(B14*Q5*24*3600/$AE$3/10^6&gt;$AE$2,$AE$2,B14*Q5*24*3600/$AE$3/10^6)</f>
        <v>15.587805405405405</v>
      </c>
      <c r="R14" s="135">
        <f t="shared" si="14"/>
        <v>9.5732328811840119</v>
      </c>
      <c r="S14" s="135">
        <f t="shared" si="14"/>
        <v>8.0427405405405388</v>
      </c>
      <c r="T14" s="135">
        <f t="shared" si="14"/>
        <v>8.1978421621621607</v>
      </c>
      <c r="U14" s="135">
        <f t="shared" si="14"/>
        <v>12.983302702702701</v>
      </c>
      <c r="V14" s="135">
        <f t="shared" si="14"/>
        <v>20.042930090092554</v>
      </c>
      <c r="W14" s="135">
        <f t="shared" si="14"/>
        <v>29.792273738746733</v>
      </c>
      <c r="X14" s="135">
        <f t="shared" si="14"/>
        <v>45.703288225104878</v>
      </c>
      <c r="Y14" s="135">
        <f t="shared" si="14"/>
        <v>55.946561351351349</v>
      </c>
      <c r="Z14" s="135">
        <f t="shared" si="14"/>
        <v>53.854540540540548</v>
      </c>
      <c r="AA14" s="135">
        <f t="shared" si="14"/>
        <v>36.967855135135146</v>
      </c>
      <c r="AB14" s="135">
        <f t="shared" si="14"/>
        <v>23.918594594594595</v>
      </c>
      <c r="AC14" s="135">
        <f t="shared" si="4"/>
        <v>320.61096736756059</v>
      </c>
      <c r="AD14" s="26">
        <v>9</v>
      </c>
      <c r="AE14" s="134">
        <f>'Theo dõi TV'!H16</f>
        <v>153</v>
      </c>
      <c r="AF14" s="235">
        <f>_xlfn.XLOOKUP(AE14,J$6:J$24,J$6:J$24,,-1,1)</f>
        <v>146.23670916666666</v>
      </c>
      <c r="AG14" s="235">
        <f>_xlfn.XLOOKUP(AE14,J$6:J$24,J$6:J$24,,1,1)</f>
        <v>162.23282251518984</v>
      </c>
      <c r="AH14" s="25">
        <f>_xlfn.XLOOKUP(AE14,$J$6:$J$24,$A$6:$A$24,,-1,1)</f>
        <v>75</v>
      </c>
      <c r="AI14" s="25">
        <f>_xlfn.XLOOKUP(AE14,$J$6:$J$24,$A$6:$A$24,,1,1)</f>
        <v>70</v>
      </c>
      <c r="AJ14" s="235">
        <f t="shared" si="7"/>
        <v>72.885958080574071</v>
      </c>
      <c r="AL14" s="26">
        <v>9</v>
      </c>
      <c r="AM14" s="459">
        <v>47</v>
      </c>
      <c r="AN14" s="25">
        <f t="shared" si="1"/>
        <v>45</v>
      </c>
      <c r="AO14" s="25">
        <f t="shared" si="2"/>
        <v>50</v>
      </c>
      <c r="AP14" s="235">
        <f>_xlfn.XLOOKUP(AM14,$P$6:$P$24,$Y$6:$Y$24,,-1,1)</f>
        <v>55.946561351351349</v>
      </c>
      <c r="AQ14" s="235">
        <f>_xlfn.XLOOKUP(AM14,$P$6:$P$24,$Y$6:$Y$24,,1,1)</f>
        <v>53.744148738744144</v>
      </c>
      <c r="AR14" s="242">
        <f t="shared" si="8"/>
        <v>55.065596306308464</v>
      </c>
      <c r="AS14" s="235">
        <f>_xlfn.XLOOKUP(AM14,$A$6:$A$24,$J$6:$J$24,,-1,1)</f>
        <v>191.66877500000001</v>
      </c>
      <c r="AT14" s="235">
        <f>_xlfn.XLOOKUP(AM14,$A$6:$A$24,$J$6:$J$24,,1,1)</f>
        <v>184.12347253088274</v>
      </c>
      <c r="AU14" s="247">
        <f t="shared" si="5"/>
        <v>188.6506540123531</v>
      </c>
    </row>
    <row r="15" spans="1:47">
      <c r="A15" s="275">
        <v>50</v>
      </c>
      <c r="B15" s="276">
        <v>48.75</v>
      </c>
      <c r="C15" s="276">
        <v>33.225482142857146</v>
      </c>
      <c r="D15" s="276">
        <v>25.593491823469968</v>
      </c>
      <c r="E15" s="276">
        <v>27.15</v>
      </c>
      <c r="F15" s="276">
        <v>40.950000000000003</v>
      </c>
      <c r="G15" s="276">
        <v>64.58637974541162</v>
      </c>
      <c r="H15" s="276">
        <v>91.95</v>
      </c>
      <c r="I15" s="276">
        <v>143.74803870967742</v>
      </c>
      <c r="J15" s="276">
        <v>184.12347253088274</v>
      </c>
      <c r="K15" s="276">
        <v>173.5</v>
      </c>
      <c r="L15" s="276">
        <v>122</v>
      </c>
      <c r="M15" s="276">
        <v>78.933500597372273</v>
      </c>
      <c r="N15" s="276">
        <v>91.334399403040408</v>
      </c>
      <c r="P15" s="284">
        <v>50</v>
      </c>
      <c r="Q15" s="135">
        <f t="shared" ref="Q15:AB15" si="15">IF(B15*Q5*24*3600/$AE$3/10^6&gt;$AE$2,$AE$2,B15*Q5*24*3600/$AE$3/10^6)</f>
        <v>14.704054054054053</v>
      </c>
      <c r="R15" s="135">
        <f t="shared" si="15"/>
        <v>9.3749738803088807</v>
      </c>
      <c r="S15" s="135">
        <f t="shared" si="15"/>
        <v>7.7195505067547243</v>
      </c>
      <c r="T15" s="135">
        <f t="shared" si="15"/>
        <v>7.9248648648648645</v>
      </c>
      <c r="U15" s="135">
        <f t="shared" si="15"/>
        <v>12.351405405405407</v>
      </c>
      <c r="V15" s="135">
        <f t="shared" si="15"/>
        <v>18.852240574336363</v>
      </c>
      <c r="W15" s="135">
        <f t="shared" si="15"/>
        <v>27.734108108108106</v>
      </c>
      <c r="X15" s="135">
        <f t="shared" si="15"/>
        <v>43.35751654054053</v>
      </c>
      <c r="Y15" s="135">
        <f t="shared" si="15"/>
        <v>53.744148738744144</v>
      </c>
      <c r="Z15" s="135">
        <f t="shared" si="15"/>
        <v>52.331351351351344</v>
      </c>
      <c r="AA15" s="135">
        <f t="shared" si="15"/>
        <v>35.610810810810804</v>
      </c>
      <c r="AB15" s="135">
        <f t="shared" si="15"/>
        <v>23.808050450450661</v>
      </c>
      <c r="AC15" s="135">
        <f t="shared" si="4"/>
        <v>307.51307528572988</v>
      </c>
      <c r="AD15" s="26">
        <v>10</v>
      </c>
      <c r="AE15" s="134">
        <f>'Theo dõi TV'!H17</f>
        <v>160</v>
      </c>
      <c r="AF15" s="235">
        <f>_xlfn.XLOOKUP(AE15,K$6:K$24,K$6:K$24,,-1,1)</f>
        <v>158.03907594085055</v>
      </c>
      <c r="AG15" s="235">
        <f>_xlfn.XLOOKUP(AE15,K$6:K$24,K$6:K$24,,1,1)</f>
        <v>164</v>
      </c>
      <c r="AH15" s="25">
        <f>_xlfn.XLOOKUP(AE15,$K$6:$K$24,$A$6:$A$24,,-1,1)</f>
        <v>65</v>
      </c>
      <c r="AI15" s="25">
        <f>_xlfn.XLOOKUP(AE15,$K$6:$K$24,$A$6:$A$24,,1,1)</f>
        <v>60</v>
      </c>
      <c r="AJ15" s="235">
        <f t="shared" si="7"/>
        <v>63.355184498501046</v>
      </c>
      <c r="AL15" s="26">
        <v>10</v>
      </c>
      <c r="AM15" s="459">
        <v>57</v>
      </c>
      <c r="AN15" s="25">
        <f t="shared" si="1"/>
        <v>55</v>
      </c>
      <c r="AO15" s="25">
        <f t="shared" si="2"/>
        <v>60</v>
      </c>
      <c r="AP15" s="235">
        <f>_xlfn.XLOOKUP(AM15,$P$6:$P$24,$Z$6:$Z$24,,-1,1)</f>
        <v>49.991098378378375</v>
      </c>
      <c r="AQ15" s="235">
        <f>_xlfn.XLOOKUP(AM15,$P$6:$P$24,$Z$6:$Z$24,,1,1)</f>
        <v>49.46594594594594</v>
      </c>
      <c r="AR15" s="242">
        <f t="shared" si="8"/>
        <v>49.781037405405399</v>
      </c>
      <c r="AS15" s="235">
        <f>_xlfn.XLOOKUP(AM15,$A$6:$A$24,$K$6:$K$24,,-1,1)</f>
        <v>165.74109677419355</v>
      </c>
      <c r="AT15" s="235">
        <f>_xlfn.XLOOKUP(AM15,$A$6:$A$24,$K$6:$K$24,,1,1)</f>
        <v>164</v>
      </c>
      <c r="AU15" s="247">
        <f t="shared" si="5"/>
        <v>165.04465806451614</v>
      </c>
    </row>
    <row r="16" spans="1:47">
      <c r="A16" s="275">
        <v>55</v>
      </c>
      <c r="B16" s="276">
        <v>44.789999999999992</v>
      </c>
      <c r="C16" s="276">
        <v>31.786017241379309</v>
      </c>
      <c r="D16" s="276">
        <v>24.987450000000003</v>
      </c>
      <c r="E16" s="276">
        <v>26.540199606480261</v>
      </c>
      <c r="F16" s="276">
        <v>39.660000000000004</v>
      </c>
      <c r="G16" s="276">
        <v>62.29</v>
      </c>
      <c r="H16" s="276">
        <v>87.13</v>
      </c>
      <c r="I16" s="276">
        <v>133.17148651433035</v>
      </c>
      <c r="J16" s="276">
        <v>178.34478425926994</v>
      </c>
      <c r="K16" s="276">
        <v>165.74109677419355</v>
      </c>
      <c r="L16" s="276">
        <v>114.88709074073806</v>
      </c>
      <c r="M16" s="276">
        <v>74.952134408602163</v>
      </c>
      <c r="N16" s="276">
        <v>88.851969783704959</v>
      </c>
      <c r="P16" s="284">
        <v>55</v>
      </c>
      <c r="Q16" s="135">
        <f t="shared" ref="Q16:AB16" si="16">IF(B16*Q5*24*3600/$AE$3/10^6&gt;$AE$2,$AE$2,B16*Q5*24*3600/$AE$3/10^6)</f>
        <v>13.509632432432429</v>
      </c>
      <c r="R16" s="135">
        <f t="shared" si="16"/>
        <v>8.9688113513513503</v>
      </c>
      <c r="S16" s="135">
        <f t="shared" si="16"/>
        <v>7.5367551891891891</v>
      </c>
      <c r="T16" s="135">
        <f t="shared" si="16"/>
        <v>7.7468690743239668</v>
      </c>
      <c r="U16" s="135">
        <f t="shared" si="16"/>
        <v>11.962313513513513</v>
      </c>
      <c r="V16" s="135">
        <f t="shared" si="16"/>
        <v>18.181945945945944</v>
      </c>
      <c r="W16" s="135">
        <f t="shared" si="16"/>
        <v>26.280291891891885</v>
      </c>
      <c r="X16" s="135">
        <f t="shared" si="16"/>
        <v>40.167399716214227</v>
      </c>
      <c r="Y16" s="135">
        <f t="shared" si="16"/>
        <v>52.057396486489601</v>
      </c>
      <c r="Z16" s="135">
        <f t="shared" si="16"/>
        <v>49.991098378378375</v>
      </c>
      <c r="AA16" s="135">
        <f t="shared" si="16"/>
        <v>33.534610270269482</v>
      </c>
      <c r="AB16" s="135">
        <f t="shared" si="16"/>
        <v>22.607184324324329</v>
      </c>
      <c r="AC16" s="135">
        <f t="shared" si="4"/>
        <v>292.5443085743243</v>
      </c>
      <c r="AD16" s="26">
        <v>11</v>
      </c>
      <c r="AE16" s="134">
        <f>'Theo dõi TV'!H18</f>
        <v>105</v>
      </c>
      <c r="AF16" s="235">
        <f>_xlfn.XLOOKUP(AE16,L$6:L$24,L$6:L$24,,-1,1)</f>
        <v>98.034624444429809</v>
      </c>
      <c r="AG16" s="235">
        <f>_xlfn.XLOOKUP(AE16,L$6:L$24,L$6:L$24,,1,1)</f>
        <v>108.60000000000001</v>
      </c>
      <c r="AH16" s="25">
        <f>_xlfn.XLOOKUP(AE16,$L$6:$L$24,$A$6:$A$24,,-1,1)</f>
        <v>65</v>
      </c>
      <c r="AI16" s="25">
        <f>_xlfn.XLOOKUP(AE16,$L$6:$L$24,$A$6:$A$24,,1,1)</f>
        <v>60</v>
      </c>
      <c r="AJ16" s="235">
        <f t="shared" si="7"/>
        <v>61.703678199163512</v>
      </c>
      <c r="AL16" s="26">
        <v>11</v>
      </c>
      <c r="AM16" s="459">
        <v>34</v>
      </c>
      <c r="AN16" s="25">
        <f t="shared" si="1"/>
        <v>30</v>
      </c>
      <c r="AO16" s="25">
        <f t="shared" si="2"/>
        <v>35</v>
      </c>
      <c r="AP16" s="235">
        <f>_xlfn.XLOOKUP(AM16,$P$6:$P$24,$AA$6:$AA$24,,-1,1)</f>
        <v>49.113920881428626</v>
      </c>
      <c r="AQ16" s="235">
        <f>_xlfn.XLOOKUP(AM16,$P$6:$P$24,$AA$6:$AA$24,,1,1)</f>
        <v>43.637837837837836</v>
      </c>
      <c r="AR16" s="242">
        <f t="shared" si="8"/>
        <v>44.733054446555997</v>
      </c>
      <c r="AS16" s="235">
        <f>_xlfn.XLOOKUP(AM16,$A$6:$A$24,$L$6:$L$24,,-1,1)</f>
        <v>168.26065487156109</v>
      </c>
      <c r="AT16" s="235">
        <f>_xlfn.XLOOKUP(AM16,$A$6:$A$24,$L$6:$L$24,,1,1)</f>
        <v>149.5</v>
      </c>
      <c r="AU16" s="247">
        <f t="shared" si="5"/>
        <v>153.25213097431222</v>
      </c>
    </row>
    <row r="17" spans="1:47">
      <c r="A17" s="275">
        <v>60</v>
      </c>
      <c r="B17" s="276">
        <v>43.160000000000004</v>
      </c>
      <c r="C17" s="276">
        <v>30.602674329501959</v>
      </c>
      <c r="D17" s="276">
        <v>23.584863500586891</v>
      </c>
      <c r="E17" s="276">
        <v>25.76</v>
      </c>
      <c r="F17" s="276">
        <v>37.380000000000003</v>
      </c>
      <c r="G17" s="276">
        <v>58.813276077732823</v>
      </c>
      <c r="H17" s="276">
        <v>84.2</v>
      </c>
      <c r="I17" s="276">
        <v>128.25323309434509</v>
      </c>
      <c r="J17" s="276">
        <v>176.6</v>
      </c>
      <c r="K17" s="276">
        <v>164</v>
      </c>
      <c r="L17" s="276">
        <v>108.60000000000001</v>
      </c>
      <c r="M17" s="276">
        <v>70.14</v>
      </c>
      <c r="N17" s="276">
        <v>86.636328773528689</v>
      </c>
      <c r="P17" s="284">
        <v>60</v>
      </c>
      <c r="Q17" s="135">
        <f t="shared" ref="Q17:AB17" si="17">IF(B17*Q5*24*3600/$AE$3/10^6&gt;$AE$2,$AE$2,B17*Q5*24*3600/$AE$3/10^6)</f>
        <v>13.017989189189189</v>
      </c>
      <c r="R17" s="135">
        <f t="shared" si="17"/>
        <v>8.634916756756768</v>
      </c>
      <c r="S17" s="135">
        <f t="shared" si="17"/>
        <v>7.1137047747716133</v>
      </c>
      <c r="T17" s="135">
        <f t="shared" si="17"/>
        <v>7.5191351351351345</v>
      </c>
      <c r="U17" s="135">
        <f t="shared" si="17"/>
        <v>11.274616216216216</v>
      </c>
      <c r="V17" s="135">
        <f t="shared" si="17"/>
        <v>17.16711842268958</v>
      </c>
      <c r="W17" s="135">
        <f t="shared" si="17"/>
        <v>25.396540540540538</v>
      </c>
      <c r="X17" s="135">
        <f t="shared" si="17"/>
        <v>38.683948144132188</v>
      </c>
      <c r="Y17" s="135">
        <f t="shared" si="17"/>
        <v>51.548108108108103</v>
      </c>
      <c r="Z17" s="135">
        <f t="shared" si="17"/>
        <v>49.46594594594594</v>
      </c>
      <c r="AA17" s="135">
        <f t="shared" si="17"/>
        <v>31.699459459459465</v>
      </c>
      <c r="AB17" s="135">
        <f t="shared" si="17"/>
        <v>21.155740540540538</v>
      </c>
      <c r="AC17" s="135">
        <f t="shared" si="4"/>
        <v>282.67722323348528</v>
      </c>
      <c r="AD17" s="26">
        <v>12</v>
      </c>
      <c r="AE17" s="134">
        <f>'Theo dõi TV'!H19</f>
        <v>73.5</v>
      </c>
      <c r="AF17" s="235">
        <f>_xlfn.XLOOKUP(AE17,M$6:M$24,M$6:M$24,,-1,1)</f>
        <v>70.14</v>
      </c>
      <c r="AG17" s="235">
        <f>_xlfn.XLOOKUP(AE17,M$6:M$24,M$6:M$24,,1,1)</f>
        <v>74.952134408602163</v>
      </c>
      <c r="AH17" s="25">
        <f>_xlfn.XLOOKUP(AE17,M$6:M$24,$A$6:$A$24,,-1,1)</f>
        <v>60</v>
      </c>
      <c r="AI17" s="25">
        <f>_xlfn.XLOOKUP(AE17,M$6:M$24,$A$6:$A$24,,1,1)</f>
        <v>55</v>
      </c>
      <c r="AJ17" s="235">
        <f t="shared" si="7"/>
        <v>56.508825694899883</v>
      </c>
      <c r="AL17" s="26">
        <v>12</v>
      </c>
      <c r="AM17" s="459">
        <v>27</v>
      </c>
      <c r="AN17" s="25">
        <f t="shared" si="1"/>
        <v>25</v>
      </c>
      <c r="AO17" s="25">
        <f t="shared" si="2"/>
        <v>30</v>
      </c>
      <c r="AP17" s="235">
        <f>_xlfn.XLOOKUP(AM17,$P$6:$P$24,$AB$6:$AB$24,,-1,1)</f>
        <v>32.273513513513507</v>
      </c>
      <c r="AQ17" s="235">
        <f>_xlfn.XLOOKUP(AM17,$P$6:$P$24,$AB$6:$AB$24,,1,1)</f>
        <v>28.111135135135129</v>
      </c>
      <c r="AR17" s="242">
        <f t="shared" si="8"/>
        <v>30.608562162162155</v>
      </c>
      <c r="AS17" s="235">
        <f>_xlfn.XLOOKUP(AM17,$A$6:$A$24,$M$6:$M$24,,-1,1)</f>
        <v>107</v>
      </c>
      <c r="AT17" s="235">
        <f>_xlfn.XLOOKUP(AM17,$A$6:$A$24,$M$6:$M$24,,1,1)</f>
        <v>93.199999999999989</v>
      </c>
      <c r="AU17" s="247">
        <f t="shared" si="5"/>
        <v>101.47999999999999</v>
      </c>
    </row>
    <row r="18" spans="1:47">
      <c r="A18" s="275">
        <v>65</v>
      </c>
      <c r="B18" s="276">
        <v>41.743016129032256</v>
      </c>
      <c r="C18" s="276">
        <v>30.09</v>
      </c>
      <c r="D18" s="276">
        <v>22.440040322580646</v>
      </c>
      <c r="E18" s="276">
        <v>24.594999999999999</v>
      </c>
      <c r="F18" s="276">
        <v>34.013593548387092</v>
      </c>
      <c r="G18" s="276">
        <v>54.155000000000001</v>
      </c>
      <c r="H18" s="276">
        <v>78.974689556083845</v>
      </c>
      <c r="I18" s="276">
        <v>122.9</v>
      </c>
      <c r="J18" s="276">
        <v>166.45</v>
      </c>
      <c r="K18" s="276">
        <v>158.03907594085055</v>
      </c>
      <c r="L18" s="276">
        <v>98.034624444429809</v>
      </c>
      <c r="M18" s="276">
        <v>64.903562290919993</v>
      </c>
      <c r="N18" s="276">
        <v>84.132499999999993</v>
      </c>
      <c r="P18" s="284">
        <v>65</v>
      </c>
      <c r="Q18" s="135">
        <f t="shared" ref="Q18:AB18" si="18">IF(B18*Q5*24*3600/$AE$3/10^6&gt;$AE$2,$AE$2,B18*Q5*24*3600/$AE$3/10^6)</f>
        <v>12.590596216216216</v>
      </c>
      <c r="R18" s="135">
        <f t="shared" si="18"/>
        <v>8.4902594594594589</v>
      </c>
      <c r="S18" s="135">
        <f t="shared" si="18"/>
        <v>6.7684013513513506</v>
      </c>
      <c r="T18" s="135">
        <f t="shared" si="18"/>
        <v>7.1790810810810797</v>
      </c>
      <c r="U18" s="135">
        <f t="shared" si="18"/>
        <v>10.259235243243241</v>
      </c>
      <c r="V18" s="135">
        <f t="shared" si="18"/>
        <v>15.807405405405408</v>
      </c>
      <c r="W18" s="135">
        <f t="shared" si="18"/>
        <v>23.820473930970156</v>
      </c>
      <c r="X18" s="135">
        <f t="shared" si="18"/>
        <v>37.06929729729729</v>
      </c>
      <c r="Y18" s="135">
        <f t="shared" si="18"/>
        <v>48.585405405405403</v>
      </c>
      <c r="Z18" s="135">
        <f t="shared" si="18"/>
        <v>47.668002364861948</v>
      </c>
      <c r="AA18" s="135">
        <f t="shared" si="18"/>
        <v>28.615511999995729</v>
      </c>
      <c r="AB18" s="135">
        <f t="shared" si="18"/>
        <v>19.576317707207217</v>
      </c>
      <c r="AC18" s="135">
        <f t="shared" si="4"/>
        <v>266.42998746249447</v>
      </c>
      <c r="AE18" s="25"/>
      <c r="AF18" s="25"/>
      <c r="AG18" s="25"/>
      <c r="AH18" s="25"/>
      <c r="AI18" s="25"/>
      <c r="AJ18" s="25"/>
      <c r="AM18" s="241" t="s">
        <v>46</v>
      </c>
      <c r="AR18" s="241" t="s">
        <v>47</v>
      </c>
    </row>
    <row r="19" spans="1:47">
      <c r="A19" s="275">
        <v>70</v>
      </c>
      <c r="B19" s="276">
        <v>40.194654719237597</v>
      </c>
      <c r="C19" s="276">
        <v>28.828290327392132</v>
      </c>
      <c r="D19" s="276">
        <v>21.841269825323572</v>
      </c>
      <c r="E19" s="276">
        <v>23.606300000000005</v>
      </c>
      <c r="F19" s="276">
        <v>32.829122125147279</v>
      </c>
      <c r="G19" s="276">
        <v>51.780899999999995</v>
      </c>
      <c r="H19" s="276">
        <v>74.219919354838723</v>
      </c>
      <c r="I19" s="276">
        <v>106.9</v>
      </c>
      <c r="J19" s="276">
        <v>162.23282251518984</v>
      </c>
      <c r="K19" s="276">
        <v>154.08290322580646</v>
      </c>
      <c r="L19" s="276">
        <v>93.62371111111112</v>
      </c>
      <c r="M19" s="276">
        <v>62.300000000000004</v>
      </c>
      <c r="N19" s="276">
        <v>83.067877750915272</v>
      </c>
      <c r="P19" s="284">
        <v>70</v>
      </c>
      <c r="Q19" s="135">
        <f t="shared" ref="Q19:AB19" si="19">IF(B19*Q5*24*3600/$AE$3/10^6&gt;$AE$2,$AE$2,B19*Q5*24*3600/$AE$3/10^6)</f>
        <v>12.12357693693761</v>
      </c>
      <c r="R19" s="135">
        <f t="shared" si="19"/>
        <v>8.1342527302155094</v>
      </c>
      <c r="S19" s="135">
        <f t="shared" si="19"/>
        <v>6.5877992229894877</v>
      </c>
      <c r="T19" s="135">
        <f t="shared" si="19"/>
        <v>6.8904875675675674</v>
      </c>
      <c r="U19" s="135">
        <f t="shared" si="19"/>
        <v>9.9019730518011784</v>
      </c>
      <c r="V19" s="135">
        <f t="shared" si="19"/>
        <v>15.114424864864864</v>
      </c>
      <c r="W19" s="135">
        <f t="shared" si="19"/>
        <v>22.386332432432436</v>
      </c>
      <c r="X19" s="135">
        <f t="shared" si="19"/>
        <v>32.24335135135135</v>
      </c>
      <c r="Y19" s="135">
        <f t="shared" si="19"/>
        <v>47.35444549092027</v>
      </c>
      <c r="Z19" s="135">
        <f t="shared" si="19"/>
        <v>46.474735135135134</v>
      </c>
      <c r="AA19" s="135">
        <f t="shared" si="19"/>
        <v>27.328002162162168</v>
      </c>
      <c r="AB19" s="135">
        <f t="shared" si="19"/>
        <v>18.791027027027031</v>
      </c>
      <c r="AC19" s="135">
        <f t="shared" si="4"/>
        <v>253.33040797340462</v>
      </c>
      <c r="AE19" s="25"/>
      <c r="AF19" s="25"/>
      <c r="AG19" s="25"/>
      <c r="AH19" s="25"/>
      <c r="AI19" s="25"/>
      <c r="AJ19" s="25"/>
    </row>
    <row r="20" spans="1:47">
      <c r="A20" s="277">
        <v>75</v>
      </c>
      <c r="B20" s="278">
        <v>38.704175627240325</v>
      </c>
      <c r="C20" s="278">
        <v>27.67528348222762</v>
      </c>
      <c r="D20" s="278">
        <v>21.65</v>
      </c>
      <c r="E20" s="278">
        <v>21.462263888888888</v>
      </c>
      <c r="F20" s="278">
        <v>31.1</v>
      </c>
      <c r="G20" s="278">
        <v>50.774999999999999</v>
      </c>
      <c r="H20" s="278">
        <v>69.174999999999997</v>
      </c>
      <c r="I20" s="278">
        <v>105.75</v>
      </c>
      <c r="J20" s="278">
        <v>146.23670916666666</v>
      </c>
      <c r="K20" s="278">
        <v>147.5</v>
      </c>
      <c r="L20" s="278">
        <v>90.886779031635882</v>
      </c>
      <c r="M20" s="278">
        <v>56.508726403835034</v>
      </c>
      <c r="N20" s="278">
        <v>81.197916666666671</v>
      </c>
      <c r="P20" s="285">
        <v>75</v>
      </c>
      <c r="Q20" s="135">
        <f>IF(B20*$Q$5*24*3600/$AE$3/10^6&gt;$AE$2,$AE$2,B20*$Q$5*24*3600/$AE$3/10^6)</f>
        <v>11.674016216216268</v>
      </c>
      <c r="R20" s="135">
        <f>IF(C20*$R$5*24*3600/$AE$3/10^6&gt;$AE$2,$AE$2,C20*$R$5*24*3600/$AE$3/10^6)</f>
        <v>7.8089178257961152</v>
      </c>
      <c r="S20" s="135">
        <f>IF(D20*$S$5*24*3600/$AE$3/10^6&gt;$AE$2,$AE$2,D20*$S$5*24*3600/$AE$3/10^6)</f>
        <v>6.5301081081081067</v>
      </c>
      <c r="T20" s="135">
        <f>IF(E20*$T$5*24*3600/$AE$3/10^6&gt;$AE$2,$AE$2,E20*$T$5*24*3600/$AE$3/10^6)</f>
        <v>6.2646608108108088</v>
      </c>
      <c r="U20" s="135">
        <f>IF(F20*$U$5*24*3600/$AE$3/10^6&gt;$AE$2,$AE$2,F20*$U$5*24*3600/$AE$3/10^6)</f>
        <v>9.380432432432432</v>
      </c>
      <c r="V20" s="135">
        <f>IF(G20*$V$5*24*3600/$AE$3/10^6&gt;$AE$2,$AE$2,G20*$V$5*24*3600/$AE$3/10^6)</f>
        <v>14.82081081081081</v>
      </c>
      <c r="W20" s="135">
        <f>IF(H20*$W$5*24*3600/$AE$3/10^6&gt;$AE$2,$AE$2,H20*$W$5*24*3600/$AE$3/10^6)</f>
        <v>20.864675675675674</v>
      </c>
      <c r="X20" s="135">
        <f>IF(I20*$X$5*24*3600/$AE$3/10^6&gt;$AE$2,$AE$2,I20*$X$5*24*3600/$AE$3/10^6)</f>
        <v>31.896486486486484</v>
      </c>
      <c r="Y20" s="135">
        <f>IF(J20*$Y$5*24*3600/$AE$3/10^6&gt;$AE$2,$AE$2,J20*$Y$5*24*3600/$AE$3/10^6)</f>
        <v>42.685309702702696</v>
      </c>
      <c r="Z20" s="135">
        <f>IF(K20*$Z$5*24*3600/$AE$3/10^6&gt;$AE$2,$AE$2,K20*$Z$5*24*3600/$AE$3/10^6)</f>
        <v>44.48918918918919</v>
      </c>
      <c r="AA20" s="135">
        <f>IF(L20*$AA$5*24*3600/$AE$3/10^6&gt;$AE$2,$AE$2,L20*$AA$5*24*3600/$AE$3/10^6)</f>
        <v>26.529113879504525</v>
      </c>
      <c r="AB20" s="135">
        <f>IF(M20*$AB$5*24*3600/$AE$3/10^6&gt;$AE$2,$AE$2,M20*$AB$5*24*3600/$AE$3/10^6)</f>
        <v>17.044253693697268</v>
      </c>
      <c r="AC20" s="135">
        <f t="shared" si="4"/>
        <v>239.98797483143036</v>
      </c>
      <c r="AE20" s="25"/>
      <c r="AF20" s="25"/>
      <c r="AG20" s="25"/>
      <c r="AH20" s="25"/>
      <c r="AI20" s="25"/>
      <c r="AJ20" s="25"/>
    </row>
    <row r="21" spans="1:47">
      <c r="A21" s="277">
        <v>80</v>
      </c>
      <c r="B21" s="278">
        <v>38.194297028534514</v>
      </c>
      <c r="C21" s="278">
        <v>27.245725198418366</v>
      </c>
      <c r="D21" s="278">
        <v>21.439999999999998</v>
      </c>
      <c r="E21" s="278">
        <v>20.924208749983098</v>
      </c>
      <c r="F21" s="278">
        <v>29.32</v>
      </c>
      <c r="G21" s="278">
        <v>48.679999999999993</v>
      </c>
      <c r="H21" s="278">
        <v>63.127015619702888</v>
      </c>
      <c r="I21" s="278">
        <v>99.868435035906487</v>
      </c>
      <c r="J21" s="278">
        <v>137.4</v>
      </c>
      <c r="K21" s="278">
        <v>136.6</v>
      </c>
      <c r="L21" s="278">
        <v>86.300595061723101</v>
      </c>
      <c r="M21" s="278">
        <v>55.82</v>
      </c>
      <c r="N21" s="278">
        <v>80.05</v>
      </c>
      <c r="P21" s="285">
        <v>80</v>
      </c>
      <c r="Q21" s="135">
        <f>IF(B21*$Q$5*24*3600/$AE$3/10^6&gt;$AE$2,$AE$2,B21*$Q$5*24*3600/$AE$3/10^6)</f>
        <v>11.520225806444463</v>
      </c>
      <c r="R21" s="135">
        <f>IF(C21*$R$5*24*3600/$AE$3/10^6&gt;$AE$2,$AE$2,C21*$R$5*24*3600/$AE$3/10^6)</f>
        <v>7.687712731661831</v>
      </c>
      <c r="S21" s="135">
        <f>IF(D21*$S$5*24*3600/$AE$3/10^6&gt;$AE$2,$AE$2,D21*$S$5*24*3600/$AE$3/10^6)</f>
        <v>6.4667675675675662</v>
      </c>
      <c r="T21" s="135">
        <f>IF(E21*$T$5*24*3600/$AE$3/10^6&gt;$AE$2,$AE$2,E21*$T$5*24*3600/$AE$3/10^6)</f>
        <v>6.1076068783734438</v>
      </c>
      <c r="U21" s="135">
        <f>IF(F21*$U$5*24*3600/$AE$3/10^6&gt;$AE$2,$AE$2,F21*$U$5*24*3600/$AE$3/10^6)</f>
        <v>8.8435459459459445</v>
      </c>
      <c r="V21" s="135">
        <f>IF(G21*$V$5*24*3600/$AE$3/10^6&gt;$AE$2,$AE$2,G21*$V$5*24*3600/$AE$3/10^6)</f>
        <v>14.209297297297296</v>
      </c>
      <c r="W21" s="135">
        <f>IF(H21*$W$5*24*3600/$AE$3/10^6&gt;$AE$2,$AE$2,H21*$W$5*24*3600/$AE$3/10^6)</f>
        <v>19.040472819348221</v>
      </c>
      <c r="X21" s="135">
        <f>IF(I21*$X$5*24*3600/$AE$3/10^6&gt;$AE$2,$AE$2,I21*$X$5*24*3600/$AE$3/10^6)</f>
        <v>30.12247932434369</v>
      </c>
      <c r="Y21" s="135">
        <f>IF(J21*$Y$5*24*3600/$AE$3/10^6&gt;$AE$2,$AE$2,J21*$Y$5*24*3600/$AE$3/10^6)</f>
        <v>40.10594594594594</v>
      </c>
      <c r="Z21" s="135">
        <f>IF(K21*$Z$5*24*3600/$AE$3/10^6&gt;$AE$2,$AE$2,K21*$Z$5*24*3600/$AE$3/10^6)</f>
        <v>41.201513513513511</v>
      </c>
      <c r="AA21" s="135">
        <f>IF(L21*$AA$5*24*3600/$AE$3/10^6&gt;$AE$2,$AE$2,L21*$AA$5*24*3600/$AE$3/10^6)</f>
        <v>25.190443963962416</v>
      </c>
      <c r="AB21" s="135">
        <f>IF(M21*$AB$5*24*3600/$AE$3/10^6&gt;$AE$2,$AE$2,M21*$AB$5*24*3600/$AE$3/10^6)</f>
        <v>16.836518918918919</v>
      </c>
      <c r="AC21" s="135">
        <f t="shared" ref="AC21" si="20">SUM(Q21:AB21)</f>
        <v>227.33253071332325</v>
      </c>
      <c r="AE21" s="25"/>
      <c r="AF21" s="25"/>
      <c r="AG21" s="25"/>
      <c r="AH21" s="25"/>
      <c r="AI21" s="25"/>
      <c r="AJ21" s="25"/>
    </row>
    <row r="22" spans="1:47">
      <c r="A22" s="277">
        <v>85</v>
      </c>
      <c r="B22" s="278">
        <v>37.035000000000004</v>
      </c>
      <c r="C22" s="278">
        <v>26.9</v>
      </c>
      <c r="D22" s="278">
        <v>20.569602150537634</v>
      </c>
      <c r="E22" s="278">
        <v>18.939999999999998</v>
      </c>
      <c r="F22" s="278">
        <v>27.835000000000001</v>
      </c>
      <c r="G22" s="278">
        <v>46.824224425166079</v>
      </c>
      <c r="H22" s="278">
        <v>62.119875425627491</v>
      </c>
      <c r="I22" s="278">
        <v>95.11656553819445</v>
      </c>
      <c r="J22" s="278">
        <v>122.20246251687952</v>
      </c>
      <c r="K22" s="278">
        <v>126</v>
      </c>
      <c r="L22" s="278">
        <v>80.300000000000011</v>
      </c>
      <c r="M22" s="278">
        <v>50.742920698923648</v>
      </c>
      <c r="N22" s="278">
        <v>77.24166666666666</v>
      </c>
      <c r="P22" s="285">
        <v>85</v>
      </c>
      <c r="Q22" s="135">
        <f t="shared" ref="Q22:Q24" si="21">IF(B22*$Q$5*24*3600/$AE$3/10^6&gt;$AE$2,$AE$2,B22*$Q$5*24*3600/$AE$3/10^6)</f>
        <v>11.170556756756756</v>
      </c>
      <c r="R22" s="135">
        <f t="shared" ref="R22:R24" si="22">IF(C22*$R$5*24*3600/$AE$3/10^6&gt;$AE$2,$AE$2,C22*$R$5*24*3600/$AE$3/10^6)</f>
        <v>7.5901621621621596</v>
      </c>
      <c r="S22" s="135">
        <f t="shared" ref="S22:S24" si="23">IF(D22*$S$5*24*3600/$AE$3/10^6&gt;$AE$2,$AE$2,D22*$S$5*24*3600/$AE$3/10^6)</f>
        <v>6.2042367567567567</v>
      </c>
      <c r="T22" s="135">
        <f t="shared" ref="T22:T24" si="24">IF(E22*$T$5*24*3600/$AE$3/10^6&gt;$AE$2,$AE$2,E22*$T$5*24*3600/$AE$3/10^6)</f>
        <v>5.5284324324324317</v>
      </c>
      <c r="U22" s="135">
        <f t="shared" ref="U22:U24" si="25">IF(F22*$U$5*24*3600/$AE$3/10^6&gt;$AE$2,$AE$2,F22*$U$5*24*3600/$AE$3/10^6)</f>
        <v>8.3956378378378371</v>
      </c>
      <c r="V22" s="135">
        <f t="shared" ref="V22:V24" si="26">IF(G22*$V$5*24*3600/$AE$3/10^6&gt;$AE$2,$AE$2,G22*$V$5*24*3600/$AE$3/10^6)</f>
        <v>13.66761145383226</v>
      </c>
      <c r="W22" s="135">
        <f t="shared" ref="W22:W24" si="27">IF(H22*$W$5*24*3600/$AE$3/10^6&gt;$AE$2,$AE$2,H22*$W$5*24*3600/$AE$3/10^6)</f>
        <v>18.736697560810882</v>
      </c>
      <c r="X22" s="135">
        <f t="shared" ref="X22:X24" si="28">IF(I22*$X$5*24*3600/$AE$3/10^6&gt;$AE$2,$AE$2,I22*$X$5*24*3600/$AE$3/10^6)</f>
        <v>28.689212740709454</v>
      </c>
      <c r="Y22" s="135">
        <f t="shared" ref="Y22:Y24" si="29">IF(J22*$Y$5*24*3600/$AE$3/10^6&gt;$AE$2,$AE$2,J22*$Y$5*24*3600/$AE$3/10^6)</f>
        <v>35.669907977899967</v>
      </c>
      <c r="Z22" s="135">
        <f t="shared" ref="Z22:Z24" si="30">IF(K22*$Z$5*24*3600/$AE$3/10^6&gt;$AE$2,$AE$2,K22*$Z$5*24*3600/$AE$3/10^6)</f>
        <v>38.004324324324315</v>
      </c>
      <c r="AA22" s="135">
        <f t="shared" ref="AA22:AA24" si="31">IF(L22*$AA$5*24*3600/$AE$3/10^6&gt;$AE$2,$AE$2,L22*$AA$5*24*3600/$AE$3/10^6)</f>
        <v>23.438918918918922</v>
      </c>
      <c r="AB22" s="135">
        <f t="shared" ref="AB22:AB24" si="32">IF(M22*$AB$5*24*3600/$AE$3/10^6&gt;$AE$2,$AE$2,M22*$AB$5*24*3600/$AE$3/10^6)</f>
        <v>15.305162027026698</v>
      </c>
      <c r="AC22" s="135">
        <f t="shared" ref="AC22:AC24" si="33">SUM(Q22:AB22)</f>
        <v>212.40086094946847</v>
      </c>
    </row>
    <row r="23" spans="1:47">
      <c r="A23" s="277">
        <v>90</v>
      </c>
      <c r="B23" s="278">
        <v>34.622591815949363</v>
      </c>
      <c r="C23" s="278">
        <v>25.549999999999997</v>
      </c>
      <c r="D23" s="278">
        <v>19.102395645738063</v>
      </c>
      <c r="E23" s="278">
        <v>16.499304359345885</v>
      </c>
      <c r="F23" s="278">
        <v>23.939999999999998</v>
      </c>
      <c r="G23" s="278">
        <v>33.450000000000003</v>
      </c>
      <c r="H23" s="278">
        <v>60.48</v>
      </c>
      <c r="I23" s="278">
        <v>85.291467741935477</v>
      </c>
      <c r="J23" s="278">
        <v>114.69999999999999</v>
      </c>
      <c r="K23" s="278">
        <v>116.79718329412508</v>
      </c>
      <c r="L23" s="278">
        <v>72.239999999999995</v>
      </c>
      <c r="M23" s="278">
        <v>49.824086098942402</v>
      </c>
      <c r="N23" s="278">
        <v>69.087758402736526</v>
      </c>
      <c r="P23" s="285">
        <v>90</v>
      </c>
      <c r="Q23" s="135">
        <f t="shared" si="21"/>
        <v>10.442922288270131</v>
      </c>
      <c r="R23" s="135">
        <f t="shared" si="22"/>
        <v>7.2092432432432423</v>
      </c>
      <c r="S23" s="135">
        <f t="shared" si="23"/>
        <v>5.7616955515253183</v>
      </c>
      <c r="T23" s="135">
        <f t="shared" si="24"/>
        <v>4.8160131643496094</v>
      </c>
      <c r="U23" s="135">
        <f t="shared" si="25"/>
        <v>7.2208216216216199</v>
      </c>
      <c r="V23" s="135">
        <f t="shared" si="26"/>
        <v>9.7637837837837846</v>
      </c>
      <c r="W23" s="135">
        <f t="shared" si="27"/>
        <v>18.242075675675672</v>
      </c>
      <c r="X23" s="135">
        <f t="shared" si="28"/>
        <v>25.725750810810808</v>
      </c>
      <c r="Y23" s="135">
        <f t="shared" si="29"/>
        <v>33.47999999999999</v>
      </c>
      <c r="Z23" s="135">
        <f t="shared" si="30"/>
        <v>35.228555826011778</v>
      </c>
      <c r="AA23" s="135">
        <f t="shared" si="31"/>
        <v>21.086270270270266</v>
      </c>
      <c r="AB23" s="135">
        <f t="shared" si="32"/>
        <v>15.028021644978301</v>
      </c>
      <c r="AC23" s="135">
        <f t="shared" si="33"/>
        <v>194.00515388054052</v>
      </c>
    </row>
    <row r="24" spans="1:47">
      <c r="A24" s="279">
        <v>95</v>
      </c>
      <c r="B24" s="280">
        <v>28.293064789002464</v>
      </c>
      <c r="C24" s="280">
        <v>17.916633861138756</v>
      </c>
      <c r="D24" s="280">
        <v>16.965000000000003</v>
      </c>
      <c r="E24" s="280">
        <v>13.985000000000001</v>
      </c>
      <c r="F24" s="280">
        <v>21.041196236559141</v>
      </c>
      <c r="G24" s="280">
        <v>31.035</v>
      </c>
      <c r="H24" s="280">
        <v>49.56</v>
      </c>
      <c r="I24" s="280">
        <v>72.215000000000018</v>
      </c>
      <c r="J24" s="280">
        <v>91.024215512731303</v>
      </c>
      <c r="K24" s="280">
        <v>110.09939529978386</v>
      </c>
      <c r="L24" s="280">
        <v>67.150947345663852</v>
      </c>
      <c r="M24" s="280">
        <v>45.500000000000007</v>
      </c>
      <c r="N24" s="280">
        <v>58.414053605361815</v>
      </c>
      <c r="P24" s="286">
        <v>95</v>
      </c>
      <c r="Q24" s="135">
        <f t="shared" si="21"/>
        <v>8.5338000823045252</v>
      </c>
      <c r="R24" s="135">
        <f t="shared" si="22"/>
        <v>5.0553961489267181</v>
      </c>
      <c r="S24" s="135">
        <f t="shared" si="23"/>
        <v>5.117010810810811</v>
      </c>
      <c r="T24" s="135">
        <f t="shared" si="24"/>
        <v>4.0821081081081081</v>
      </c>
      <c r="U24" s="135">
        <f t="shared" si="25"/>
        <v>6.3464797297297295</v>
      </c>
      <c r="V24" s="135">
        <f t="shared" si="26"/>
        <v>9.0588648648648622</v>
      </c>
      <c r="W24" s="135">
        <f t="shared" si="27"/>
        <v>14.948367567567566</v>
      </c>
      <c r="X24" s="135">
        <f t="shared" si="28"/>
        <v>21.781605405405404</v>
      </c>
      <c r="Y24" s="135">
        <f t="shared" si="29"/>
        <v>26.569230473986433</v>
      </c>
      <c r="Z24" s="135">
        <f t="shared" si="30"/>
        <v>33.208358149880752</v>
      </c>
      <c r="AA24" s="135">
        <f t="shared" si="31"/>
        <v>19.600817063058638</v>
      </c>
      <c r="AB24" s="135">
        <f t="shared" si="32"/>
        <v>13.723783783783785</v>
      </c>
      <c r="AC24" s="135">
        <f t="shared" si="33"/>
        <v>168.02582218842733</v>
      </c>
    </row>
    <row r="25" spans="1:47">
      <c r="A25" s="281" t="s">
        <v>48</v>
      </c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R25" s="289"/>
    </row>
    <row r="26" spans="1:47">
      <c r="R26" s="28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6"/>
  <sheetViews>
    <sheetView topLeftCell="T1" workbookViewId="0">
      <selection activeCell="AR13" sqref="AR13:AR17"/>
    </sheetView>
  </sheetViews>
  <sheetFormatPr defaultRowHeight="15"/>
  <sheetData>
    <row r="1" spans="1:48">
      <c r="A1" s="314" t="s">
        <v>50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</row>
    <row r="2" spans="1:48">
      <c r="A2" s="313" t="s">
        <v>20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P2" s="313" t="s">
        <v>21</v>
      </c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26" t="s">
        <v>22</v>
      </c>
      <c r="AE2" s="134">
        <v>189.607956000001</v>
      </c>
      <c r="AF2" s="25" t="s">
        <v>23</v>
      </c>
    </row>
    <row r="3" spans="1:48">
      <c r="A3" s="315" t="s">
        <v>51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P3" s="315" t="s">
        <v>52</v>
      </c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26" t="s">
        <v>25</v>
      </c>
      <c r="AE3" s="25">
        <v>3.99</v>
      </c>
      <c r="AF3" s="27" t="s">
        <v>26</v>
      </c>
    </row>
    <row r="4" spans="1:48">
      <c r="A4" s="23" t="s">
        <v>27</v>
      </c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3">
        <v>11</v>
      </c>
      <c r="M4" s="23">
        <v>12</v>
      </c>
      <c r="N4" s="23" t="s">
        <v>28</v>
      </c>
      <c r="P4" s="23" t="s">
        <v>27</v>
      </c>
      <c r="Q4" s="23">
        <v>1</v>
      </c>
      <c r="R4" s="23">
        <v>2</v>
      </c>
      <c r="S4" s="23">
        <v>3</v>
      </c>
      <c r="T4" s="23">
        <v>4</v>
      </c>
      <c r="U4" s="23">
        <v>5</v>
      </c>
      <c r="V4" s="23">
        <v>6</v>
      </c>
      <c r="W4" s="23">
        <v>7</v>
      </c>
      <c r="X4" s="23">
        <v>8</v>
      </c>
      <c r="Y4" s="23">
        <v>9</v>
      </c>
      <c r="Z4" s="23">
        <v>10</v>
      </c>
      <c r="AA4" s="23">
        <v>11</v>
      </c>
      <c r="AB4" s="23">
        <v>12</v>
      </c>
      <c r="AC4" s="23" t="s">
        <v>29</v>
      </c>
      <c r="AE4" s="313" t="s">
        <v>30</v>
      </c>
      <c r="AF4" s="313"/>
      <c r="AG4" s="313"/>
      <c r="AH4" s="313"/>
      <c r="AI4" s="313"/>
      <c r="AJ4" s="313"/>
      <c r="AM4" s="313" t="s">
        <v>53</v>
      </c>
      <c r="AN4" s="313"/>
      <c r="AO4" s="313"/>
      <c r="AP4" s="313"/>
      <c r="AQ4" s="313"/>
      <c r="AR4" s="313"/>
    </row>
    <row r="5" spans="1:48">
      <c r="A5" s="24" t="s">
        <v>32</v>
      </c>
      <c r="B5" s="316" t="s">
        <v>33</v>
      </c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P5" s="24" t="s">
        <v>32</v>
      </c>
      <c r="Q5" s="29">
        <v>31</v>
      </c>
      <c r="R5" s="29">
        <v>29</v>
      </c>
      <c r="S5" s="29">
        <v>31</v>
      </c>
      <c r="T5" s="29">
        <v>30</v>
      </c>
      <c r="U5" s="29">
        <v>31</v>
      </c>
      <c r="V5" s="29">
        <v>30</v>
      </c>
      <c r="W5" s="29">
        <v>31</v>
      </c>
      <c r="X5" s="29">
        <v>31</v>
      </c>
      <c r="Y5" s="29">
        <v>30</v>
      </c>
      <c r="Z5" s="29">
        <v>31</v>
      </c>
      <c r="AA5" s="29">
        <v>30</v>
      </c>
      <c r="AB5" s="29">
        <v>31</v>
      </c>
      <c r="AC5" s="28" t="s">
        <v>23</v>
      </c>
      <c r="AD5" s="26" t="s">
        <v>34</v>
      </c>
      <c r="AE5" s="26" t="s">
        <v>35</v>
      </c>
      <c r="AF5" s="26" t="s">
        <v>36</v>
      </c>
      <c r="AG5" s="26" t="s">
        <v>37</v>
      </c>
      <c r="AH5" s="26" t="s">
        <v>38</v>
      </c>
      <c r="AI5" s="26" t="s">
        <v>39</v>
      </c>
      <c r="AJ5" s="26" t="s">
        <v>40</v>
      </c>
      <c r="AL5" s="26" t="s">
        <v>34</v>
      </c>
      <c r="AM5" s="243" t="s">
        <v>41</v>
      </c>
      <c r="AN5" s="25" t="s">
        <v>38</v>
      </c>
      <c r="AO5" s="25" t="s">
        <v>39</v>
      </c>
      <c r="AP5" s="25" t="s">
        <v>42</v>
      </c>
      <c r="AQ5" s="25" t="s">
        <v>43</v>
      </c>
      <c r="AR5" s="244" t="s">
        <v>44</v>
      </c>
      <c r="AS5" s="25" t="s">
        <v>36</v>
      </c>
      <c r="AT5" s="25" t="s">
        <v>37</v>
      </c>
      <c r="AU5" s="246" t="s">
        <v>45</v>
      </c>
    </row>
    <row r="6" spans="1:48">
      <c r="A6" s="290">
        <v>5</v>
      </c>
      <c r="B6" s="291">
        <v>228.13984740998524</v>
      </c>
      <c r="C6" s="291">
        <v>128.95999999999998</v>
      </c>
      <c r="D6" s="291">
        <v>108.05054093133634</v>
      </c>
      <c r="E6" s="291">
        <v>118.50545215302122</v>
      </c>
      <c r="F6" s="291">
        <v>174.03734841386694</v>
      </c>
      <c r="G6" s="291">
        <v>282.67713003946432</v>
      </c>
      <c r="H6" s="291">
        <v>298.13926090203108</v>
      </c>
      <c r="I6" s="291">
        <v>461.35</v>
      </c>
      <c r="J6" s="291">
        <v>520.71011065006928</v>
      </c>
      <c r="K6" s="291">
        <v>690.82804711551319</v>
      </c>
      <c r="L6" s="291">
        <v>757.48975103734426</v>
      </c>
      <c r="M6" s="291">
        <v>656.5461770286862</v>
      </c>
      <c r="N6" s="291">
        <v>332.5210783511057</v>
      </c>
      <c r="P6" s="290">
        <v>5</v>
      </c>
      <c r="Q6" s="135">
        <f t="shared" ref="Q6:AB6" si="0">IF(B6*Q5*24*3600/$AE$3/10^6&gt;$AE$2,$AE$2,B6*Q5*24*3600/$AE$3/10^6)</f>
        <v>153.14530508844723</v>
      </c>
      <c r="R6" s="135">
        <f t="shared" si="0"/>
        <v>80.983001503759368</v>
      </c>
      <c r="S6" s="135">
        <f t="shared" si="0"/>
        <v>72.531972137967728</v>
      </c>
      <c r="T6" s="135">
        <f t="shared" si="0"/>
        <v>76.983992977601758</v>
      </c>
      <c r="U6" s="135">
        <f t="shared" si="0"/>
        <v>116.82747719090254</v>
      </c>
      <c r="V6" s="135">
        <f t="shared" si="0"/>
        <v>183.63386492789263</v>
      </c>
      <c r="W6" s="135">
        <f t="shared" si="0"/>
        <v>189.607956000001</v>
      </c>
      <c r="X6" s="135">
        <f t="shared" si="0"/>
        <v>189.607956000001</v>
      </c>
      <c r="Y6" s="135">
        <f t="shared" si="0"/>
        <v>189.607956000001</v>
      </c>
      <c r="Z6" s="135">
        <f t="shared" si="0"/>
        <v>189.607956000001</v>
      </c>
      <c r="AA6" s="135">
        <f t="shared" si="0"/>
        <v>189.607956000001</v>
      </c>
      <c r="AB6" s="135">
        <f t="shared" si="0"/>
        <v>189.607956000001</v>
      </c>
      <c r="AC6" s="135">
        <f>SUM(Q6:AB6)</f>
        <v>1821.7533498265771</v>
      </c>
      <c r="AD6" s="26">
        <v>1</v>
      </c>
      <c r="AE6" s="134">
        <f>'Theo dõi TV'!I8</f>
        <v>111.60774198866665</v>
      </c>
      <c r="AF6" s="235">
        <f>_xlfn.XLOOKUP(AE6,B$6:B$24,B$6:B$24,,-1,1)</f>
        <v>105.2</v>
      </c>
      <c r="AG6" s="235">
        <f>_xlfn.XLOOKUP(AE6,B$6:B$24,B$6:B$24,,1,1)</f>
        <v>114.31</v>
      </c>
      <c r="AH6" s="25">
        <f>_xlfn.XLOOKUP(AE6,$B$6:$B$24,A$6:A$24,,-1,1)</f>
        <v>50</v>
      </c>
      <c r="AI6" s="25">
        <f>_xlfn.XLOOKUP(AE6,$B$6:$B$24,A$6:A$24,,1,1)</f>
        <v>45</v>
      </c>
      <c r="AJ6" s="235">
        <f>IF(AE6=AF6,AH6,FORECAST(AE6,AH6:AI6,AF6:AG6))</f>
        <v>46.483127338821816</v>
      </c>
      <c r="AL6" s="26">
        <v>1</v>
      </c>
      <c r="AM6" s="245">
        <v>46.483127338821816</v>
      </c>
      <c r="AN6" s="25">
        <f t="shared" ref="AN6:AN17" si="1">_xlfn.XLOOKUP(AM6,$P$6:$P$24,$P$6:$P$24,,-1,1)</f>
        <v>45</v>
      </c>
      <c r="AO6" s="25">
        <f t="shared" ref="AO6:AO17" si="2">_xlfn.XLOOKUP(AM6,$P$6:$P$24,$P$6:$P$24,,1,1)</f>
        <v>50</v>
      </c>
      <c r="AP6" s="235">
        <f>_xlfn.XLOOKUP(AM6,$P$6:$P$24,$Q$6:$Q$24,,-1,1)</f>
        <v>76.733810526315779</v>
      </c>
      <c r="AQ6" s="235">
        <f>_xlfn.XLOOKUP(AM6,$P$6:$P$24,$Q$6:$Q$24,,1,1)</f>
        <v>70.618466165413523</v>
      </c>
      <c r="AR6" s="242">
        <f>IF(AM6=AN6,AP6,FORECAST(AM6,AP6:AQ6,AN6:AO6))</f>
        <v>74.91984364472296</v>
      </c>
      <c r="AS6" s="235">
        <f>_xlfn.XLOOKUP(AM6,$A$6:$A$24,$B$6:$B$24,,-1,1)</f>
        <v>114.31</v>
      </c>
      <c r="AT6" s="235">
        <f>_xlfn.XLOOKUP(AM6,$A$6:$A$24,$B$6:$B$24,,1,1)</f>
        <v>105.2</v>
      </c>
      <c r="AU6" s="247">
        <f>IF(AM6=AN6,AS6,FORECAST(AM6,AS6:AT6,AN6:AO6))</f>
        <v>111.60774198866665</v>
      </c>
    </row>
    <row r="7" spans="1:48">
      <c r="A7" s="290">
        <v>10</v>
      </c>
      <c r="B7" s="291">
        <v>219.78422883597867</v>
      </c>
      <c r="C7" s="291">
        <v>121.46482338115065</v>
      </c>
      <c r="D7" s="291">
        <v>96.863444315039857</v>
      </c>
      <c r="E7" s="291">
        <v>108.25073828825965</v>
      </c>
      <c r="F7" s="291">
        <v>168.97652496159785</v>
      </c>
      <c r="G7" s="291">
        <v>246.38</v>
      </c>
      <c r="H7" s="291">
        <v>295.60000000000002</v>
      </c>
      <c r="I7" s="291">
        <v>426.7</v>
      </c>
      <c r="J7" s="291">
        <v>491.7</v>
      </c>
      <c r="K7" s="291">
        <v>584.77999999999986</v>
      </c>
      <c r="L7" s="291">
        <v>579.99999999999989</v>
      </c>
      <c r="M7" s="291">
        <v>567.05999999999995</v>
      </c>
      <c r="N7" s="291">
        <v>266.98666666666662</v>
      </c>
      <c r="P7" s="290">
        <v>10</v>
      </c>
      <c r="Q7" s="135">
        <f t="shared" ref="Q7:AB7" si="3">IF(B7*Q5*24*3600/$AE$3/10^6&gt;$AE$2,$AE$2,B7*Q5*24*3600/$AE$3/10^6)</f>
        <v>147.53636052989606</v>
      </c>
      <c r="R7" s="135">
        <f t="shared" si="3"/>
        <v>76.276256005967682</v>
      </c>
      <c r="S7" s="135">
        <f t="shared" si="3"/>
        <v>65.022318108622244</v>
      </c>
      <c r="T7" s="135">
        <f t="shared" si="3"/>
        <v>70.322284121094981</v>
      </c>
      <c r="U7" s="135">
        <f t="shared" si="3"/>
        <v>113.43025675617636</v>
      </c>
      <c r="V7" s="135">
        <f t="shared" si="3"/>
        <v>160.05437593984959</v>
      </c>
      <c r="W7" s="135">
        <f t="shared" si="3"/>
        <v>189.607956000001</v>
      </c>
      <c r="X7" s="135">
        <f t="shared" si="3"/>
        <v>189.607956000001</v>
      </c>
      <c r="Y7" s="135">
        <f t="shared" si="3"/>
        <v>189.607956000001</v>
      </c>
      <c r="Z7" s="135">
        <f t="shared" si="3"/>
        <v>189.607956000001</v>
      </c>
      <c r="AA7" s="135">
        <f t="shared" si="3"/>
        <v>189.607956000001</v>
      </c>
      <c r="AB7" s="135">
        <f t="shared" si="3"/>
        <v>189.607956000001</v>
      </c>
      <c r="AC7" s="135">
        <f t="shared" ref="AC7:AC24" si="4">SUM(Q7:AB7)</f>
        <v>1770.2895874616129</v>
      </c>
      <c r="AD7" s="26">
        <v>2</v>
      </c>
      <c r="AE7" s="134">
        <f>'Theo dõi TV'!I9</f>
        <v>66.003755984009103</v>
      </c>
      <c r="AF7" s="235">
        <f>_xlfn.XLOOKUP(AE7,C$6:C$24,C$6:C$24,,-1,1)</f>
        <v>58.437776970954353</v>
      </c>
      <c r="AG7" s="235">
        <f>_xlfn.XLOOKUP(AE7,C$6:C$24,C$6:C$24,,1,1)</f>
        <v>68.98</v>
      </c>
      <c r="AH7" s="25">
        <f>_xlfn.XLOOKUP(AE7,$C$6:$C$24,$A$6:$A$24,,-1,1)</f>
        <v>65</v>
      </c>
      <c r="AI7" s="25">
        <f>_xlfn.XLOOKUP(AE7,$C$6:$C$24,$A$6:$A$24,,1,1)</f>
        <v>60</v>
      </c>
      <c r="AJ7" s="235">
        <f>IF(AE7=AF7,AH7,FORECAST(AE7,AH7:AI7,AF7:AG7))</f>
        <v>61.411582741036128</v>
      </c>
      <c r="AL7" s="26">
        <v>2</v>
      </c>
      <c r="AM7" s="245">
        <v>61.411582741036128</v>
      </c>
      <c r="AN7" s="25">
        <f t="shared" si="1"/>
        <v>60</v>
      </c>
      <c r="AO7" s="25">
        <f t="shared" si="2"/>
        <v>65</v>
      </c>
      <c r="AP7" s="235">
        <f>_xlfn.XLOOKUP(AM7,$P$6:$P$24,$R$6:$R$24,,-1,1)</f>
        <v>43.317365413533828</v>
      </c>
      <c r="AQ7" s="235">
        <f>_xlfn.XLOOKUP(AM7,$P$6:$P$24,$R$6:$R$24,,1,1)</f>
        <v>36.697166410632384</v>
      </c>
      <c r="AR7" s="242">
        <f>IF(AM7=AN7,AP7,FORECAST(AM7,AP7:AQ7,AN7:AO7))</f>
        <v>41.448373682589775</v>
      </c>
      <c r="AS7" s="235">
        <f>_xlfn.XLOOKUP(AM7,$A$6:$A$24,$C$6:$C$24,,-1,1)</f>
        <v>68.98</v>
      </c>
      <c r="AT7" s="235">
        <f>_xlfn.XLOOKUP(AM7,$A$6:$A$24,$C$6:$C$24,,1,1)</f>
        <v>58.437776970954353</v>
      </c>
      <c r="AU7" s="247">
        <f t="shared" ref="AU7:AU17" si="5">IF(AM7=AN7,AS7,FORECAST(AM7,AS7:AT7,AN7:AO7))</f>
        <v>66.003755984009075</v>
      </c>
    </row>
    <row r="8" spans="1:48">
      <c r="A8" s="290">
        <v>15</v>
      </c>
      <c r="B8" s="291">
        <v>197.67680587557672</v>
      </c>
      <c r="C8" s="291">
        <v>109.34168691326535</v>
      </c>
      <c r="D8" s="291">
        <v>95.896312884024596</v>
      </c>
      <c r="E8" s="291">
        <v>100.27726244624033</v>
      </c>
      <c r="F8" s="291">
        <v>159.78005913978495</v>
      </c>
      <c r="G8" s="291">
        <v>208.71</v>
      </c>
      <c r="H8" s="291">
        <v>271.44</v>
      </c>
      <c r="I8" s="291">
        <v>402.30984607147639</v>
      </c>
      <c r="J8" s="291">
        <v>472.24</v>
      </c>
      <c r="K8" s="291">
        <v>521.94213757680495</v>
      </c>
      <c r="L8" s="291">
        <v>537.259918395574</v>
      </c>
      <c r="M8" s="291">
        <v>445.15300666666667</v>
      </c>
      <c r="N8" s="291">
        <v>244.43269524782502</v>
      </c>
      <c r="P8" s="290">
        <v>15</v>
      </c>
      <c r="Q8" s="135">
        <f t="shared" ref="Q8:AB8" si="6">IF(B8*Q5*24*3600/$AE$3/10^6&gt;$AE$2,$AE$2,B8*Q5*24*3600/$AE$3/10^6)</f>
        <v>132.69612953813149</v>
      </c>
      <c r="R8" s="135">
        <f t="shared" si="6"/>
        <v>68.663290909743765</v>
      </c>
      <c r="S8" s="135">
        <f t="shared" si="6"/>
        <v>64.373103866809899</v>
      </c>
      <c r="T8" s="135">
        <f t="shared" si="6"/>
        <v>65.142522371091459</v>
      </c>
      <c r="U8" s="135">
        <f t="shared" si="6"/>
        <v>107.25686977443608</v>
      </c>
      <c r="V8" s="135">
        <f t="shared" si="6"/>
        <v>135.58303759398495</v>
      </c>
      <c r="W8" s="135">
        <f t="shared" si="6"/>
        <v>182.21175338345864</v>
      </c>
      <c r="X8" s="135">
        <f t="shared" si="6"/>
        <v>189.607956000001</v>
      </c>
      <c r="Y8" s="135">
        <f t="shared" si="6"/>
        <v>189.607956000001</v>
      </c>
      <c r="Z8" s="135">
        <f t="shared" si="6"/>
        <v>189.607956000001</v>
      </c>
      <c r="AA8" s="135">
        <f t="shared" si="6"/>
        <v>189.607956000001</v>
      </c>
      <c r="AB8" s="135">
        <f t="shared" si="6"/>
        <v>189.607956000001</v>
      </c>
      <c r="AC8" s="135">
        <f t="shared" si="4"/>
        <v>1703.9664874376613</v>
      </c>
      <c r="AD8" s="26">
        <v>3</v>
      </c>
      <c r="AE8" s="134">
        <f>'Theo dõi TV'!I10</f>
        <v>39.944808460684889</v>
      </c>
      <c r="AF8" s="235">
        <f>_xlfn.XLOOKUP(AE8,D$6:D$24,D$6:D$24,,-1,1)</f>
        <v>38.39103399812609</v>
      </c>
      <c r="AG8" s="235">
        <f>_xlfn.XLOOKUP(AE8,D$6:D$24,D$6:D$24,,1,1)</f>
        <v>40.605512782760002</v>
      </c>
      <c r="AH8" s="25">
        <f>_xlfn.XLOOKUP(AE8,$D$6:$D$24,$A$6:$A$24,,-1,1)</f>
        <v>85</v>
      </c>
      <c r="AI8" s="25">
        <f>_xlfn.XLOOKUP(AE8,$D$6:$D$24,$A$6:$A$24,,1,1)</f>
        <v>80</v>
      </c>
      <c r="AJ8" s="235">
        <f t="shared" ref="AJ8:AJ17" si="7">IF(AE8=AF8,AH8,FORECAST(AE8,AH8:AI8,AF8:AG8))</f>
        <v>81.49178291221321</v>
      </c>
      <c r="AL8" s="26">
        <v>3</v>
      </c>
      <c r="AM8" s="245">
        <v>81.49178291221321</v>
      </c>
      <c r="AN8" s="25">
        <f t="shared" si="1"/>
        <v>80</v>
      </c>
      <c r="AO8" s="25">
        <f t="shared" si="2"/>
        <v>85</v>
      </c>
      <c r="AP8" s="235">
        <f>_xlfn.XLOOKUP(AM8,$P$6:$P$24,$S$6:$S$24,,-1,1)</f>
        <v>27.257595347705365</v>
      </c>
      <c r="AQ8" s="235">
        <f>_xlfn.XLOOKUP(AM8,$P$6:$P$24,$S$6:$S$24,,1,1)</f>
        <v>25.771064025208251</v>
      </c>
      <c r="AR8" s="242">
        <f t="shared" ref="AR8:AR17" si="8">IF(AM8=AN8,AP8,FORECAST(AM8,AP8:AQ8,AN8:AO8))</f>
        <v>26.814078942631181</v>
      </c>
      <c r="AS8" s="235">
        <f>_xlfn.XLOOKUP(AM8,$A$6:$A$24,$D$6:$D$24,,-1,1)</f>
        <v>40.605512782760002</v>
      </c>
      <c r="AT8" s="235">
        <f>_xlfn.XLOOKUP(AM8,$A$6:$A$24,$D$6:$D$24,,1,1)</f>
        <v>38.39103399812609</v>
      </c>
      <c r="AU8" s="247">
        <f t="shared" si="5"/>
        <v>39.944808460684889</v>
      </c>
    </row>
    <row r="9" spans="1:48">
      <c r="A9" s="290">
        <v>20</v>
      </c>
      <c r="B9" s="291">
        <v>185.47569978494627</v>
      </c>
      <c r="C9" s="291">
        <v>105.89512662755762</v>
      </c>
      <c r="D9" s="291">
        <v>93.811670099318064</v>
      </c>
      <c r="E9" s="291">
        <v>82.298155987093452</v>
      </c>
      <c r="F9" s="291">
        <v>131.65171462990236</v>
      </c>
      <c r="G9" s="291">
        <v>182.63226666666671</v>
      </c>
      <c r="H9" s="291">
        <v>249.60487752643556</v>
      </c>
      <c r="I9" s="291">
        <v>377.5</v>
      </c>
      <c r="J9" s="291">
        <v>443.34</v>
      </c>
      <c r="K9" s="291">
        <v>512.05505822513726</v>
      </c>
      <c r="L9" s="291">
        <v>526.48</v>
      </c>
      <c r="M9" s="291">
        <v>428.39608887699109</v>
      </c>
      <c r="N9" s="291">
        <v>239.88000000000005</v>
      </c>
      <c r="P9" s="290">
        <v>20</v>
      </c>
      <c r="Q9" s="135">
        <f t="shared" ref="Q9:AB9" si="9">IF(B9*Q5*24*3600/$AE$3/10^6&gt;$AE$2,$AE$2,B9*Q5*24*3600/$AE$3/10^6)</f>
        <v>124.50579305864663</v>
      </c>
      <c r="R9" s="135">
        <f t="shared" si="9"/>
        <v>66.498954706267753</v>
      </c>
      <c r="S9" s="135">
        <f t="shared" si="9"/>
        <v>62.9737286200535</v>
      </c>
      <c r="T9" s="135">
        <f t="shared" si="9"/>
        <v>53.46286223522462</v>
      </c>
      <c r="U9" s="135">
        <f t="shared" si="9"/>
        <v>88.374925429757013</v>
      </c>
      <c r="V9" s="135">
        <f t="shared" si="9"/>
        <v>118.64231458646621</v>
      </c>
      <c r="W9" s="135">
        <f t="shared" si="9"/>
        <v>167.55431177112911</v>
      </c>
      <c r="X9" s="135">
        <f t="shared" si="9"/>
        <v>189.607956000001</v>
      </c>
      <c r="Y9" s="135">
        <f t="shared" si="9"/>
        <v>189.607956000001</v>
      </c>
      <c r="Z9" s="135">
        <f t="shared" si="9"/>
        <v>189.607956000001</v>
      </c>
      <c r="AA9" s="135">
        <f t="shared" si="9"/>
        <v>189.607956000001</v>
      </c>
      <c r="AB9" s="135">
        <f t="shared" si="9"/>
        <v>189.607956000001</v>
      </c>
      <c r="AC9" s="135">
        <f t="shared" si="4"/>
        <v>1630.0526704075496</v>
      </c>
      <c r="AD9" s="26">
        <v>4</v>
      </c>
      <c r="AE9" s="134">
        <f>'Theo dõi TV'!I11</f>
        <v>42.795836655935368</v>
      </c>
      <c r="AF9" s="235">
        <f>_xlfn.XLOOKUP(AE9,E$6:E$24,E$6:E$24,,-1,1)</f>
        <v>41.101120331950206</v>
      </c>
      <c r="AG9" s="235">
        <f>_xlfn.XLOOKUP(AE9,E$6:E$24,E$6:E$24,,1,1)</f>
        <v>46.8</v>
      </c>
      <c r="AH9" s="25">
        <f>_xlfn.XLOOKUP(AE9,$E$6:$E$24,$A$6:$A$24,,-1,1)</f>
        <v>80</v>
      </c>
      <c r="AI9" s="25">
        <f>_xlfn.XLOOKUP(AE9,$E$6:$E$24,$A$6:$A$24,,1,1)</f>
        <v>75</v>
      </c>
      <c r="AJ9" s="235">
        <f t="shared" si="7"/>
        <v>78.513114486794279</v>
      </c>
      <c r="AL9" s="26">
        <v>4</v>
      </c>
      <c r="AM9" s="245">
        <v>78.513114486794279</v>
      </c>
      <c r="AN9" s="25">
        <f t="shared" si="1"/>
        <v>75</v>
      </c>
      <c r="AO9" s="25">
        <f t="shared" si="2"/>
        <v>80</v>
      </c>
      <c r="AP9" s="235">
        <f>_xlfn.XLOOKUP(AM9,$P$6:$P$24,$T$6:$T$24,,-1,1)</f>
        <v>30.402406015037592</v>
      </c>
      <c r="AQ9" s="235">
        <f>_xlfn.XLOOKUP(AM9,$P$6:$P$24,$T$6:$T$24,,1,1)</f>
        <v>26.700276666770655</v>
      </c>
      <c r="AR9" s="242">
        <f t="shared" si="8"/>
        <v>27.801205165961029</v>
      </c>
      <c r="AS9" s="235">
        <f>_xlfn.XLOOKUP(AM9,$A$6:$A$24,$E$6:$E$24,,-1,1)</f>
        <v>46.8</v>
      </c>
      <c r="AT9" s="235">
        <f>_xlfn.XLOOKUP(AM9,$A$6:$A$24,$E$6:$E$24,,1,1)</f>
        <v>41.101120331950206</v>
      </c>
      <c r="AU9" s="247">
        <f t="shared" si="5"/>
        <v>42.795836655935375</v>
      </c>
    </row>
    <row r="10" spans="1:48">
      <c r="A10" s="290">
        <v>25</v>
      </c>
      <c r="B10" s="291">
        <v>176.11882780642384</v>
      </c>
      <c r="C10" s="291">
        <v>99.3</v>
      </c>
      <c r="D10" s="291">
        <v>80.99516559139785</v>
      </c>
      <c r="E10" s="291">
        <v>77.626403333333343</v>
      </c>
      <c r="F10" s="291">
        <v>113.55</v>
      </c>
      <c r="G10" s="291">
        <v>169.6</v>
      </c>
      <c r="H10" s="291">
        <v>243.6559139784946</v>
      </c>
      <c r="I10" s="291">
        <v>360.25</v>
      </c>
      <c r="J10" s="291">
        <v>423.91348547717843</v>
      </c>
      <c r="K10" s="291">
        <v>478.35</v>
      </c>
      <c r="L10" s="291">
        <v>518.88156316137565</v>
      </c>
      <c r="M10" s="291">
        <v>419.86852939921448</v>
      </c>
      <c r="N10" s="291">
        <v>230.14583333333334</v>
      </c>
      <c r="P10" s="290">
        <v>25</v>
      </c>
      <c r="Q10" s="135">
        <f t="shared" ref="Q10:AB10" si="10">IF(B10*Q5*24*3600/$AE$3/10^6&gt;$AE$2,$AE$2,B10*Q5*24*3600/$AE$3/10^6)</f>
        <v>118.22472892148511</v>
      </c>
      <c r="R10" s="135">
        <f t="shared" si="10"/>
        <v>62.357413533834574</v>
      </c>
      <c r="S10" s="135">
        <f t="shared" si="10"/>
        <v>54.370288601503759</v>
      </c>
      <c r="T10" s="135">
        <f t="shared" si="10"/>
        <v>50.427979308270672</v>
      </c>
      <c r="U10" s="135">
        <f t="shared" si="10"/>
        <v>76.223639097744368</v>
      </c>
      <c r="V10" s="135">
        <f t="shared" si="10"/>
        <v>110.17624060150376</v>
      </c>
      <c r="W10" s="135">
        <f t="shared" si="10"/>
        <v>163.56090225563904</v>
      </c>
      <c r="X10" s="135">
        <f t="shared" si="10"/>
        <v>189.607956000001</v>
      </c>
      <c r="Y10" s="135">
        <f t="shared" si="10"/>
        <v>189.607956000001</v>
      </c>
      <c r="Z10" s="135">
        <f t="shared" si="10"/>
        <v>189.607956000001</v>
      </c>
      <c r="AA10" s="135">
        <f t="shared" si="10"/>
        <v>189.607956000001</v>
      </c>
      <c r="AB10" s="135">
        <f t="shared" si="10"/>
        <v>189.607956000001</v>
      </c>
      <c r="AC10" s="135">
        <f t="shared" si="4"/>
        <v>1583.3809723199861</v>
      </c>
      <c r="AD10" s="26">
        <v>5</v>
      </c>
      <c r="AE10" s="134">
        <f>'Theo dõi TV'!I12</f>
        <v>86.234055534191796</v>
      </c>
      <c r="AF10" s="235">
        <f>_xlfn.XLOOKUP(AE10,F$6:F$24,F$6:F$24,,-1,1)</f>
        <v>85.234554008834166</v>
      </c>
      <c r="AG10" s="235">
        <f>_xlfn.XLOOKUP(AE10,F$6:F$24,F$6:F$24,,1,1)</f>
        <v>87.22</v>
      </c>
      <c r="AH10" s="25">
        <f>_xlfn.XLOOKUP(AE10,$F$6:$F$24,$A$6:$A$24,,-1,1)</f>
        <v>45</v>
      </c>
      <c r="AI10" s="25">
        <f>_xlfn.XLOOKUP(AE10,$F$6:$F$24,$A$6:$A$24,,1,1)</f>
        <v>40</v>
      </c>
      <c r="AJ10" s="235">
        <f t="shared" si="7"/>
        <v>42.482929453118174</v>
      </c>
      <c r="AL10" s="26">
        <v>5</v>
      </c>
      <c r="AM10" s="245">
        <v>42.482929453118174</v>
      </c>
      <c r="AN10" s="25">
        <f t="shared" si="1"/>
        <v>40</v>
      </c>
      <c r="AO10" s="25">
        <f t="shared" si="2"/>
        <v>45</v>
      </c>
      <c r="AP10" s="235">
        <f>_xlfn.XLOOKUP(AM10,$P$6:$P$24,$U$6:$U$24,,-1,1)</f>
        <v>58.548884210526317</v>
      </c>
      <c r="AQ10" s="235">
        <f>_xlfn.XLOOKUP(AM10,$P$6:$P$24,$U$6:$U$24,,1,1)</f>
        <v>57.216097608336199</v>
      </c>
      <c r="AR10" s="242">
        <f t="shared" si="8"/>
        <v>57.887041188666487</v>
      </c>
      <c r="AS10" s="235">
        <f>_xlfn.XLOOKUP(AM10,$A$6:$A$24,$F$6:$F$24,,-1,1)</f>
        <v>87.22</v>
      </c>
      <c r="AT10" s="235">
        <f>_xlfn.XLOOKUP(AM10,$A$6:$A$24,$F$6:$F$24,,1,1)</f>
        <v>85.234554008834166</v>
      </c>
      <c r="AU10" s="247">
        <f t="shared" si="5"/>
        <v>86.234055534191782</v>
      </c>
    </row>
    <row r="11" spans="1:48">
      <c r="A11" s="290">
        <v>30</v>
      </c>
      <c r="B11" s="291">
        <v>168.23936179270956</v>
      </c>
      <c r="C11" s="291">
        <v>90.765939537640747</v>
      </c>
      <c r="D11" s="291">
        <v>74.7066523892384</v>
      </c>
      <c r="E11" s="291">
        <v>73.899999999999991</v>
      </c>
      <c r="F11" s="291">
        <v>101.63999999999999</v>
      </c>
      <c r="G11" s="291">
        <v>166.70016320885199</v>
      </c>
      <c r="H11" s="291">
        <v>224.24985985872019</v>
      </c>
      <c r="I11" s="291">
        <v>329.31999999999994</v>
      </c>
      <c r="J11" s="291">
        <v>406.02</v>
      </c>
      <c r="K11" s="291">
        <v>445.1</v>
      </c>
      <c r="L11" s="291">
        <v>480.74573961640209</v>
      </c>
      <c r="M11" s="291">
        <v>314.97378128764552</v>
      </c>
      <c r="N11" s="291">
        <v>225.96999999999997</v>
      </c>
      <c r="P11" s="290">
        <v>30</v>
      </c>
      <c r="Q11" s="135">
        <f t="shared" ref="Q11:AB11" si="11">IF(B11*Q5*24*3600/$AE$3/10^6&gt;$AE$2,$AE$2,B11*Q5*24*3600/$AE$3/10^6)</f>
        <v>112.93541519438428</v>
      </c>
      <c r="R11" s="135">
        <f t="shared" si="11"/>
        <v>56.998280226945525</v>
      </c>
      <c r="S11" s="135">
        <f t="shared" si="11"/>
        <v>50.148946806851157</v>
      </c>
      <c r="T11" s="135">
        <f t="shared" si="11"/>
        <v>48.007218045112765</v>
      </c>
      <c r="U11" s="135">
        <f t="shared" si="11"/>
        <v>68.228715789473668</v>
      </c>
      <c r="V11" s="135">
        <f t="shared" si="11"/>
        <v>108.29243685146474</v>
      </c>
      <c r="W11" s="135">
        <f t="shared" si="11"/>
        <v>150.53404126456044</v>
      </c>
      <c r="X11" s="135">
        <f t="shared" si="11"/>
        <v>189.607956000001</v>
      </c>
      <c r="Y11" s="135">
        <f t="shared" si="11"/>
        <v>189.607956000001</v>
      </c>
      <c r="Z11" s="135">
        <f t="shared" si="11"/>
        <v>189.607956000001</v>
      </c>
      <c r="AA11" s="135">
        <f t="shared" si="11"/>
        <v>189.607956000001</v>
      </c>
      <c r="AB11" s="135">
        <f t="shared" si="11"/>
        <v>189.607956000001</v>
      </c>
      <c r="AC11" s="135">
        <f t="shared" si="4"/>
        <v>1543.1848341787975</v>
      </c>
      <c r="AD11" s="26">
        <v>6</v>
      </c>
      <c r="AE11" s="134">
        <f>'Theo dõi TV'!I13</f>
        <v>154.57981404973663</v>
      </c>
      <c r="AF11" s="235">
        <f>_xlfn.XLOOKUP(AE11,G$6:G$24,G$6:G$24,,-1,1)</f>
        <v>150.82</v>
      </c>
      <c r="AG11" s="235">
        <f>_xlfn.XLOOKUP(AE11,G$6:G$24,G$6:G$24,,1,1)</f>
        <v>164.26425285493829</v>
      </c>
      <c r="AH11" s="25">
        <f>_xlfn.XLOOKUP(AE11,$G$6:$G$24,$A$6:$A$24,,-1,1)</f>
        <v>40</v>
      </c>
      <c r="AI11" s="25">
        <f>_xlfn.XLOOKUP(AE11,$G$6:$G$24,$A$6:$A$24,,1,1)</f>
        <v>35</v>
      </c>
      <c r="AJ11" s="235">
        <f t="shared" si="7"/>
        <v>38.601702121231831</v>
      </c>
      <c r="AL11" s="26">
        <v>6</v>
      </c>
      <c r="AM11" s="245">
        <v>38.601702121231831</v>
      </c>
      <c r="AN11" s="25">
        <f t="shared" si="1"/>
        <v>35</v>
      </c>
      <c r="AO11" s="25">
        <f t="shared" si="2"/>
        <v>40</v>
      </c>
      <c r="AP11" s="235">
        <f>_xlfn.XLOOKUP(AM11,$P$6:$P$24,$V$6:$V$24,,-1,1)</f>
        <v>106.710010877193</v>
      </c>
      <c r="AQ11" s="235">
        <f>_xlfn.XLOOKUP(AM11,$P$6:$P$24,$V$6:$V$24,,1,1)</f>
        <v>97.976300751879691</v>
      </c>
      <c r="AR11" s="242">
        <f t="shared" si="8"/>
        <v>100.41876642028004</v>
      </c>
      <c r="AS11" s="235">
        <f>_xlfn.XLOOKUP(AM11,$A$6:$A$24,$G$6:$G$24,,-1,1)</f>
        <v>164.26425285493829</v>
      </c>
      <c r="AT11" s="235">
        <f>_xlfn.XLOOKUP(AM11,$A$6:$A$24,$G$6:$G$24,,1,1)</f>
        <v>150.82</v>
      </c>
      <c r="AU11" s="247">
        <f t="shared" si="5"/>
        <v>154.57981404973663</v>
      </c>
    </row>
    <row r="12" spans="1:48">
      <c r="A12" s="290">
        <v>35</v>
      </c>
      <c r="B12" s="291">
        <v>130.44</v>
      </c>
      <c r="C12" s="291">
        <v>85.122523485992261</v>
      </c>
      <c r="D12" s="291">
        <v>69.067096774193558</v>
      </c>
      <c r="E12" s="291">
        <v>68.496047026279399</v>
      </c>
      <c r="F12" s="291">
        <v>94.101959699418032</v>
      </c>
      <c r="G12" s="291">
        <v>164.26425285493829</v>
      </c>
      <c r="H12" s="291">
        <v>205.9672334229391</v>
      </c>
      <c r="I12" s="291">
        <v>310.75747819270669</v>
      </c>
      <c r="J12" s="291">
        <v>388.00000000000006</v>
      </c>
      <c r="K12" s="291">
        <v>426.20000000000005</v>
      </c>
      <c r="L12" s="291">
        <v>374.16501799999998</v>
      </c>
      <c r="M12" s="291">
        <v>264.34000000000003</v>
      </c>
      <c r="N12" s="291">
        <v>221.755</v>
      </c>
      <c r="P12" s="290">
        <v>35</v>
      </c>
      <c r="Q12" s="135">
        <f t="shared" ref="Q12:AB12" si="12">IF(B12*Q5*24*3600/$AE$3/10^6&gt;$AE$2,$AE$2,B12*Q5*24*3600/$AE$3/10^6)</f>
        <v>87.561527819548857</v>
      </c>
      <c r="R12" s="135">
        <f t="shared" si="12"/>
        <v>53.454384673308823</v>
      </c>
      <c r="S12" s="135">
        <f t="shared" si="12"/>
        <v>46.363236090225577</v>
      </c>
      <c r="T12" s="135">
        <f t="shared" si="12"/>
        <v>44.496680173462707</v>
      </c>
      <c r="U12" s="135">
        <f t="shared" si="12"/>
        <v>63.168593698977745</v>
      </c>
      <c r="V12" s="135">
        <f t="shared" si="12"/>
        <v>106.710010877193</v>
      </c>
      <c r="W12" s="135">
        <f t="shared" si="12"/>
        <v>138.26131278195493</v>
      </c>
      <c r="X12" s="135">
        <f t="shared" si="12"/>
        <v>189.607956000001</v>
      </c>
      <c r="Y12" s="135">
        <f t="shared" si="12"/>
        <v>189.607956000001</v>
      </c>
      <c r="Z12" s="135">
        <f t="shared" si="12"/>
        <v>189.607956000001</v>
      </c>
      <c r="AA12" s="135">
        <f t="shared" si="12"/>
        <v>189.607956000001</v>
      </c>
      <c r="AB12" s="135">
        <f t="shared" si="12"/>
        <v>177.44567819548874</v>
      </c>
      <c r="AC12" s="135">
        <f t="shared" si="4"/>
        <v>1475.8932483101642</v>
      </c>
      <c r="AD12" s="26">
        <v>7</v>
      </c>
      <c r="AE12" s="134">
        <f>'Theo dõi TV'!I14</f>
        <v>130</v>
      </c>
      <c r="AF12" s="235">
        <f>_xlfn.XLOOKUP(AE12,H$6:H$24,H$6:H$24,,-1,1)</f>
        <v>127.575</v>
      </c>
      <c r="AG12" s="235">
        <f>_xlfn.XLOOKUP(AE12,H$6:H$24,H$6:H$24,,1,1)</f>
        <v>137.71372388048604</v>
      </c>
      <c r="AH12" s="25">
        <f>_xlfn.XLOOKUP(AE12,$H$6:$H$24,$A$6:$A$24,,-1,1)</f>
        <v>85</v>
      </c>
      <c r="AI12" s="25">
        <f>_xlfn.XLOOKUP(AE12,$H$6:$H$24,$A$6:$A$24,,1,1)</f>
        <v>80</v>
      </c>
      <c r="AJ12" s="235">
        <f t="shared" si="7"/>
        <v>83.804090125845448</v>
      </c>
      <c r="AL12" s="26">
        <v>7</v>
      </c>
      <c r="AM12" s="459">
        <f>AJ12</f>
        <v>83.804090125845448</v>
      </c>
      <c r="AN12" s="25">
        <f t="shared" si="1"/>
        <v>80</v>
      </c>
      <c r="AO12" s="25">
        <f t="shared" si="2"/>
        <v>85</v>
      </c>
      <c r="AP12" s="235">
        <f>_xlfn.XLOOKUP(AM12,$P$6:$P$24,$W$6:$W$24,,-1,1)</f>
        <v>92.444220060524742</v>
      </c>
      <c r="AQ12" s="235">
        <f>_xlfn.XLOOKUP(AM12,$P$6:$P$24,$W$6:$W$24,,1,1)</f>
        <v>85.63831578947368</v>
      </c>
      <c r="AR12" s="242">
        <f t="shared" si="8"/>
        <v>87.266165413533813</v>
      </c>
      <c r="AS12" s="235">
        <f>_xlfn.XLOOKUP(AM12,$A$6:$A$24,$H$6:$H$24,,-1,1)</f>
        <v>137.71372388048604</v>
      </c>
      <c r="AT12" s="235">
        <f>_xlfn.XLOOKUP(AM12,$A$6:$A$24,$H$6:$H$24,,1,1)</f>
        <v>127.575</v>
      </c>
      <c r="AU12" s="247">
        <f t="shared" si="5"/>
        <v>129.99999999999997</v>
      </c>
      <c r="AV12" s="241" t="s">
        <v>54</v>
      </c>
    </row>
    <row r="13" spans="1:48">
      <c r="A13" s="290">
        <v>40</v>
      </c>
      <c r="B13" s="291">
        <v>123.92</v>
      </c>
      <c r="C13" s="291">
        <v>83.66</v>
      </c>
      <c r="D13" s="291">
        <v>66.08</v>
      </c>
      <c r="E13" s="291">
        <v>64.347660717395883</v>
      </c>
      <c r="F13" s="291">
        <v>87.22</v>
      </c>
      <c r="G13" s="291">
        <v>150.82</v>
      </c>
      <c r="H13" s="291">
        <v>195.82</v>
      </c>
      <c r="I13" s="291">
        <v>292.17797987685714</v>
      </c>
      <c r="J13" s="291">
        <v>345.81271922544954</v>
      </c>
      <c r="K13" s="291">
        <v>401.16</v>
      </c>
      <c r="L13" s="291">
        <v>356.47411376461088</v>
      </c>
      <c r="M13" s="291">
        <v>240.16</v>
      </c>
      <c r="N13" s="291">
        <v>211.79485064741175</v>
      </c>
      <c r="P13" s="290">
        <v>40</v>
      </c>
      <c r="Q13" s="135">
        <f t="shared" ref="Q13:AB13" si="13">IF(B13*Q5*24*3600/$AE$3/10^6&gt;$AE$2,$AE$2,B13*Q5*24*3600/$AE$3/10^6)</f>
        <v>83.184793984962397</v>
      </c>
      <c r="R13" s="135">
        <f t="shared" si="13"/>
        <v>52.535963909774431</v>
      </c>
      <c r="S13" s="135">
        <f t="shared" si="13"/>
        <v>44.35806315789474</v>
      </c>
      <c r="T13" s="135">
        <f t="shared" si="13"/>
        <v>41.801788616413553</v>
      </c>
      <c r="U13" s="135">
        <f t="shared" si="13"/>
        <v>58.548884210526317</v>
      </c>
      <c r="V13" s="135">
        <f t="shared" si="13"/>
        <v>97.976300751879691</v>
      </c>
      <c r="W13" s="135">
        <f t="shared" si="13"/>
        <v>131.4496962406015</v>
      </c>
      <c r="X13" s="135">
        <f t="shared" si="13"/>
        <v>189.607956000001</v>
      </c>
      <c r="Y13" s="135">
        <f t="shared" si="13"/>
        <v>189.607956000001</v>
      </c>
      <c r="Z13" s="135">
        <f t="shared" si="13"/>
        <v>189.607956000001</v>
      </c>
      <c r="AA13" s="135">
        <f t="shared" si="13"/>
        <v>189.607956000001</v>
      </c>
      <c r="AB13" s="135">
        <f t="shared" si="13"/>
        <v>161.21417142857143</v>
      </c>
      <c r="AC13" s="135">
        <f t="shared" si="4"/>
        <v>1429.5014863006281</v>
      </c>
      <c r="AD13" s="26">
        <v>8</v>
      </c>
      <c r="AE13" s="134">
        <f>'Theo dõi TV'!I15</f>
        <v>200</v>
      </c>
      <c r="AF13" s="235">
        <f>_xlfn.XLOOKUP(AE13,I$6:I$24,I$6:I$24,,-1,1)</f>
        <v>199.94000000000003</v>
      </c>
      <c r="AG13" s="235">
        <f>_xlfn.XLOOKUP(AE13,I$6:I$24,I$6:I$24,,1,1)</f>
        <v>213.37015392852362</v>
      </c>
      <c r="AH13" s="25">
        <f>_xlfn.XLOOKUP(AE13,$I$6:$I$24,$A$6:$A$24,,-1,1)</f>
        <v>70</v>
      </c>
      <c r="AI13" s="25">
        <f>_xlfn.XLOOKUP(AE13,$I$6:$I$24,$A$6:$A$24,,1,1)</f>
        <v>65</v>
      </c>
      <c r="AJ13" s="235">
        <f t="shared" si="7"/>
        <v>69.97766220688186</v>
      </c>
      <c r="AL13" s="26">
        <v>8</v>
      </c>
      <c r="AM13" s="459">
        <v>91</v>
      </c>
      <c r="AN13" s="25">
        <f t="shared" si="1"/>
        <v>90</v>
      </c>
      <c r="AO13" s="25">
        <f t="shared" si="2"/>
        <v>95</v>
      </c>
      <c r="AP13" s="235">
        <f>_xlfn.XLOOKUP(AM13,$P$6:$P$24,$X$6:$X$24,,-1,1)</f>
        <v>112.16581428571429</v>
      </c>
      <c r="AQ13" s="235">
        <f>_xlfn.XLOOKUP(AM13,$P$6:$P$24,$X$6:$X$24,,1,1)</f>
        <v>97.178406390977528</v>
      </c>
      <c r="AR13" s="242">
        <f t="shared" si="8"/>
        <v>109.16833270676693</v>
      </c>
      <c r="AS13" s="235">
        <f>_xlfn.XLOOKUP(AM13,$A$6:$A$24,$I$6:$I$24,,-1,1)</f>
        <v>167.09289090501792</v>
      </c>
      <c r="AT13" s="235">
        <f>_xlfn.XLOOKUP(AM13,$A$6:$A$24,$I$6:$I$24,,1,1)</f>
        <v>144.76621919802881</v>
      </c>
      <c r="AU13" s="247">
        <f t="shared" si="5"/>
        <v>162.62755656362009</v>
      </c>
    </row>
    <row r="14" spans="1:48">
      <c r="A14" s="290">
        <v>45</v>
      </c>
      <c r="B14" s="291">
        <v>114.31</v>
      </c>
      <c r="C14" s="291">
        <v>78.02000000000001</v>
      </c>
      <c r="D14" s="291">
        <v>62.528110279057863</v>
      </c>
      <c r="E14" s="291">
        <v>58.26153346560853</v>
      </c>
      <c r="F14" s="291">
        <v>85.234554008834166</v>
      </c>
      <c r="G14" s="291">
        <v>133.62033981470154</v>
      </c>
      <c r="H14" s="291">
        <v>191.39000000000001</v>
      </c>
      <c r="I14" s="291">
        <v>272.18</v>
      </c>
      <c r="J14" s="291">
        <v>344.64817882687606</v>
      </c>
      <c r="K14" s="291">
        <v>397.89816269048976</v>
      </c>
      <c r="L14" s="291">
        <v>327.21000000000004</v>
      </c>
      <c r="M14" s="291">
        <v>231.71138042360556</v>
      </c>
      <c r="N14" s="291">
        <v>199.44221463297455</v>
      </c>
      <c r="P14" s="290">
        <v>45</v>
      </c>
      <c r="Q14" s="135">
        <f t="shared" ref="Q14:AB14" si="14">IF(B14*Q5*24*3600/$AE$3/10^6&gt;$AE$2,$AE$2,B14*Q5*24*3600/$AE$3/10^6)</f>
        <v>76.733810526315779</v>
      </c>
      <c r="R14" s="135">
        <f t="shared" si="14"/>
        <v>48.994213533834596</v>
      </c>
      <c r="S14" s="135">
        <f t="shared" si="14"/>
        <v>41.973757035445765</v>
      </c>
      <c r="T14" s="135">
        <f t="shared" si="14"/>
        <v>37.848093920515609</v>
      </c>
      <c r="U14" s="135">
        <f t="shared" si="14"/>
        <v>57.216097608336199</v>
      </c>
      <c r="V14" s="135">
        <f t="shared" si="14"/>
        <v>86.802987669099352</v>
      </c>
      <c r="W14" s="135">
        <f t="shared" si="14"/>
        <v>128.47593383458647</v>
      </c>
      <c r="X14" s="135">
        <f t="shared" si="14"/>
        <v>182.70849924812029</v>
      </c>
      <c r="Y14" s="135">
        <f t="shared" si="14"/>
        <v>189.607956000001</v>
      </c>
      <c r="Z14" s="135">
        <f t="shared" si="14"/>
        <v>189.607956000001</v>
      </c>
      <c r="AA14" s="135">
        <f t="shared" si="14"/>
        <v>189.607956000001</v>
      </c>
      <c r="AB14" s="135">
        <f t="shared" si="14"/>
        <v>155.54279732495868</v>
      </c>
      <c r="AC14" s="135">
        <f t="shared" si="4"/>
        <v>1385.1200587012156</v>
      </c>
      <c r="AD14" s="26">
        <v>9</v>
      </c>
      <c r="AE14" s="134">
        <f>'Theo dõi TV'!I16</f>
        <v>270</v>
      </c>
      <c r="AF14" s="235">
        <f>_xlfn.XLOOKUP(AE14,J$6:J$24,J$6:J$24,,-1,1)</f>
        <v>264.70904444444443</v>
      </c>
      <c r="AG14" s="235">
        <f>_xlfn.XLOOKUP(AE14,J$6:J$24,J$6:J$24,,1,1)</f>
        <v>279.25704126843794</v>
      </c>
      <c r="AH14" s="25">
        <f>_xlfn.XLOOKUP(AE14,$J$6:$J$24,$A$6:$A$24,,-1,1)</f>
        <v>75</v>
      </c>
      <c r="AI14" s="25">
        <f>_xlfn.XLOOKUP(AE14,$J$6:$J$24,$A$6:$A$24,,1,1)</f>
        <v>70</v>
      </c>
      <c r="AJ14" s="235">
        <f t="shared" si="7"/>
        <v>73.181551859143454</v>
      </c>
      <c r="AL14" s="26">
        <v>9</v>
      </c>
      <c r="AM14" s="459">
        <v>71</v>
      </c>
      <c r="AN14" s="25">
        <f t="shared" si="1"/>
        <v>70</v>
      </c>
      <c r="AO14" s="25">
        <f t="shared" si="2"/>
        <v>75</v>
      </c>
      <c r="AP14" s="235">
        <f>_xlfn.XLOOKUP(AM14,$P$6:$P$24,$Y$6:$Y$24,,-1,1)</f>
        <v>181.41209297438371</v>
      </c>
      <c r="AQ14" s="235">
        <f>_xlfn.XLOOKUP(AM14,$P$6:$P$24,$Y$6:$Y$24,,1,1)</f>
        <v>171.96136421052628</v>
      </c>
      <c r="AR14" s="242">
        <f t="shared" si="8"/>
        <v>179.52194722161224</v>
      </c>
      <c r="AS14" s="235">
        <f>_xlfn.XLOOKUP(AM14,$A$6:$A$24,$J$6:$J$24,,-1,1)</f>
        <v>279.25704126843794</v>
      </c>
      <c r="AT14" s="235">
        <f>_xlfn.XLOOKUP(AM14,$A$6:$A$24,$J$6:$J$24,,1,1)</f>
        <v>264.70904444444443</v>
      </c>
      <c r="AU14" s="247">
        <f t="shared" si="5"/>
        <v>276.34744190363926</v>
      </c>
    </row>
    <row r="15" spans="1:48">
      <c r="A15" s="290">
        <v>50</v>
      </c>
      <c r="B15" s="291">
        <v>105.2</v>
      </c>
      <c r="C15" s="291">
        <v>77.5</v>
      </c>
      <c r="D15" s="291">
        <v>60.75331050520559</v>
      </c>
      <c r="E15" s="291">
        <v>56.9</v>
      </c>
      <c r="F15" s="291">
        <v>82.61294193548386</v>
      </c>
      <c r="G15" s="291">
        <v>132</v>
      </c>
      <c r="H15" s="291">
        <v>186.8</v>
      </c>
      <c r="I15" s="291">
        <v>263.95076653572494</v>
      </c>
      <c r="J15" s="291">
        <v>328.8</v>
      </c>
      <c r="K15" s="291">
        <v>385.27039569892474</v>
      </c>
      <c r="L15" s="291">
        <v>296.26386893738993</v>
      </c>
      <c r="M15" s="291">
        <v>217.26831637224768</v>
      </c>
      <c r="N15" s="291">
        <v>194.78261758273086</v>
      </c>
      <c r="P15" s="290">
        <v>50</v>
      </c>
      <c r="Q15" s="135">
        <f t="shared" ref="Q15:AB15" si="15">IF(B15*Q5*24*3600/$AE$3/10^6&gt;$AE$2,$AE$2,B15*Q5*24*3600/$AE$3/10^6)</f>
        <v>70.618466165413523</v>
      </c>
      <c r="R15" s="135">
        <f t="shared" si="15"/>
        <v>48.667669172932328</v>
      </c>
      <c r="S15" s="135">
        <f t="shared" si="15"/>
        <v>40.782372645900416</v>
      </c>
      <c r="T15" s="135">
        <f t="shared" si="15"/>
        <v>36.963609022556383</v>
      </c>
      <c r="U15" s="135">
        <f t="shared" si="15"/>
        <v>55.456266586466157</v>
      </c>
      <c r="V15" s="135">
        <f t="shared" si="15"/>
        <v>85.750375939849619</v>
      </c>
      <c r="W15" s="135">
        <f t="shared" si="15"/>
        <v>125.39476691729324</v>
      </c>
      <c r="X15" s="135">
        <f t="shared" si="15"/>
        <v>177.18439425796635</v>
      </c>
      <c r="Y15" s="135">
        <f t="shared" si="15"/>
        <v>189.607956000001</v>
      </c>
      <c r="Z15" s="135">
        <f t="shared" si="15"/>
        <v>189.607956000001</v>
      </c>
      <c r="AA15" s="135">
        <f t="shared" si="15"/>
        <v>189.607956000001</v>
      </c>
      <c r="AB15" s="135">
        <f t="shared" si="15"/>
        <v>145.84748335123513</v>
      </c>
      <c r="AC15" s="135">
        <f t="shared" si="4"/>
        <v>1355.489272059616</v>
      </c>
      <c r="AD15" s="26">
        <v>10</v>
      </c>
      <c r="AE15" s="134">
        <f>'Theo dõi TV'!I17</f>
        <v>300</v>
      </c>
      <c r="AF15" s="235">
        <f>_xlfn.XLOOKUP(AE15,K$6:K$24,K$6:K$24,,-1,1)</f>
        <v>267.32499999999999</v>
      </c>
      <c r="AG15" s="235">
        <f>_xlfn.XLOOKUP(AE15,K$6:K$24,K$6:K$24,,1,1)</f>
        <v>303.38162451612902</v>
      </c>
      <c r="AH15" s="25">
        <f>_xlfn.XLOOKUP(AE15,$K$6:$K$24,$A$6:$A$24,,-1,1)</f>
        <v>85</v>
      </c>
      <c r="AI15" s="25">
        <f>_xlfn.XLOOKUP(AE15,$K$6:$K$24,$A$6:$A$24,,1,1)</f>
        <v>80</v>
      </c>
      <c r="AJ15" s="235">
        <f t="shared" si="7"/>
        <v>80.468932486264265</v>
      </c>
      <c r="AL15" s="26">
        <v>10</v>
      </c>
      <c r="AM15" s="459">
        <v>72</v>
      </c>
      <c r="AN15" s="25">
        <f t="shared" si="1"/>
        <v>70</v>
      </c>
      <c r="AO15" s="25">
        <f t="shared" si="2"/>
        <v>75</v>
      </c>
      <c r="AP15" s="235">
        <f>_xlfn.XLOOKUP(AM15,$P$6:$P$24,$Z$6:$Z$24,,-1,1)</f>
        <v>189.607956000001</v>
      </c>
      <c r="AQ15" s="235">
        <f>_xlfn.XLOOKUP(AM15,$P$6:$P$24,$Z$6:$Z$24,,1,1)</f>
        <v>189.607956000001</v>
      </c>
      <c r="AR15" s="242">
        <f t="shared" si="8"/>
        <v>189.607956000001</v>
      </c>
      <c r="AS15" s="235">
        <f>_xlfn.XLOOKUP(AM15,$A$6:$A$24,$K$6:$K$24,,-1,1)</f>
        <v>323.17901218043102</v>
      </c>
      <c r="AT15" s="235">
        <f>_xlfn.XLOOKUP(AM15,$A$6:$A$24,$K$6:$K$24,,1,1)</f>
        <v>311.36336534513845</v>
      </c>
      <c r="AU15" s="247">
        <f t="shared" si="5"/>
        <v>318.45275344631398</v>
      </c>
    </row>
    <row r="16" spans="1:48">
      <c r="A16" s="290">
        <v>55</v>
      </c>
      <c r="B16" s="291">
        <v>103.55999835541348</v>
      </c>
      <c r="C16" s="291">
        <v>71.929132131678401</v>
      </c>
      <c r="D16" s="291">
        <v>59.36</v>
      </c>
      <c r="E16" s="291">
        <v>54.67</v>
      </c>
      <c r="F16" s="291">
        <v>78.083364545997611</v>
      </c>
      <c r="G16" s="291">
        <v>127.18051784232365</v>
      </c>
      <c r="H16" s="291">
        <v>177.50537946727346</v>
      </c>
      <c r="I16" s="291">
        <v>239.23657877124884</v>
      </c>
      <c r="J16" s="291">
        <v>302.81612878086418</v>
      </c>
      <c r="K16" s="291">
        <v>364.63594833355637</v>
      </c>
      <c r="L16" s="291">
        <v>284.67999999999995</v>
      </c>
      <c r="M16" s="291">
        <v>196.01869322580646</v>
      </c>
      <c r="N16" s="291">
        <v>189.58583333333334</v>
      </c>
      <c r="P16" s="290">
        <v>55</v>
      </c>
      <c r="Q16" s="135">
        <f t="shared" ref="Q16:AB16" si="16">IF(B16*Q5*24*3600/$AE$3/10^6&gt;$AE$2,$AE$2,B16*Q5*24*3600/$AE$3/10^6)</f>
        <v>69.517568820836942</v>
      </c>
      <c r="R16" s="135">
        <f t="shared" si="16"/>
        <v>45.169331696524665</v>
      </c>
      <c r="S16" s="135">
        <f t="shared" si="16"/>
        <v>39.847073684210521</v>
      </c>
      <c r="T16" s="135">
        <f t="shared" si="16"/>
        <v>35.514947368421048</v>
      </c>
      <c r="U16" s="135">
        <f t="shared" si="16"/>
        <v>52.415660050125318</v>
      </c>
      <c r="V16" s="135">
        <f t="shared" si="16"/>
        <v>82.61952437275761</v>
      </c>
      <c r="W16" s="135">
        <f t="shared" si="16"/>
        <v>119.15549081833213</v>
      </c>
      <c r="X16" s="135">
        <f t="shared" si="16"/>
        <v>160.59429889245936</v>
      </c>
      <c r="Y16" s="135">
        <f t="shared" si="16"/>
        <v>189.607956000001</v>
      </c>
      <c r="Z16" s="135">
        <f t="shared" si="16"/>
        <v>189.607956000001</v>
      </c>
      <c r="AA16" s="135">
        <f t="shared" si="16"/>
        <v>184.93497744360894</v>
      </c>
      <c r="AB16" s="135">
        <f t="shared" si="16"/>
        <v>131.58307467067667</v>
      </c>
      <c r="AC16" s="135">
        <f t="shared" si="4"/>
        <v>1300.5678598179552</v>
      </c>
      <c r="AD16" s="26">
        <v>11</v>
      </c>
      <c r="AE16" s="134">
        <f>'Theo dõi TV'!I18</f>
        <v>320</v>
      </c>
      <c r="AF16" s="235">
        <f>_xlfn.XLOOKUP(AE16,L$6:L$24,L$6:L$24,,-1,1)</f>
        <v>296.26386893738993</v>
      </c>
      <c r="AG16" s="235">
        <f>_xlfn.XLOOKUP(AE16,L$6:L$24,L$6:L$24,,1,1)</f>
        <v>327.21000000000004</v>
      </c>
      <c r="AH16" s="25">
        <f>_xlfn.XLOOKUP(AE16,$L$6:$L$24,$A$6:$A$24,,-1,1)</f>
        <v>50</v>
      </c>
      <c r="AI16" s="25">
        <f>_xlfn.XLOOKUP(AE16,$L$6:$L$24,$A$6:$A$24,,1,1)</f>
        <v>45</v>
      </c>
      <c r="AJ16" s="235">
        <f t="shared" si="7"/>
        <v>46.164927529294815</v>
      </c>
      <c r="AL16" s="26">
        <v>11</v>
      </c>
      <c r="AM16" s="459">
        <v>50</v>
      </c>
      <c r="AN16" s="25">
        <f t="shared" si="1"/>
        <v>50</v>
      </c>
      <c r="AO16" s="25">
        <f t="shared" si="2"/>
        <v>50</v>
      </c>
      <c r="AP16" s="235">
        <f>_xlfn.XLOOKUP(AM16,$P$6:$P$24,$AA$6:$AA$24,,-1,1)</f>
        <v>189.607956000001</v>
      </c>
      <c r="AQ16" s="235">
        <f>_xlfn.XLOOKUP(AM16,$P$6:$P$24,$AA$6:$AA$24,,1,1)</f>
        <v>189.607956000001</v>
      </c>
      <c r="AR16" s="242">
        <f t="shared" si="8"/>
        <v>189.607956000001</v>
      </c>
      <c r="AS16" s="235">
        <f>_xlfn.XLOOKUP(AM16,$A$6:$A$24,$L$6:$L$24,,-1,1)</f>
        <v>296.26386893738993</v>
      </c>
      <c r="AT16" s="235">
        <f>_xlfn.XLOOKUP(AM16,$A$6:$A$24,$L$6:$L$24,,1,1)</f>
        <v>296.26386893738993</v>
      </c>
      <c r="AU16" s="247">
        <f t="shared" si="5"/>
        <v>296.26386893738993</v>
      </c>
    </row>
    <row r="17" spans="1:47">
      <c r="A17" s="290">
        <v>60</v>
      </c>
      <c r="B17" s="291">
        <v>101.96</v>
      </c>
      <c r="C17" s="291">
        <v>68.98</v>
      </c>
      <c r="D17" s="291">
        <v>58.117040194572354</v>
      </c>
      <c r="E17" s="291">
        <v>51.388337777777778</v>
      </c>
      <c r="F17" s="291">
        <v>73.331647849462399</v>
      </c>
      <c r="G17" s="291">
        <v>122.32000000000001</v>
      </c>
      <c r="H17" s="291">
        <v>172.84803520225293</v>
      </c>
      <c r="I17" s="291">
        <v>224.05393172034542</v>
      </c>
      <c r="J17" s="291">
        <v>286.4022683264177</v>
      </c>
      <c r="K17" s="291">
        <v>341.94</v>
      </c>
      <c r="L17" s="291">
        <v>273.52575355689549</v>
      </c>
      <c r="M17" s="291">
        <v>182.14000000000001</v>
      </c>
      <c r="N17" s="291">
        <v>184.98166666666668</v>
      </c>
      <c r="P17" s="290">
        <v>60</v>
      </c>
      <c r="Q17" s="135">
        <f t="shared" ref="Q17:AB17" si="17">IF(B17*Q5*24*3600/$AE$3/10^6&gt;$AE$2,$AE$2,B17*Q5*24*3600/$AE$3/10^6)</f>
        <v>68.443524812030063</v>
      </c>
      <c r="R17" s="135">
        <f t="shared" si="17"/>
        <v>43.317365413533828</v>
      </c>
      <c r="S17" s="135">
        <f t="shared" si="17"/>
        <v>39.01270186895804</v>
      </c>
      <c r="T17" s="135">
        <f t="shared" si="17"/>
        <v>33.383100631578948</v>
      </c>
      <c r="U17" s="135">
        <f t="shared" si="17"/>
        <v>49.225936240601527</v>
      </c>
      <c r="V17" s="135">
        <f t="shared" si="17"/>
        <v>79.462015037593986</v>
      </c>
      <c r="W17" s="135">
        <f t="shared" si="17"/>
        <v>116.02911716433941</v>
      </c>
      <c r="X17" s="135">
        <f t="shared" si="17"/>
        <v>150.40251897738671</v>
      </c>
      <c r="Y17" s="135">
        <f t="shared" si="17"/>
        <v>186.0538043864849</v>
      </c>
      <c r="Z17" s="135">
        <f t="shared" si="17"/>
        <v>189.607956000001</v>
      </c>
      <c r="AA17" s="135">
        <f t="shared" si="17"/>
        <v>177.68891058132158</v>
      </c>
      <c r="AB17" s="135">
        <f t="shared" si="17"/>
        <v>122.26661052631577</v>
      </c>
      <c r="AC17" s="135">
        <f t="shared" si="4"/>
        <v>1254.8935616401457</v>
      </c>
      <c r="AD17" s="26">
        <v>12</v>
      </c>
      <c r="AE17" s="134">
        <f>'Theo dõi TV'!I19</f>
        <v>225</v>
      </c>
      <c r="AF17" s="235">
        <f>_xlfn.XLOOKUP(AE17,M$6:M$24,M$6:M$24,,-1,1)</f>
        <v>217.26831637224768</v>
      </c>
      <c r="AG17" s="235">
        <f>_xlfn.XLOOKUP(AE17,M$6:M$24,M$6:M$24,,1,1)</f>
        <v>231.71138042360556</v>
      </c>
      <c r="AH17" s="25">
        <f>_xlfn.XLOOKUP(AE17,M$6:M$24,$A$6:$A$24,,-1,1)</f>
        <v>50</v>
      </c>
      <c r="AI17" s="25">
        <f>_xlfn.XLOOKUP(AE17,M$6:M$24,$A$6:$A$24,,1,1)</f>
        <v>45</v>
      </c>
      <c r="AJ17" s="235">
        <f t="shared" si="7"/>
        <v>47.323392183175486</v>
      </c>
      <c r="AL17" s="26">
        <v>12</v>
      </c>
      <c r="AM17" s="459">
        <v>46</v>
      </c>
      <c r="AN17" s="25">
        <f t="shared" si="1"/>
        <v>45</v>
      </c>
      <c r="AO17" s="25">
        <f t="shared" si="2"/>
        <v>50</v>
      </c>
      <c r="AP17" s="235">
        <f>_xlfn.XLOOKUP(AM17,$P$6:$P$24,$AB$6:$AB$24,,-1,1)</f>
        <v>155.54279732495868</v>
      </c>
      <c r="AQ17" s="235">
        <f>_xlfn.XLOOKUP(AM17,$P$6:$P$24,$AB$6:$AB$24,,1,1)</f>
        <v>145.84748335123513</v>
      </c>
      <c r="AR17" s="242">
        <f t="shared" si="8"/>
        <v>153.60373453021396</v>
      </c>
      <c r="AS17" s="235">
        <f>_xlfn.XLOOKUP(AM17,$A$6:$A$24,$M$6:$M$24,,-1,1)</f>
        <v>231.71138042360556</v>
      </c>
      <c r="AT17" s="235">
        <f>_xlfn.XLOOKUP(AM17,$A$6:$A$24,$M$6:$M$24,,1,1)</f>
        <v>217.26831637224768</v>
      </c>
      <c r="AU17" s="247">
        <f t="shared" si="5"/>
        <v>228.82276761333392</v>
      </c>
    </row>
    <row r="18" spans="1:47">
      <c r="A18" s="290">
        <v>65</v>
      </c>
      <c r="B18" s="291">
        <v>96.07714763753178</v>
      </c>
      <c r="C18" s="291">
        <v>58.437776970954353</v>
      </c>
      <c r="D18" s="291">
        <v>51.779999999999987</v>
      </c>
      <c r="E18" s="291">
        <v>49.37808465608466</v>
      </c>
      <c r="F18" s="291">
        <v>65.116908602074517</v>
      </c>
      <c r="G18" s="291">
        <v>117.9350124481328</v>
      </c>
      <c r="H18" s="291">
        <v>163.92999999999998</v>
      </c>
      <c r="I18" s="291">
        <v>213.37015392852362</v>
      </c>
      <c r="J18" s="291">
        <v>281.95252099999999</v>
      </c>
      <c r="K18" s="291">
        <v>338.30277419354843</v>
      </c>
      <c r="L18" s="291">
        <v>264.07693534675718</v>
      </c>
      <c r="M18" s="291">
        <v>177.1499268433183</v>
      </c>
      <c r="N18" s="291">
        <v>170.46583333333334</v>
      </c>
      <c r="P18" s="290">
        <v>65</v>
      </c>
      <c r="Q18" s="135">
        <f t="shared" ref="Q18:AB18" si="18">IF(B18*Q5*24*3600/$AE$3/10^6&gt;$AE$2,$AE$2,B18*Q5*24*3600/$AE$3/10^6)</f>
        <v>64.494494293825838</v>
      </c>
      <c r="R18" s="135">
        <f t="shared" si="18"/>
        <v>36.697166410632384</v>
      </c>
      <c r="S18" s="135">
        <f t="shared" si="18"/>
        <v>34.758784962406011</v>
      </c>
      <c r="T18" s="135">
        <f t="shared" si="18"/>
        <v>32.077191836734698</v>
      </c>
      <c r="U18" s="135">
        <f t="shared" si="18"/>
        <v>43.71156090220461</v>
      </c>
      <c r="V18" s="135">
        <f t="shared" si="18"/>
        <v>76.613421620441159</v>
      </c>
      <c r="W18" s="135">
        <f t="shared" si="18"/>
        <v>110.04263458646615</v>
      </c>
      <c r="X18" s="135">
        <f t="shared" si="18"/>
        <v>143.23073190029012</v>
      </c>
      <c r="Y18" s="135">
        <f t="shared" si="18"/>
        <v>183.16314146165411</v>
      </c>
      <c r="Z18" s="135">
        <f t="shared" si="18"/>
        <v>189.607956000001</v>
      </c>
      <c r="AA18" s="135">
        <f t="shared" si="18"/>
        <v>171.5507309320287</v>
      </c>
      <c r="AB18" s="135">
        <f t="shared" si="18"/>
        <v>118.9168832223418</v>
      </c>
      <c r="AC18" s="135">
        <f t="shared" si="4"/>
        <v>1204.8646981290265</v>
      </c>
      <c r="AE18" s="25"/>
      <c r="AF18" s="25"/>
      <c r="AG18" s="25"/>
      <c r="AH18" s="25"/>
      <c r="AI18" s="25"/>
      <c r="AJ18" s="25"/>
      <c r="AM18" s="241" t="s">
        <v>46</v>
      </c>
      <c r="AR18" s="241" t="s">
        <v>47</v>
      </c>
    </row>
    <row r="19" spans="1:47">
      <c r="A19" s="290">
        <v>70</v>
      </c>
      <c r="B19" s="291">
        <v>93.815204782920745</v>
      </c>
      <c r="C19" s="291">
        <v>55.853910430676777</v>
      </c>
      <c r="D19" s="291">
        <v>47.411124445297787</v>
      </c>
      <c r="E19" s="291">
        <v>47.805751644931867</v>
      </c>
      <c r="F19" s="291">
        <v>63.6</v>
      </c>
      <c r="G19" s="291">
        <v>116.10641622338528</v>
      </c>
      <c r="H19" s="291">
        <v>151.35676491678939</v>
      </c>
      <c r="I19" s="291">
        <v>199.94000000000003</v>
      </c>
      <c r="J19" s="291">
        <v>279.25704126843794</v>
      </c>
      <c r="K19" s="291">
        <v>323.17901218043102</v>
      </c>
      <c r="L19" s="291">
        <v>243.43028851410932</v>
      </c>
      <c r="M19" s="291">
        <v>158.81101860527377</v>
      </c>
      <c r="N19" s="291">
        <v>164.48410543135481</v>
      </c>
      <c r="P19" s="290">
        <v>70</v>
      </c>
      <c r="Q19" s="135">
        <f t="shared" ref="Q19:AB19" si="19">IF(B19*Q5*24*3600/$AE$3/10^6&gt;$AE$2,$AE$2,B19*Q5*24*3600/$AE$3/10^6)</f>
        <v>62.976101376083932</v>
      </c>
      <c r="R19" s="135">
        <f t="shared" si="19"/>
        <v>35.07457593360995</v>
      </c>
      <c r="S19" s="135">
        <f t="shared" si="19"/>
        <v>31.826054063730719</v>
      </c>
      <c r="T19" s="135">
        <f t="shared" si="19"/>
        <v>31.055766482121147</v>
      </c>
      <c r="U19" s="135">
        <f t="shared" si="19"/>
        <v>42.693293233082706</v>
      </c>
      <c r="V19" s="135">
        <f t="shared" si="19"/>
        <v>75.425521516545032</v>
      </c>
      <c r="W19" s="135">
        <f t="shared" si="19"/>
        <v>101.60249602835304</v>
      </c>
      <c r="X19" s="135">
        <f t="shared" si="19"/>
        <v>134.21536240601506</v>
      </c>
      <c r="Y19" s="135">
        <f t="shared" si="19"/>
        <v>181.41209297438371</v>
      </c>
      <c r="Z19" s="135">
        <f t="shared" si="19"/>
        <v>189.607956000001</v>
      </c>
      <c r="AA19" s="135">
        <f t="shared" si="19"/>
        <v>158.13817238811313</v>
      </c>
      <c r="AB19" s="135">
        <f t="shared" si="19"/>
        <v>106.606373993074</v>
      </c>
      <c r="AC19" s="135">
        <f t="shared" si="4"/>
        <v>1150.6337663951133</v>
      </c>
      <c r="AE19" s="25"/>
      <c r="AF19" s="25"/>
      <c r="AG19" s="25"/>
      <c r="AH19" s="25"/>
      <c r="AI19" s="25"/>
      <c r="AJ19" s="25"/>
    </row>
    <row r="20" spans="1:47">
      <c r="A20" s="290">
        <v>75</v>
      </c>
      <c r="B20" s="291">
        <v>82.423976531401792</v>
      </c>
      <c r="C20" s="291">
        <v>53.9</v>
      </c>
      <c r="D20" s="291">
        <v>42.3</v>
      </c>
      <c r="E20" s="291">
        <v>46.8</v>
      </c>
      <c r="F20" s="291">
        <v>61.740797751305045</v>
      </c>
      <c r="G20" s="291">
        <v>95.165195758383305</v>
      </c>
      <c r="H20" s="291">
        <v>143.41783964840414</v>
      </c>
      <c r="I20" s="291">
        <v>192.26616215437795</v>
      </c>
      <c r="J20" s="291">
        <v>264.70904444444443</v>
      </c>
      <c r="K20" s="291">
        <v>311.36336534513845</v>
      </c>
      <c r="L20" s="291">
        <v>219.7</v>
      </c>
      <c r="M20" s="291">
        <v>143.66678043394776</v>
      </c>
      <c r="N20" s="291">
        <v>163.06608622567171</v>
      </c>
      <c r="P20" s="290">
        <v>75</v>
      </c>
      <c r="Q20" s="135">
        <f>IF(B20*$Q$5*24*3600/$AE$3/10^6&gt;$AE$2,$AE$2,B20*$Q$5*24*3600/$AE$3/10^6)</f>
        <v>55.329418231004141</v>
      </c>
      <c r="R20" s="135">
        <f>IF(C20*$R$5*24*3600/$AE$3/10^6&gt;$AE$2,$AE$2,C20*$R$5*24*3600/$AE$3/10^6)</f>
        <v>33.847578947368412</v>
      </c>
      <c r="S20" s="135">
        <f>IF(D20*$S$5*24*3600/$AE$3/10^6&gt;$AE$2,$AE$2,D20*$S$5*24*3600/$AE$3/10^6)</f>
        <v>28.395067669172928</v>
      </c>
      <c r="T20" s="135">
        <f>IF(E20*$T$5*24*3600/$AE$3/10^6&gt;$AE$2,$AE$2,E20*$T$5*24*3600/$AE$3/10^6)</f>
        <v>30.402406015037592</v>
      </c>
      <c r="U20" s="135">
        <f>IF(F20*$U$5*24*3600/$AE$3/10^6&gt;$AE$2,$AE$2,F20*$U$5*24*3600/$AE$3/10^6)</f>
        <v>41.445251302530181</v>
      </c>
      <c r="V20" s="135">
        <f>IF(G20*$V$5*24*3600/$AE$3/10^6&gt;$AE$2,$AE$2,G20*$V$5*24*3600/$AE$3/10^6)</f>
        <v>61.821600853566288</v>
      </c>
      <c r="W20" s="135">
        <f>IF(H20*$W$5*24*3600/$AE$3/10^6&gt;$AE$2,$AE$2,H20*$W$5*24*3600/$AE$3/10^6)</f>
        <v>96.273268600071589</v>
      </c>
      <c r="X20" s="135">
        <f>IF(I20*$X$5*24*3600/$AE$3/10^6&gt;$AE$2,$AE$2,I20*$X$5*24*3600/$AE$3/10^6)</f>
        <v>129.06408238453281</v>
      </c>
      <c r="Y20" s="135">
        <f>IF(J20*$Y$5*24*3600/$AE$3/10^6&gt;$AE$2,$AE$2,J20*$Y$5*24*3600/$AE$3/10^6)</f>
        <v>171.96136421052628</v>
      </c>
      <c r="Z20" s="135">
        <f>IF(K20*$Z$5*24*3600/$AE$3/10^6&gt;$AE$2,$AE$2,K20*$Z$5*24*3600/$AE$3/10^6)</f>
        <v>189.607956000001</v>
      </c>
      <c r="AA20" s="135">
        <f>IF(L20*$AA$5*24*3600/$AE$3/10^6&gt;$AE$2,$AE$2,L20*$AA$5*24*3600/$AE$3/10^6)</f>
        <v>142.72240601503759</v>
      </c>
      <c r="AB20" s="135">
        <f>IF(M20*$AB$5*24*3600/$AE$3/10^6&gt;$AE$2,$AE$2,M20*$AB$5*24*3600/$AE$3/10^6)</f>
        <v>96.440377121374851</v>
      </c>
      <c r="AC20" s="135">
        <f t="shared" si="4"/>
        <v>1077.3107773502236</v>
      </c>
      <c r="AE20" s="25"/>
      <c r="AF20" s="25"/>
      <c r="AG20" s="25"/>
      <c r="AH20" s="25"/>
      <c r="AI20" s="25"/>
      <c r="AJ20" s="25"/>
    </row>
    <row r="21" spans="1:47">
      <c r="A21" s="290">
        <v>80</v>
      </c>
      <c r="B21" s="291">
        <v>78.359298899129712</v>
      </c>
      <c r="C21" s="291">
        <v>52.314466010015146</v>
      </c>
      <c r="D21" s="291">
        <v>40.605512782760002</v>
      </c>
      <c r="E21" s="291">
        <v>41.101120331950206</v>
      </c>
      <c r="F21" s="291">
        <v>58.325658410138061</v>
      </c>
      <c r="G21" s="291">
        <v>90.941563844797372</v>
      </c>
      <c r="H21" s="291">
        <v>137.71372388048604</v>
      </c>
      <c r="I21" s="291">
        <v>186.64</v>
      </c>
      <c r="J21" s="291">
        <v>255.02395209435633</v>
      </c>
      <c r="K21" s="291">
        <v>303.38162451612902</v>
      </c>
      <c r="L21" s="291">
        <v>199.34225511463839</v>
      </c>
      <c r="M21" s="291">
        <v>139.86652656940169</v>
      </c>
      <c r="N21" s="291">
        <v>160.44806696198128</v>
      </c>
      <c r="P21" s="290">
        <v>80</v>
      </c>
      <c r="Q21" s="135">
        <f>IF(B21*$Q$5*24*3600/$AE$3/10^6&gt;$AE$2,$AE$2,B21*$Q$5*24*3600/$AE$3/10^6)</f>
        <v>52.600888764769181</v>
      </c>
      <c r="R21" s="135">
        <f>IF(C21*$R$5*24*3600/$AE$3/10^6&gt;$AE$2,$AE$2,C21*$R$5*24*3600/$AE$3/10^6)</f>
        <v>32.851911286890719</v>
      </c>
      <c r="S21" s="135">
        <f>IF(D21*$S$5*24*3600/$AE$3/10^6&gt;$AE$2,$AE$2,D21*$S$5*24*3600/$AE$3/10^6)</f>
        <v>27.257595347705365</v>
      </c>
      <c r="T21" s="135">
        <f>IF(E21*$T$5*24*3600/$AE$3/10^6&gt;$AE$2,$AE$2,E21*$T$5*24*3600/$AE$3/10^6)</f>
        <v>26.700276666770655</v>
      </c>
      <c r="U21" s="135">
        <f>IF(F21*$U$5*24*3600/$AE$3/10^6&gt;$AE$2,$AE$2,F21*$U$5*24*3600/$AE$3/10^6)</f>
        <v>39.152742728249073</v>
      </c>
      <c r="V21" s="135">
        <f>IF(G21*$V$5*24*3600/$AE$3/10^6&gt;$AE$2,$AE$2,G21*$V$5*24*3600/$AE$3/10^6)</f>
        <v>59.077827941281889</v>
      </c>
      <c r="W21" s="135">
        <f>IF(H21*$W$5*24*3600/$AE$3/10^6&gt;$AE$2,$AE$2,H21*$W$5*24*3600/$AE$3/10^6)</f>
        <v>92.444220060524742</v>
      </c>
      <c r="X21" s="135">
        <f>IF(I21*$X$5*24*3600/$AE$3/10^6&gt;$AE$2,$AE$2,I21*$X$5*24*3600/$AE$3/10^6)</f>
        <v>125.28736240601499</v>
      </c>
      <c r="Y21" s="135">
        <f>IF(J21*$Y$5*24*3600/$AE$3/10^6&gt;$AE$2,$AE$2,J21*$Y$5*24*3600/$AE$3/10^6)</f>
        <v>165.66969519513071</v>
      </c>
      <c r="Z21" s="135">
        <f>IF(K21*$Z$5*24*3600/$AE$3/10^6&gt;$AE$2,$AE$2,K21*$Z$5*24*3600/$AE$3/10^6)</f>
        <v>189.607956000001</v>
      </c>
      <c r="AA21" s="135">
        <f>IF(L21*$AA$5*24*3600/$AE$3/10^6&gt;$AE$2,$AE$2,L21*$AA$5*24*3600/$AE$3/10^6)</f>
        <v>129.49752512710344</v>
      </c>
      <c r="AB21" s="135">
        <f>IF(M21*$AB$5*24*3600/$AE$3/10^6&gt;$AE$2,$AE$2,M21*$AB$5*24*3600/$AE$3/10^6)</f>
        <v>93.889349564783316</v>
      </c>
      <c r="AC21" s="135">
        <f t="shared" si="4"/>
        <v>1034.037351089225</v>
      </c>
      <c r="AE21" s="25"/>
      <c r="AF21" s="25"/>
      <c r="AG21" s="25"/>
      <c r="AH21" s="25"/>
      <c r="AI21" s="25"/>
      <c r="AJ21" s="25"/>
    </row>
    <row r="22" spans="1:47">
      <c r="A22" s="290">
        <v>85</v>
      </c>
      <c r="B22" s="291">
        <v>73.171858038914564</v>
      </c>
      <c r="C22" s="291">
        <v>48.741796087729703</v>
      </c>
      <c r="D22" s="291">
        <v>38.39103399812609</v>
      </c>
      <c r="E22" s="291">
        <v>39.01</v>
      </c>
      <c r="F22" s="291">
        <v>55.993295058883753</v>
      </c>
      <c r="G22" s="291">
        <v>81.275272679673719</v>
      </c>
      <c r="H22" s="291">
        <v>127.575</v>
      </c>
      <c r="I22" s="291">
        <v>182.72362903225809</v>
      </c>
      <c r="J22" s="291">
        <v>225.34407131834215</v>
      </c>
      <c r="K22" s="291">
        <v>267.32499999999999</v>
      </c>
      <c r="L22" s="291">
        <v>183.19</v>
      </c>
      <c r="M22" s="291">
        <v>113.97183285330263</v>
      </c>
      <c r="N22" s="291">
        <v>157.42619499368465</v>
      </c>
      <c r="P22" s="290">
        <v>85</v>
      </c>
      <c r="Q22" s="287">
        <f t="shared" ref="Q22:Q24" si="20">IF(B22*$Q$5*24*3600/$AE$3/10^6&gt;$AE$2,$AE$2,B22*$Q$5*24*3600/$AE$3/10^6)</f>
        <v>49.118672824919486</v>
      </c>
      <c r="R22" s="287">
        <f t="shared" ref="R22:R24" si="21">IF(C22*$R$5*24*3600/$AE$3/10^6&gt;$AE$2,$AE$2,C22*$R$5*24*3600/$AE$3/10^6)</f>
        <v>30.608382024414922</v>
      </c>
      <c r="S22" s="287">
        <f t="shared" ref="S22:S24" si="22">IF(D22*$S$5*24*3600/$AE$3/10^6&gt;$AE$2,$AE$2,D22*$S$5*24*3600/$AE$3/10^6)</f>
        <v>25.771064025208251</v>
      </c>
      <c r="T22" s="287">
        <f t="shared" ref="T22:T24" si="23">IF(E22*$T$5*24*3600/$AE$3/10^6&gt;$AE$2,$AE$2,E22*$T$5*24*3600/$AE$3/10^6)</f>
        <v>25.34183458646616</v>
      </c>
      <c r="U22" s="287">
        <f t="shared" ref="U22:U24" si="24">IF(F22*$U$5*24*3600/$AE$3/10^6&gt;$AE$2,$AE$2,F22*$U$5*24*3600/$AE$3/10^6)</f>
        <v>37.587078066595041</v>
      </c>
      <c r="V22" s="287">
        <f t="shared" ref="V22:V24" si="25">IF(G22*$V$5*24*3600/$AE$3/10^6&gt;$AE$2,$AE$2,G22*$V$5*24*3600/$AE$3/10^6)</f>
        <v>52.79837262799856</v>
      </c>
      <c r="W22" s="287">
        <f t="shared" ref="W22:W24" si="26">IF(H22*$W$5*24*3600/$AE$3/10^6&gt;$AE$2,$AE$2,H22*$W$5*24*3600/$AE$3/10^6)</f>
        <v>85.63831578947368</v>
      </c>
      <c r="X22" s="287">
        <f t="shared" ref="X22:X24" si="27">IF(I22*$X$5*24*3600/$AE$3/10^6&gt;$AE$2,$AE$2,I22*$X$5*24*3600/$AE$3/10^6)</f>
        <v>122.6583879699248</v>
      </c>
      <c r="Y22" s="287">
        <f t="shared" ref="Y22:Y24" si="28">IF(J22*$Y$5*24*3600/$AE$3/10^6&gt;$AE$2,$AE$2,J22*$Y$5*24*3600/$AE$3/10^6)</f>
        <v>146.38893054063732</v>
      </c>
      <c r="Z22" s="287">
        <f t="shared" ref="Z22:Z24" si="29">IF(K22*$Z$5*24*3600/$AE$3/10^6&gt;$AE$2,$AE$2,K22*$Z$5*24*3600/$AE$3/10^6)</f>
        <v>179.44944360902255</v>
      </c>
      <c r="AA22" s="287">
        <f t="shared" ref="AA22:AA24" si="30">IF(L22*$AA$5*24*3600/$AE$3/10^6&gt;$AE$2,$AE$2,L22*$AA$5*24*3600/$AE$3/10^6)</f>
        <v>119.00463157894735</v>
      </c>
      <c r="AB22" s="287">
        <f t="shared" ref="AB22:AB24" si="31">IF(M22*$AB$5*24*3600/$AE$3/10^6&gt;$AE$2,$AE$2,M22*$AB$5*24*3600/$AE$3/10^6)</f>
        <v>76.506806294307196</v>
      </c>
      <c r="AC22" s="287">
        <f t="shared" si="4"/>
        <v>950.87191993791532</v>
      </c>
    </row>
    <row r="23" spans="1:47">
      <c r="A23" s="290">
        <v>90</v>
      </c>
      <c r="B23" s="291">
        <v>69.404650462962934</v>
      </c>
      <c r="C23" s="291">
        <v>44.586565405328841</v>
      </c>
      <c r="D23" s="291">
        <v>37.629999999999995</v>
      </c>
      <c r="E23" s="291">
        <v>35.08</v>
      </c>
      <c r="F23" s="291">
        <v>52.922108064516124</v>
      </c>
      <c r="G23" s="291">
        <v>79.64</v>
      </c>
      <c r="H23" s="291">
        <v>115.06</v>
      </c>
      <c r="I23" s="291">
        <v>167.09289090501792</v>
      </c>
      <c r="J23" s="291">
        <v>207.89486882716048</v>
      </c>
      <c r="K23" s="291">
        <v>232.35365533794143</v>
      </c>
      <c r="L23" s="291">
        <v>160.9</v>
      </c>
      <c r="M23" s="291">
        <v>98.001689132104417</v>
      </c>
      <c r="N23" s="291">
        <v>153.85405307145584</v>
      </c>
      <c r="P23" s="290">
        <v>90</v>
      </c>
      <c r="Q23" s="287">
        <f t="shared" si="20"/>
        <v>46.589828521303239</v>
      </c>
      <c r="R23" s="287">
        <f t="shared" si="21"/>
        <v>27.999022125211013</v>
      </c>
      <c r="S23" s="287">
        <f t="shared" si="22"/>
        <v>25.260198496240598</v>
      </c>
      <c r="T23" s="287">
        <f t="shared" si="23"/>
        <v>22.788812030075185</v>
      </c>
      <c r="U23" s="287">
        <f t="shared" si="24"/>
        <v>35.52545720300752</v>
      </c>
      <c r="V23" s="287">
        <f t="shared" si="25"/>
        <v>51.736060150375934</v>
      </c>
      <c r="W23" s="287">
        <f t="shared" si="26"/>
        <v>77.237269172932329</v>
      </c>
      <c r="X23" s="287">
        <f t="shared" si="27"/>
        <v>112.16581428571429</v>
      </c>
      <c r="Y23" s="287">
        <f t="shared" si="28"/>
        <v>135.05350877192984</v>
      </c>
      <c r="Z23" s="287">
        <f t="shared" si="29"/>
        <v>155.97394247046174</v>
      </c>
      <c r="AA23" s="287">
        <f t="shared" si="30"/>
        <v>104.52451127819549</v>
      </c>
      <c r="AB23" s="287">
        <f t="shared" si="31"/>
        <v>65.786397035445731</v>
      </c>
      <c r="AC23" s="287">
        <f t="shared" si="4"/>
        <v>860.64082154089283</v>
      </c>
    </row>
    <row r="24" spans="1:47">
      <c r="A24" s="290">
        <v>95</v>
      </c>
      <c r="B24" s="291">
        <v>63.852629405615268</v>
      </c>
      <c r="C24" s="291">
        <v>42.908527459959039</v>
      </c>
      <c r="D24" s="291">
        <v>33.265000000000008</v>
      </c>
      <c r="E24" s="291">
        <v>27.330000000000009</v>
      </c>
      <c r="F24" s="291">
        <v>48.117774409816732</v>
      </c>
      <c r="G24" s="291">
        <v>72.15000000000002</v>
      </c>
      <c r="H24" s="291">
        <v>100.40582251371973</v>
      </c>
      <c r="I24" s="291">
        <v>144.76621919802881</v>
      </c>
      <c r="J24" s="291">
        <v>198.03535269709545</v>
      </c>
      <c r="K24" s="291">
        <v>179.86243671595005</v>
      </c>
      <c r="L24" s="291">
        <v>120.81901763668388</v>
      </c>
      <c r="M24" s="291">
        <v>92.23</v>
      </c>
      <c r="N24" s="291">
        <v>126.27916666666673</v>
      </c>
      <c r="P24" s="290">
        <v>95</v>
      </c>
      <c r="Q24" s="287">
        <f t="shared" si="20"/>
        <v>42.862877844611504</v>
      </c>
      <c r="R24" s="287">
        <f t="shared" si="21"/>
        <v>26.945264762825403</v>
      </c>
      <c r="S24" s="287">
        <f t="shared" si="22"/>
        <v>22.330069172932333</v>
      </c>
      <c r="T24" s="287">
        <f t="shared" si="23"/>
        <v>17.754225563909777</v>
      </c>
      <c r="U24" s="287">
        <f t="shared" si="24"/>
        <v>32.300412776755174</v>
      </c>
      <c r="V24" s="287">
        <f t="shared" si="25"/>
        <v>46.870375939849637</v>
      </c>
      <c r="W24" s="287">
        <f t="shared" si="26"/>
        <v>67.400239353570655</v>
      </c>
      <c r="X24" s="287">
        <f t="shared" si="27"/>
        <v>97.178406390977528</v>
      </c>
      <c r="Y24" s="287">
        <f t="shared" si="28"/>
        <v>128.64852987239883</v>
      </c>
      <c r="Z24" s="287">
        <f t="shared" si="29"/>
        <v>120.73773195488738</v>
      </c>
      <c r="AA24" s="287">
        <f t="shared" si="30"/>
        <v>78.48694078052246</v>
      </c>
      <c r="AB24" s="287">
        <f t="shared" si="31"/>
        <v>61.911987969924802</v>
      </c>
      <c r="AC24" s="287">
        <f t="shared" si="4"/>
        <v>743.42706238316555</v>
      </c>
    </row>
    <row r="25" spans="1:47">
      <c r="A25" s="281" t="s">
        <v>55</v>
      </c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R25" s="289"/>
    </row>
    <row r="26" spans="1:47">
      <c r="R26" s="28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5"/>
  <sheetViews>
    <sheetView topLeftCell="O1" workbookViewId="0">
      <selection activeCell="AR13" sqref="AR13:AR17"/>
    </sheetView>
  </sheetViews>
  <sheetFormatPr defaultRowHeight="15"/>
  <sheetData>
    <row r="1" spans="1:48">
      <c r="A1" s="314" t="s">
        <v>19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</row>
    <row r="2" spans="1:48">
      <c r="A2" s="313" t="s">
        <v>20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P2" s="313" t="s">
        <v>21</v>
      </c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26" t="s">
        <v>22</v>
      </c>
      <c r="AE2" s="134">
        <v>154.0835330000003</v>
      </c>
      <c r="AF2" s="25" t="s">
        <v>23</v>
      </c>
    </row>
    <row r="3" spans="1:48">
      <c r="A3" s="315" t="s">
        <v>56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P3" s="315" t="s">
        <v>57</v>
      </c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26" t="s">
        <v>25</v>
      </c>
      <c r="AE3" s="25">
        <v>6.55</v>
      </c>
      <c r="AF3" s="27" t="s">
        <v>26</v>
      </c>
    </row>
    <row r="4" spans="1:48">
      <c r="A4" s="23" t="s">
        <v>27</v>
      </c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3">
        <v>10</v>
      </c>
      <c r="L4" s="23">
        <v>11</v>
      </c>
      <c r="M4" s="23">
        <v>12</v>
      </c>
      <c r="N4" s="23" t="s">
        <v>28</v>
      </c>
      <c r="P4" s="23" t="s">
        <v>27</v>
      </c>
      <c r="Q4" s="23">
        <v>1</v>
      </c>
      <c r="R4" s="23">
        <v>2</v>
      </c>
      <c r="S4" s="23">
        <v>3</v>
      </c>
      <c r="T4" s="23">
        <v>4</v>
      </c>
      <c r="U4" s="23">
        <v>5</v>
      </c>
      <c r="V4" s="23">
        <v>6</v>
      </c>
      <c r="W4" s="23">
        <v>7</v>
      </c>
      <c r="X4" s="23">
        <v>8</v>
      </c>
      <c r="Y4" s="23">
        <v>9</v>
      </c>
      <c r="Z4" s="23">
        <v>10</v>
      </c>
      <c r="AA4" s="23">
        <v>11</v>
      </c>
      <c r="AB4" s="23">
        <v>12</v>
      </c>
      <c r="AC4" s="23" t="s">
        <v>29</v>
      </c>
      <c r="AE4" s="313" t="s">
        <v>30</v>
      </c>
      <c r="AF4" s="313"/>
      <c r="AG4" s="313"/>
      <c r="AH4" s="313"/>
      <c r="AI4" s="313"/>
      <c r="AJ4" s="313"/>
      <c r="AM4" s="313" t="s">
        <v>53</v>
      </c>
      <c r="AN4" s="313"/>
      <c r="AO4" s="313"/>
      <c r="AP4" s="313"/>
      <c r="AQ4" s="313"/>
      <c r="AR4" s="313"/>
    </row>
    <row r="5" spans="1:48">
      <c r="A5" s="24" t="s">
        <v>32</v>
      </c>
      <c r="B5" s="316" t="s">
        <v>33</v>
      </c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P5" s="138" t="s">
        <v>32</v>
      </c>
      <c r="Q5" s="136">
        <v>31</v>
      </c>
      <c r="R5" s="136">
        <v>29</v>
      </c>
      <c r="S5" s="136">
        <v>31</v>
      </c>
      <c r="T5" s="136">
        <v>30</v>
      </c>
      <c r="U5" s="136">
        <v>31</v>
      </c>
      <c r="V5" s="136">
        <v>30</v>
      </c>
      <c r="W5" s="136">
        <v>31</v>
      </c>
      <c r="X5" s="136">
        <v>31</v>
      </c>
      <c r="Y5" s="136">
        <v>30</v>
      </c>
      <c r="Z5" s="136">
        <v>31</v>
      </c>
      <c r="AA5" s="136">
        <v>30</v>
      </c>
      <c r="AB5" s="136">
        <v>31</v>
      </c>
      <c r="AC5" s="137" t="s">
        <v>23</v>
      </c>
      <c r="AD5" s="26" t="s">
        <v>34</v>
      </c>
      <c r="AE5" s="26" t="s">
        <v>35</v>
      </c>
      <c r="AF5" s="26" t="s">
        <v>36</v>
      </c>
      <c r="AG5" s="26" t="s">
        <v>37</v>
      </c>
      <c r="AH5" s="26" t="s">
        <v>38</v>
      </c>
      <c r="AI5" s="26" t="s">
        <v>39</v>
      </c>
      <c r="AJ5" s="26" t="s">
        <v>40</v>
      </c>
      <c r="AL5" s="26" t="s">
        <v>34</v>
      </c>
      <c r="AM5" s="243" t="s">
        <v>41</v>
      </c>
      <c r="AN5" s="25" t="s">
        <v>38</v>
      </c>
      <c r="AO5" s="25" t="s">
        <v>39</v>
      </c>
      <c r="AP5" s="25" t="s">
        <v>42</v>
      </c>
      <c r="AQ5" s="25" t="s">
        <v>43</v>
      </c>
      <c r="AR5" s="244" t="s">
        <v>44</v>
      </c>
      <c r="AS5" s="25" t="s">
        <v>36</v>
      </c>
      <c r="AT5" s="25" t="s">
        <v>37</v>
      </c>
      <c r="AU5" s="246" t="s">
        <v>45</v>
      </c>
    </row>
    <row r="6" spans="1:48">
      <c r="A6" s="292">
        <v>5</v>
      </c>
      <c r="B6" s="293">
        <v>262.719280167264</v>
      </c>
      <c r="C6" s="293">
        <v>145.94910714285714</v>
      </c>
      <c r="D6" s="293">
        <v>124.63402777777773</v>
      </c>
      <c r="E6" s="293">
        <v>137.06251543209873</v>
      </c>
      <c r="F6" s="293">
        <v>221.37536215651133</v>
      </c>
      <c r="G6" s="293">
        <v>354.24268904320945</v>
      </c>
      <c r="H6" s="293">
        <v>339.09999999999997</v>
      </c>
      <c r="I6" s="293">
        <v>534.29999999999995</v>
      </c>
      <c r="J6" s="293">
        <v>629.49999999999989</v>
      </c>
      <c r="K6" s="293">
        <v>780.4</v>
      </c>
      <c r="L6" s="293">
        <v>878.09999999999991</v>
      </c>
      <c r="M6" s="293">
        <v>705.4</v>
      </c>
      <c r="N6" s="293">
        <v>373.96749999999997</v>
      </c>
      <c r="P6" s="300">
        <v>5</v>
      </c>
      <c r="Q6" s="135">
        <f t="shared" ref="Q6:AB6" si="0">IF(B6*Q5*24*3600/$AE$3/10^6&gt;$AE$2,$AE$2,B6*Q5*24*3600/$AE$3/10^6)</f>
        <v>107.43012519083968</v>
      </c>
      <c r="R6" s="135">
        <f t="shared" si="0"/>
        <v>55.830547001090508</v>
      </c>
      <c r="S6" s="135">
        <f t="shared" si="0"/>
        <v>50.96485190839693</v>
      </c>
      <c r="T6" s="135">
        <f t="shared" si="0"/>
        <v>54.23909007633587</v>
      </c>
      <c r="U6" s="135">
        <f t="shared" si="0"/>
        <v>90.523934351145044</v>
      </c>
      <c r="V6" s="135">
        <f t="shared" si="0"/>
        <v>140.18275572519067</v>
      </c>
      <c r="W6" s="135">
        <f t="shared" si="0"/>
        <v>138.66342595419846</v>
      </c>
      <c r="X6" s="135">
        <f t="shared" si="0"/>
        <v>154.0835330000003</v>
      </c>
      <c r="Y6" s="135">
        <f t="shared" si="0"/>
        <v>154.0835330000003</v>
      </c>
      <c r="Z6" s="135">
        <f t="shared" si="0"/>
        <v>154.0835330000003</v>
      </c>
      <c r="AA6" s="135">
        <f t="shared" si="0"/>
        <v>154.0835330000003</v>
      </c>
      <c r="AB6" s="135">
        <f t="shared" si="0"/>
        <v>154.0835330000003</v>
      </c>
      <c r="AC6" s="135">
        <f>SUM(Q6:AB6)</f>
        <v>1408.2523952071986</v>
      </c>
      <c r="AD6" s="26">
        <v>1</v>
      </c>
      <c r="AE6" s="134">
        <f>'Theo dõi TV'!J8</f>
        <v>119.6559820359023</v>
      </c>
      <c r="AF6" s="235">
        <f>_xlfn.XLOOKUP(AE6,B$6:B$24,B$6:B$24,,-1,1)</f>
        <v>117</v>
      </c>
      <c r="AG6" s="235">
        <f>_xlfn.XLOOKUP(AE6,B$6:B$24,B$6:B$24,,1,1)</f>
        <v>126</v>
      </c>
      <c r="AH6" s="25">
        <f>_xlfn.XLOOKUP(AE6,$B$6:$B$24,A$6:A$24,,-1,1)</f>
        <v>55</v>
      </c>
      <c r="AI6" s="25">
        <f>_xlfn.XLOOKUP(AE6,$B$6:$B$24,A$6:A$24,,1,1)</f>
        <v>50</v>
      </c>
      <c r="AJ6" s="235">
        <f>IF(AE6=AF6,AH6,FORECAST(AE6,AH6:AI6,AF6:AG6))</f>
        <v>53.524454424498714</v>
      </c>
      <c r="AL6" s="26">
        <v>1</v>
      </c>
      <c r="AM6" s="245">
        <v>53.524454424498714</v>
      </c>
      <c r="AN6" s="25">
        <f t="shared" ref="AN6:AN17" si="1">_xlfn.XLOOKUP(AM6,$P$6:$P$24,$P$6:$P$24,,-1,1)</f>
        <v>50</v>
      </c>
      <c r="AO6" s="25">
        <f t="shared" ref="AO6:AO17" si="2">_xlfn.XLOOKUP(AM6,$P$6:$P$24,$P$6:$P$24,,1,1)</f>
        <v>55</v>
      </c>
      <c r="AP6" s="235">
        <f>_xlfn.XLOOKUP(AM6,$P$6:$P$24,$Q$6:$Q$24,,-1,1)</f>
        <v>51.523419847328249</v>
      </c>
      <c r="AQ6" s="235">
        <f>_xlfn.XLOOKUP(AM6,$P$6:$P$24,$Q$6:$Q$24,,1,1)</f>
        <v>47.843175572519087</v>
      </c>
      <c r="AR6" s="242">
        <f>IF(AM6=AN6,AP6,FORECAST(AM6,AP6:AQ6,AN6:AO6))</f>
        <v>48.929249203810798</v>
      </c>
      <c r="AS6" s="235">
        <f>_xlfn.XLOOKUP(AM6,$A$6:$A$24,$B$6:$B$24,,-1,1)</f>
        <v>126</v>
      </c>
      <c r="AT6" s="235">
        <f>_xlfn.XLOOKUP(AM6,$A$6:$A$24,$B$6:$B$24,,1,1)</f>
        <v>117</v>
      </c>
      <c r="AU6" s="247">
        <f>IF(AM6=AN6,AS6,FORECAST(AM6,AS6:AT6,AN6:AO6))</f>
        <v>119.65598203590231</v>
      </c>
    </row>
    <row r="7" spans="1:48">
      <c r="A7" s="294">
        <v>10</v>
      </c>
      <c r="B7" s="295">
        <v>242.8</v>
      </c>
      <c r="C7" s="295">
        <v>140.49107142857144</v>
      </c>
      <c r="D7" s="295">
        <v>117.02961841926559</v>
      </c>
      <c r="E7" s="295">
        <v>126.54143518518519</v>
      </c>
      <c r="F7" s="295">
        <v>199.59999999999997</v>
      </c>
      <c r="G7" s="295">
        <v>291</v>
      </c>
      <c r="H7" s="295">
        <v>334.56559139784946</v>
      </c>
      <c r="I7" s="295">
        <v>496.4</v>
      </c>
      <c r="J7" s="295">
        <v>575.79999999999995</v>
      </c>
      <c r="K7" s="295">
        <v>707.95011200716829</v>
      </c>
      <c r="L7" s="295">
        <v>737.5999999999998</v>
      </c>
      <c r="M7" s="295">
        <v>628.79999999999984</v>
      </c>
      <c r="N7" s="295">
        <v>317.57990604287562</v>
      </c>
      <c r="P7" s="300">
        <v>10</v>
      </c>
      <c r="Q7" s="135">
        <f t="shared" ref="Q7:AB7" si="3">IF(B7*Q5*24*3600/$AE$3/10^6&gt;$AE$2,$AE$2,B7*Q5*24*3600/$AE$3/10^6)</f>
        <v>99.284812213740466</v>
      </c>
      <c r="R7" s="135">
        <f t="shared" si="3"/>
        <v>53.74266085059979</v>
      </c>
      <c r="S7" s="135">
        <f t="shared" si="3"/>
        <v>47.85528701895587</v>
      </c>
      <c r="T7" s="135">
        <f t="shared" si="3"/>
        <v>50.075633587786271</v>
      </c>
      <c r="U7" s="135">
        <f t="shared" si="3"/>
        <v>81.61963969465647</v>
      </c>
      <c r="V7" s="135">
        <f t="shared" si="3"/>
        <v>115.15603053435116</v>
      </c>
      <c r="W7" s="135">
        <f t="shared" si="3"/>
        <v>136.80923358778625</v>
      </c>
      <c r="X7" s="135">
        <f t="shared" si="3"/>
        <v>154.0835330000003</v>
      </c>
      <c r="Y7" s="135">
        <f t="shared" si="3"/>
        <v>154.0835330000003</v>
      </c>
      <c r="Z7" s="135">
        <f t="shared" si="3"/>
        <v>154.0835330000003</v>
      </c>
      <c r="AA7" s="135">
        <f t="shared" si="3"/>
        <v>154.0835330000003</v>
      </c>
      <c r="AB7" s="135">
        <f t="shared" si="3"/>
        <v>154.0835330000003</v>
      </c>
      <c r="AC7" s="135">
        <f t="shared" ref="AC7:AC24" si="4">SUM(Q7:AB7)</f>
        <v>1354.9609624878776</v>
      </c>
      <c r="AD7" s="26">
        <v>2</v>
      </c>
      <c r="AE7" s="134">
        <f>'Theo dõi TV'!J9</f>
        <v>71.927378152956493</v>
      </c>
      <c r="AF7" s="235">
        <f>_xlfn.XLOOKUP(AE7,C$6:C$24,C$6:C$24,,-1,1)</f>
        <v>65.59375</v>
      </c>
      <c r="AG7" s="235">
        <f>_xlfn.XLOOKUP(AE7,C$6:C$24,C$6:C$24,,1,1)</f>
        <v>73.260000000000005</v>
      </c>
      <c r="AH7" s="25">
        <f>_xlfn.XLOOKUP(AE7,$C$6:$C$24,$A$6:$A$24,,-1,1)</f>
        <v>75</v>
      </c>
      <c r="AI7" s="25">
        <f>_xlfn.XLOOKUP(AE7,$C$6:$C$24,$A$6:$A$24,,1,1)</f>
        <v>70</v>
      </c>
      <c r="AJ7" s="235">
        <f>IF(AE7=AF7,AH7,FORECAST(AE7,AH7:AI7,AF7:AG7))</f>
        <v>70.86914844092189</v>
      </c>
      <c r="AL7" s="26">
        <v>2</v>
      </c>
      <c r="AM7" s="245">
        <v>70.86914844092189</v>
      </c>
      <c r="AN7" s="25">
        <f t="shared" si="1"/>
        <v>70</v>
      </c>
      <c r="AO7" s="25">
        <f t="shared" si="2"/>
        <v>75</v>
      </c>
      <c r="AP7" s="235">
        <f>_xlfn.XLOOKUP(AM7,$P$6:$P$24,$R$6:$R$24,,-1,1)</f>
        <v>28.024466564885497</v>
      </c>
      <c r="AQ7" s="235">
        <f>_xlfn.XLOOKUP(AM7,$P$6:$P$24,$R$6:$R$24,,1,1)</f>
        <v>25.091862595419848</v>
      </c>
      <c r="AR7" s="242">
        <f>IF(AM7=AN7,AP7,FORECAST(AM7,AP7:AQ7,AN7:AO7))</f>
        <v>27.514692931305014</v>
      </c>
      <c r="AS7" s="235">
        <f>_xlfn.XLOOKUP(AM7,$A$6:$A$24,$C$6:$C$24,,-1,1)</f>
        <v>73.260000000000005</v>
      </c>
      <c r="AT7" s="235">
        <f>_xlfn.XLOOKUP(AM7,$A$6:$A$24,$C$6:$C$24,,1,1)</f>
        <v>65.59375</v>
      </c>
      <c r="AU7" s="247">
        <f t="shared" ref="AU7:AU17" si="5">IF(AM7=AN7,AS7,FORECAST(AM7,AS7:AT7,AN7:AO7))</f>
        <v>71.927378152956521</v>
      </c>
    </row>
    <row r="8" spans="1:48">
      <c r="A8" s="294">
        <v>15</v>
      </c>
      <c r="B8" s="295">
        <v>225.61646505376351</v>
      </c>
      <c r="C8" s="295">
        <v>129.0548249739353</v>
      </c>
      <c r="D8" s="295">
        <v>108.50349462365593</v>
      </c>
      <c r="E8" s="295">
        <v>115.07374999999999</v>
      </c>
      <c r="F8" s="295">
        <v>181.20000000000002</v>
      </c>
      <c r="G8" s="295">
        <v>258.97999900000008</v>
      </c>
      <c r="H8" s="295">
        <v>324.54563172043004</v>
      </c>
      <c r="I8" s="295">
        <v>474.7</v>
      </c>
      <c r="J8" s="295">
        <v>543.1</v>
      </c>
      <c r="K8" s="295">
        <v>613.30000000000007</v>
      </c>
      <c r="L8" s="295">
        <v>608.24097222222224</v>
      </c>
      <c r="M8" s="295">
        <v>539.09341360345377</v>
      </c>
      <c r="N8" s="295">
        <v>290.66651312914473</v>
      </c>
      <c r="P8" s="300">
        <v>15</v>
      </c>
      <c r="Q8" s="135">
        <f t="shared" ref="Q8:AB8" si="6">IF(B8*Q5*24*3600/$AE$3/10^6&gt;$AE$2,$AE$2,B8*Q5*24*3600/$AE$3/10^6)</f>
        <v>92.258189312977123</v>
      </c>
      <c r="R8" s="135">
        <f t="shared" si="6"/>
        <v>49.367903733540814</v>
      </c>
      <c r="S8" s="135">
        <f t="shared" si="6"/>
        <v>44.368818320610686</v>
      </c>
      <c r="T8" s="135">
        <f t="shared" si="6"/>
        <v>45.537581679389305</v>
      </c>
      <c r="U8" s="135">
        <f t="shared" si="6"/>
        <v>74.095584732824449</v>
      </c>
      <c r="V8" s="135">
        <f t="shared" si="6"/>
        <v>102.48490952793897</v>
      </c>
      <c r="W8" s="135">
        <f t="shared" si="6"/>
        <v>132.71191145038168</v>
      </c>
      <c r="X8" s="135">
        <f t="shared" si="6"/>
        <v>154.0835330000003</v>
      </c>
      <c r="Y8" s="135">
        <f t="shared" si="6"/>
        <v>154.0835330000003</v>
      </c>
      <c r="Z8" s="135">
        <f t="shared" si="6"/>
        <v>154.0835330000003</v>
      </c>
      <c r="AA8" s="135">
        <f t="shared" si="6"/>
        <v>154.0835330000003</v>
      </c>
      <c r="AB8" s="135">
        <f t="shared" si="6"/>
        <v>154.0835330000003</v>
      </c>
      <c r="AC8" s="135">
        <f t="shared" si="4"/>
        <v>1311.2425637576644</v>
      </c>
      <c r="AD8" s="26">
        <v>3</v>
      </c>
      <c r="AE8" s="134">
        <f>'Theo dõi TV'!J10</f>
        <v>44.117048840836659</v>
      </c>
      <c r="AF8" s="235">
        <f>_xlfn.XLOOKUP(AE8,D$6:D$24,D$6:D$24,,-1,1)</f>
        <v>42.84</v>
      </c>
      <c r="AG8" s="235">
        <f>_xlfn.XLOOKUP(AE8,D$6:D$24,D$6:D$24,,1,1)</f>
        <v>44.164999999999999</v>
      </c>
      <c r="AH8" s="25">
        <f>_xlfn.XLOOKUP(AE8,$D$6:$D$24,$A$6:$A$24,,-1,1)</f>
        <v>90</v>
      </c>
      <c r="AI8" s="25">
        <f>_xlfn.XLOOKUP(AE8,$D$6:$D$24,$A$6:$A$24,,1,1)</f>
        <v>85</v>
      </c>
      <c r="AJ8" s="235">
        <f t="shared" ref="AJ8:AJ17" si="7">IF(AE8=AF8,AH8,FORECAST(AE8,AH8:AI8,AF8:AG8))</f>
        <v>85.180947770427679</v>
      </c>
      <c r="AL8" s="26">
        <v>3</v>
      </c>
      <c r="AM8" s="245">
        <v>85.180947770427679</v>
      </c>
      <c r="AN8" s="25">
        <f t="shared" si="1"/>
        <v>85</v>
      </c>
      <c r="AO8" s="25">
        <f t="shared" si="2"/>
        <v>90</v>
      </c>
      <c r="AP8" s="235">
        <f>_xlfn.XLOOKUP(AM8,$P$6:$P$24,$S$6:$S$24,,-1,1)</f>
        <v>18.05977648854962</v>
      </c>
      <c r="AQ8" s="235">
        <f>_xlfn.XLOOKUP(AM8,$P$6:$P$24,$S$6:$S$24,,1,1)</f>
        <v>17.517962748091609</v>
      </c>
      <c r="AR8" s="242">
        <f t="shared" ref="AR8:AR17" si="8">IF(AM8=AN8,AP8,FORECAST(AM8,AP8:AQ8,AN8:AO8))</f>
        <v>18.04016849088503</v>
      </c>
      <c r="AS8" s="235">
        <f>_xlfn.XLOOKUP(AM8,$A$6:$A$24,$D$6:$D$24,,-1,1)</f>
        <v>44.164999999999999</v>
      </c>
      <c r="AT8" s="235">
        <f>_xlfn.XLOOKUP(AM8,$A$6:$A$24,$D$6:$D$24,,1,1)</f>
        <v>42.84</v>
      </c>
      <c r="AU8" s="247">
        <f t="shared" si="5"/>
        <v>44.117048840836652</v>
      </c>
    </row>
    <row r="9" spans="1:48">
      <c r="A9" s="294">
        <v>20</v>
      </c>
      <c r="B9" s="295">
        <v>219.45973715651138</v>
      </c>
      <c r="C9" s="295">
        <v>123</v>
      </c>
      <c r="D9" s="295">
        <v>106.96033452807649</v>
      </c>
      <c r="E9" s="295">
        <v>109.02935185185191</v>
      </c>
      <c r="F9" s="295">
        <v>152.2000000000001</v>
      </c>
      <c r="G9" s="295">
        <v>250.81267746913585</v>
      </c>
      <c r="H9" s="295">
        <v>313.18279569892479</v>
      </c>
      <c r="I9" s="295">
        <v>458.40000000000003</v>
      </c>
      <c r="J9" s="295">
        <v>515.60666666666668</v>
      </c>
      <c r="K9" s="295">
        <v>593.40000000000009</v>
      </c>
      <c r="L9" s="295">
        <v>584.64885802469144</v>
      </c>
      <c r="M9" s="295">
        <v>493.69677419354844</v>
      </c>
      <c r="N9" s="295">
        <v>277.62833333333333</v>
      </c>
      <c r="P9" s="300">
        <v>20</v>
      </c>
      <c r="Q9" s="135">
        <f t="shared" ref="Q9:AB9" si="9">IF(B9*Q5*24*3600/$AE$3/10^6&gt;$AE$2,$AE$2,B9*Q5*24*3600/$AE$3/10^6)</f>
        <v>89.740604580152691</v>
      </c>
      <c r="R9" s="135">
        <f t="shared" si="9"/>
        <v>47.05172519083969</v>
      </c>
      <c r="S9" s="135">
        <f t="shared" si="9"/>
        <v>43.737795419847338</v>
      </c>
      <c r="T9" s="135">
        <f t="shared" si="9"/>
        <v>43.145661068702317</v>
      </c>
      <c r="U9" s="135">
        <f t="shared" si="9"/>
        <v>62.237019847328291</v>
      </c>
      <c r="V9" s="135">
        <f t="shared" si="9"/>
        <v>99.252894656488564</v>
      </c>
      <c r="W9" s="135">
        <f t="shared" si="9"/>
        <v>128.065465648855</v>
      </c>
      <c r="X9" s="135">
        <f t="shared" si="9"/>
        <v>154.0835330000003</v>
      </c>
      <c r="Y9" s="135">
        <f t="shared" si="9"/>
        <v>154.0835330000003</v>
      </c>
      <c r="Z9" s="135">
        <f t="shared" si="9"/>
        <v>154.0835330000003</v>
      </c>
      <c r="AA9" s="135">
        <f t="shared" si="9"/>
        <v>154.0835330000003</v>
      </c>
      <c r="AB9" s="135">
        <f t="shared" si="9"/>
        <v>154.0835330000003</v>
      </c>
      <c r="AC9" s="135">
        <f t="shared" si="4"/>
        <v>1283.6488314122155</v>
      </c>
      <c r="AD9" s="26">
        <v>4</v>
      </c>
      <c r="AE9" s="134">
        <f>'Theo dõi TV'!J11</f>
        <v>47.085638035992929</v>
      </c>
      <c r="AF9" s="235">
        <f>_xlfn.XLOOKUP(AE9,E$6:E$24,E$6:E$24,,-1,1)</f>
        <v>44.97</v>
      </c>
      <c r="AG9" s="235">
        <f>_xlfn.XLOOKUP(AE9,E$6:E$24,E$6:E$24,,1,1)</f>
        <v>50.78</v>
      </c>
      <c r="AH9" s="25">
        <f>_xlfn.XLOOKUP(AE9,$E$6:$E$24,$A$6:$A$24,,-1,1)</f>
        <v>85</v>
      </c>
      <c r="AI9" s="25">
        <f>_xlfn.XLOOKUP(AE9,$E$6:$E$24,$A$6:$A$24,,1,1)</f>
        <v>80</v>
      </c>
      <c r="AJ9" s="235">
        <f t="shared" si="7"/>
        <v>83.179313222037081</v>
      </c>
      <c r="AL9" s="26">
        <v>4</v>
      </c>
      <c r="AM9" s="245">
        <v>83.179313222037081</v>
      </c>
      <c r="AN9" s="25">
        <f t="shared" si="1"/>
        <v>80</v>
      </c>
      <c r="AO9" s="25">
        <f t="shared" si="2"/>
        <v>85</v>
      </c>
      <c r="AP9" s="235">
        <f>_xlfn.XLOOKUP(AM9,$P$6:$P$24,$T$6:$T$24,,-1,1)</f>
        <v>20.094925190839696</v>
      </c>
      <c r="AQ9" s="235">
        <f>_xlfn.XLOOKUP(AM9,$P$6:$P$24,$T$6:$T$24,,1,1)</f>
        <v>17.795761832061068</v>
      </c>
      <c r="AR9" s="242">
        <f t="shared" si="8"/>
        <v>18.632973097602083</v>
      </c>
      <c r="AS9" s="235">
        <f>_xlfn.XLOOKUP(AM9,$A$6:$A$24,$E$6:$E$24,,-1,1)</f>
        <v>50.78</v>
      </c>
      <c r="AT9" s="235">
        <f>_xlfn.XLOOKUP(AM9,$A$6:$A$24,$E$6:$E$24,,1,1)</f>
        <v>44.97</v>
      </c>
      <c r="AU9" s="247">
        <f t="shared" si="5"/>
        <v>47.085638035992886</v>
      </c>
    </row>
    <row r="10" spans="1:48">
      <c r="A10" s="294">
        <v>25</v>
      </c>
      <c r="B10" s="295">
        <v>205.69959677419354</v>
      </c>
      <c r="C10" s="295">
        <v>118.97142401021711</v>
      </c>
      <c r="D10" s="295">
        <v>101.51207437275986</v>
      </c>
      <c r="E10" s="295">
        <v>92.997010030864203</v>
      </c>
      <c r="F10" s="295">
        <v>130.5</v>
      </c>
      <c r="G10" s="295">
        <v>207</v>
      </c>
      <c r="H10" s="295">
        <v>297</v>
      </c>
      <c r="I10" s="295">
        <v>430</v>
      </c>
      <c r="J10" s="295">
        <v>506</v>
      </c>
      <c r="K10" s="295">
        <v>569.5</v>
      </c>
      <c r="L10" s="295">
        <v>576</v>
      </c>
      <c r="M10" s="295">
        <v>474.3465875149343</v>
      </c>
      <c r="N10" s="295">
        <v>270.07499999999999</v>
      </c>
      <c r="P10" s="300">
        <v>25</v>
      </c>
      <c r="Q10" s="135">
        <f t="shared" ref="Q10:AB10" si="10">IF(B10*Q5*24*3600/$AE$3/10^6&gt;$AE$2,$AE$2,B10*Q5*24*3600/$AE$3/10^6)</f>
        <v>84.11386259541986</v>
      </c>
      <c r="R10" s="135">
        <f t="shared" si="10"/>
        <v>45.510656488549621</v>
      </c>
      <c r="S10" s="135">
        <f t="shared" si="10"/>
        <v>41.509914503816802</v>
      </c>
      <c r="T10" s="135">
        <f t="shared" si="10"/>
        <v>36.801259541984734</v>
      </c>
      <c r="U10" s="135">
        <f t="shared" si="10"/>
        <v>53.363541984732827</v>
      </c>
      <c r="V10" s="135">
        <f t="shared" si="10"/>
        <v>81.915114503816795</v>
      </c>
      <c r="W10" s="135">
        <f t="shared" si="10"/>
        <v>121.4480610687023</v>
      </c>
      <c r="X10" s="135">
        <f t="shared" si="10"/>
        <v>154.0835330000003</v>
      </c>
      <c r="Y10" s="135">
        <f t="shared" si="10"/>
        <v>154.0835330000003</v>
      </c>
      <c r="Z10" s="135">
        <f t="shared" si="10"/>
        <v>154.0835330000003</v>
      </c>
      <c r="AA10" s="135">
        <f t="shared" si="10"/>
        <v>154.0835330000003</v>
      </c>
      <c r="AB10" s="135">
        <f t="shared" si="10"/>
        <v>154.0835330000003</v>
      </c>
      <c r="AC10" s="135">
        <f t="shared" si="4"/>
        <v>1235.0800756870244</v>
      </c>
      <c r="AD10" s="26">
        <v>5</v>
      </c>
      <c r="AE10" s="134">
        <f>'Theo dõi TV'!J12</f>
        <v>94.03095430399496</v>
      </c>
      <c r="AF10" s="235">
        <f>_xlfn.XLOOKUP(AE10,F$6:F$24,F$6:F$24,,-1,1)</f>
        <v>90.809999999999988</v>
      </c>
      <c r="AG10" s="235">
        <f>_xlfn.XLOOKUP(AE10,F$6:F$24,F$6:F$24,,1,1)</f>
        <v>99.203978494623669</v>
      </c>
      <c r="AH10" s="25">
        <f>_xlfn.XLOOKUP(AE10,$F$6:$F$24,$A$6:$A$24,,-1,1)</f>
        <v>65</v>
      </c>
      <c r="AI10" s="25">
        <f>_xlfn.XLOOKUP(AE10,$F$6:$F$24,$A$6:$A$24,,1,1)</f>
        <v>60</v>
      </c>
      <c r="AJ10" s="235">
        <f t="shared" si="7"/>
        <v>63.081389947533225</v>
      </c>
      <c r="AL10" s="26">
        <v>5</v>
      </c>
      <c r="AM10" s="245">
        <v>63.081389947533225</v>
      </c>
      <c r="AN10" s="25">
        <f t="shared" si="1"/>
        <v>60</v>
      </c>
      <c r="AO10" s="25">
        <f t="shared" si="2"/>
        <v>65</v>
      </c>
      <c r="AP10" s="235">
        <f>_xlfn.XLOOKUP(AM10,$P$6:$P$24,$U$6:$U$24,,-1,1)</f>
        <v>40.566097099236643</v>
      </c>
      <c r="AQ10" s="235">
        <f>_xlfn.XLOOKUP(AM10,$P$6:$P$24,$U$6:$U$24,,1,1)</f>
        <v>37.133664732824421</v>
      </c>
      <c r="AR10" s="242">
        <f t="shared" si="8"/>
        <v>38.450764581346583</v>
      </c>
      <c r="AS10" s="235">
        <f>_xlfn.XLOOKUP(AM10,$A$6:$A$24,$F$6:$F$24,,-1,1)</f>
        <v>99.203978494623669</v>
      </c>
      <c r="AT10" s="235">
        <f>_xlfn.XLOOKUP(AM10,$A$6:$A$24,$F$6:$F$24,,1,1)</f>
        <v>90.809999999999988</v>
      </c>
      <c r="AU10" s="247">
        <f t="shared" si="5"/>
        <v>94.03095430399496</v>
      </c>
    </row>
    <row r="11" spans="1:48">
      <c r="A11" s="294">
        <v>30</v>
      </c>
      <c r="B11" s="295">
        <v>187.86266353192156</v>
      </c>
      <c r="C11" s="295">
        <v>106</v>
      </c>
      <c r="D11" s="295">
        <v>84.324946236559143</v>
      </c>
      <c r="E11" s="295">
        <v>87.94</v>
      </c>
      <c r="F11" s="295">
        <v>119.6202807646356</v>
      </c>
      <c r="G11" s="295">
        <v>194.2</v>
      </c>
      <c r="H11" s="295">
        <v>288.25529420549572</v>
      </c>
      <c r="I11" s="295">
        <v>409.07546296296294</v>
      </c>
      <c r="J11" s="295">
        <v>491</v>
      </c>
      <c r="K11" s="295">
        <v>518.42588172043008</v>
      </c>
      <c r="L11" s="295">
        <v>566.19999999999993</v>
      </c>
      <c r="M11" s="295">
        <v>385.59999999999957</v>
      </c>
      <c r="N11" s="295">
        <v>268.86338059939993</v>
      </c>
      <c r="P11" s="300">
        <v>30</v>
      </c>
      <c r="Q11" s="135">
        <f t="shared" ref="Q11:AB11" si="11">IF(B11*Q5*24*3600/$AE$3/10^6&gt;$AE$2,$AE$2,B11*Q5*24*3600/$AE$3/10^6)</f>
        <v>76.820054657083759</v>
      </c>
      <c r="R11" s="135">
        <f t="shared" si="11"/>
        <v>40.548641221374048</v>
      </c>
      <c r="S11" s="135">
        <f t="shared" si="11"/>
        <v>34.48182229007633</v>
      </c>
      <c r="T11" s="135">
        <f t="shared" si="11"/>
        <v>34.800073282442739</v>
      </c>
      <c r="U11" s="135">
        <f t="shared" si="11"/>
        <v>48.914650381679394</v>
      </c>
      <c r="V11" s="135">
        <f t="shared" si="11"/>
        <v>76.849832061068696</v>
      </c>
      <c r="W11" s="135">
        <f t="shared" si="11"/>
        <v>117.87221068702287</v>
      </c>
      <c r="X11" s="135">
        <f t="shared" si="11"/>
        <v>154.0835330000003</v>
      </c>
      <c r="Y11" s="135">
        <f t="shared" si="11"/>
        <v>154.0835330000003</v>
      </c>
      <c r="Z11" s="135">
        <f t="shared" si="11"/>
        <v>154.0835330000003</v>
      </c>
      <c r="AA11" s="135">
        <f t="shared" si="11"/>
        <v>154.0835330000003</v>
      </c>
      <c r="AB11" s="135">
        <f t="shared" si="11"/>
        <v>154.0835330000003</v>
      </c>
      <c r="AC11" s="135">
        <f t="shared" si="4"/>
        <v>1200.7049495807494</v>
      </c>
      <c r="AD11" s="26">
        <v>6</v>
      </c>
      <c r="AE11" s="134">
        <f>'Theo dõi TV'!J13</f>
        <v>173.49122785261306</v>
      </c>
      <c r="AF11" s="235">
        <f>_xlfn.XLOOKUP(AE11,G$6:G$24,G$6:G$24,,-1,1)</f>
        <v>162.83055555555561</v>
      </c>
      <c r="AG11" s="235">
        <f>_xlfn.XLOOKUP(AE11,G$6:G$24,G$6:G$24,,1,1)</f>
        <v>178.6298611111111</v>
      </c>
      <c r="AH11" s="25">
        <f>_xlfn.XLOOKUP(AE11,$G$6:$G$24,$A$6:$A$24,,-1,1)</f>
        <v>50</v>
      </c>
      <c r="AI11" s="25">
        <f>_xlfn.XLOOKUP(AE11,$G$6:$G$24,$A$6:$A$24,,1,1)</f>
        <v>45</v>
      </c>
      <c r="AJ11" s="235">
        <f t="shared" si="7"/>
        <v>46.626221241316244</v>
      </c>
      <c r="AL11" s="26">
        <v>6</v>
      </c>
      <c r="AM11" s="245">
        <v>46.626221241316244</v>
      </c>
      <c r="AN11" s="25">
        <f t="shared" si="1"/>
        <v>45</v>
      </c>
      <c r="AO11" s="25">
        <f t="shared" si="2"/>
        <v>50</v>
      </c>
      <c r="AP11" s="235">
        <f>_xlfn.XLOOKUP(AM11,$P$6:$P$24,$V$6:$V$24,,-1,1)</f>
        <v>70.688335877862599</v>
      </c>
      <c r="AQ11" s="235">
        <f>_xlfn.XLOOKUP(AM11,$P$6:$P$24,$V$6:$V$24,,1,1)</f>
        <v>64.43615267175575</v>
      </c>
      <c r="AR11" s="242">
        <f t="shared" si="8"/>
        <v>68.654849250988264</v>
      </c>
      <c r="AS11" s="235">
        <f>_xlfn.XLOOKUP(AM11,$A$6:$A$24,$G$6:$G$24,,-1,1)</f>
        <v>178.6298611111111</v>
      </c>
      <c r="AT11" s="235">
        <f>_xlfn.XLOOKUP(AM11,$A$6:$A$24,$G$6:$G$24,,1,1)</f>
        <v>162.83055555555561</v>
      </c>
      <c r="AU11" s="247">
        <f t="shared" si="5"/>
        <v>173.49122785261306</v>
      </c>
    </row>
    <row r="12" spans="1:48">
      <c r="A12" s="294">
        <v>35</v>
      </c>
      <c r="B12" s="295">
        <v>175.14379106929516</v>
      </c>
      <c r="C12" s="295">
        <v>99.770744047619019</v>
      </c>
      <c r="D12" s="295">
        <v>79.8</v>
      </c>
      <c r="E12" s="295">
        <v>82.890480555555541</v>
      </c>
      <c r="F12" s="295">
        <v>116.29108701656928</v>
      </c>
      <c r="G12" s="295">
        <v>191</v>
      </c>
      <c r="H12" s="295">
        <v>281.70000000000005</v>
      </c>
      <c r="I12" s="295">
        <v>382.8</v>
      </c>
      <c r="J12" s="295">
        <v>477.80000000000007</v>
      </c>
      <c r="K12" s="295">
        <v>490.74133064516127</v>
      </c>
      <c r="L12" s="295">
        <v>457.02961996913587</v>
      </c>
      <c r="M12" s="295">
        <v>301.77043010752692</v>
      </c>
      <c r="N12" s="295">
        <v>259.38749999999999</v>
      </c>
      <c r="P12" s="300">
        <v>35</v>
      </c>
      <c r="Q12" s="135">
        <f t="shared" ref="Q12:AB12" si="12">IF(B12*Q5*24*3600/$AE$3/10^6&gt;$AE$2,$AE$2,B12*Q5*24*3600/$AE$3/10^6)</f>
        <v>71.619103816793924</v>
      </c>
      <c r="R12" s="135">
        <f t="shared" si="12"/>
        <v>38.16573683751362</v>
      </c>
      <c r="S12" s="135">
        <f t="shared" si="12"/>
        <v>32.631499236641218</v>
      </c>
      <c r="T12" s="135">
        <f t="shared" si="12"/>
        <v>32.80185123664122</v>
      </c>
      <c r="U12" s="135">
        <f t="shared" si="12"/>
        <v>47.553289689340339</v>
      </c>
      <c r="V12" s="135">
        <f t="shared" si="12"/>
        <v>75.583511450381678</v>
      </c>
      <c r="W12" s="135">
        <f t="shared" si="12"/>
        <v>115.19164580152675</v>
      </c>
      <c r="X12" s="135">
        <f t="shared" si="12"/>
        <v>154.0835330000003</v>
      </c>
      <c r="Y12" s="135">
        <f t="shared" si="12"/>
        <v>154.0835330000003</v>
      </c>
      <c r="Z12" s="135">
        <f t="shared" si="12"/>
        <v>154.0835330000003</v>
      </c>
      <c r="AA12" s="135">
        <f t="shared" si="12"/>
        <v>154.0835330000003</v>
      </c>
      <c r="AB12" s="135">
        <f t="shared" si="12"/>
        <v>123.39876641221376</v>
      </c>
      <c r="AC12" s="135">
        <f t="shared" si="4"/>
        <v>1153.2795364810538</v>
      </c>
      <c r="AD12" s="26">
        <v>7</v>
      </c>
      <c r="AE12" s="134">
        <f>'Theo dõi TV'!J14</f>
        <v>160</v>
      </c>
      <c r="AF12" s="235">
        <f>_xlfn.XLOOKUP(AE12,H$6:H$24,H$6:H$24,,-1,1)</f>
        <v>157.22488172043012</v>
      </c>
      <c r="AG12" s="235">
        <f>_xlfn.XLOOKUP(AE12,H$6:H$24,H$6:H$24,,1,1)</f>
        <v>170.2</v>
      </c>
      <c r="AH12" s="25">
        <f>_xlfn.XLOOKUP(AE12,$H$6:$H$24,$A$6:$A$24,,-1,1)</f>
        <v>85</v>
      </c>
      <c r="AI12" s="25">
        <f>_xlfn.XLOOKUP(AE12,$H$6:$H$24,$A$6:$A$24,,1,1)</f>
        <v>80</v>
      </c>
      <c r="AJ12" s="235">
        <f t="shared" si="7"/>
        <v>83.930600006961228</v>
      </c>
      <c r="AL12" s="26">
        <v>7</v>
      </c>
      <c r="AM12" s="459">
        <f>AJ12</f>
        <v>83.930600006961228</v>
      </c>
      <c r="AN12" s="25">
        <f t="shared" si="1"/>
        <v>80</v>
      </c>
      <c r="AO12" s="25">
        <f t="shared" si="2"/>
        <v>85</v>
      </c>
      <c r="AP12" s="235">
        <f>_xlfn.XLOOKUP(AM12,$P$6:$P$24,$W$6:$W$24,,-1,1)</f>
        <v>69.597508396946566</v>
      </c>
      <c r="AQ12" s="235">
        <f>_xlfn.XLOOKUP(AM12,$P$6:$P$24,$W$6:$W$24,,1,1)</f>
        <v>64.291774534351148</v>
      </c>
      <c r="AR12" s="242">
        <f t="shared" si="8"/>
        <v>65.426564885496177</v>
      </c>
      <c r="AS12" s="235">
        <f>_xlfn.XLOOKUP(AM12,$A$6:$A$24,$H$6:$H$24,,-1,1)</f>
        <v>170.2</v>
      </c>
      <c r="AT12" s="235">
        <f>_xlfn.XLOOKUP(AM12,$A$6:$A$24,$H$6:$H$24,,1,1)</f>
        <v>157.22488172043012</v>
      </c>
      <c r="AU12" s="247">
        <f t="shared" si="5"/>
        <v>160</v>
      </c>
      <c r="AV12" s="241" t="s">
        <v>54</v>
      </c>
    </row>
    <row r="13" spans="1:48">
      <c r="A13" s="294">
        <v>40</v>
      </c>
      <c r="B13" s="295">
        <v>143.39999999999998</v>
      </c>
      <c r="C13" s="295">
        <v>95.982659722222195</v>
      </c>
      <c r="D13" s="295">
        <v>77.02</v>
      </c>
      <c r="E13" s="295">
        <v>75.387613580246907</v>
      </c>
      <c r="F13" s="295">
        <v>111.87629928315411</v>
      </c>
      <c r="G13" s="295">
        <v>188.83247685185185</v>
      </c>
      <c r="H13" s="295">
        <v>233.73070489844685</v>
      </c>
      <c r="I13" s="295">
        <v>370.46827956989239</v>
      </c>
      <c r="J13" s="295">
        <v>431.59999999999997</v>
      </c>
      <c r="K13" s="295">
        <v>480.59999999999997</v>
      </c>
      <c r="L13" s="295">
        <v>410.19999999999993</v>
      </c>
      <c r="M13" s="295">
        <v>274.69614247311824</v>
      </c>
      <c r="N13" s="295">
        <v>257.02388265147636</v>
      </c>
      <c r="P13" s="300">
        <v>40</v>
      </c>
      <c r="Q13" s="135">
        <f t="shared" ref="Q13:AB13" si="13">IF(B13*Q5*24*3600/$AE$3/10^6&gt;$AE$2,$AE$2,B13*Q5*24*3600/$AE$3/10^6)</f>
        <v>58.638558778625949</v>
      </c>
      <c r="R13" s="135">
        <f t="shared" si="13"/>
        <v>36.716664458015252</v>
      </c>
      <c r="S13" s="135">
        <f t="shared" si="13"/>
        <v>31.494712671755728</v>
      </c>
      <c r="T13" s="135">
        <f t="shared" si="13"/>
        <v>29.832777770992369</v>
      </c>
      <c r="U13" s="135">
        <f t="shared" si="13"/>
        <v>45.748012213740459</v>
      </c>
      <c r="V13" s="135">
        <f t="shared" si="13"/>
        <v>74.725767938931298</v>
      </c>
      <c r="W13" s="135">
        <f t="shared" si="13"/>
        <v>95.576232061068694</v>
      </c>
      <c r="X13" s="135">
        <f t="shared" si="13"/>
        <v>151.49041832061067</v>
      </c>
      <c r="Y13" s="135">
        <f t="shared" si="13"/>
        <v>154.0835330000003</v>
      </c>
      <c r="Z13" s="135">
        <f t="shared" si="13"/>
        <v>154.0835330000003</v>
      </c>
      <c r="AA13" s="135">
        <f t="shared" si="13"/>
        <v>154.0835330000003</v>
      </c>
      <c r="AB13" s="135">
        <f t="shared" si="13"/>
        <v>112.32765618320612</v>
      </c>
      <c r="AC13" s="135">
        <f t="shared" si="4"/>
        <v>1098.8013993969475</v>
      </c>
      <c r="AD13" s="26">
        <v>8</v>
      </c>
      <c r="AE13" s="134">
        <f>'Theo dõi TV'!J15</f>
        <v>260</v>
      </c>
      <c r="AF13" s="235">
        <f>_xlfn.XLOOKUP(AE13,I$6:I$24,I$6:I$24,,-1,1)</f>
        <v>238.8</v>
      </c>
      <c r="AG13" s="235">
        <f>_xlfn.XLOOKUP(AE13,I$6:I$24,I$6:I$24,,1,1)</f>
        <v>262.80163157108723</v>
      </c>
      <c r="AH13" s="25">
        <f>_xlfn.XLOOKUP(AE13,$I$6:$I$24,$A$6:$A$24,,-1,1)</f>
        <v>70</v>
      </c>
      <c r="AI13" s="25">
        <f>_xlfn.XLOOKUP(AE13,$I$6:$I$24,$A$6:$A$24,,1,1)</f>
        <v>65</v>
      </c>
      <c r="AJ13" s="235">
        <f t="shared" si="7"/>
        <v>65.583633567324256</v>
      </c>
      <c r="AL13" s="26">
        <v>8</v>
      </c>
      <c r="AM13" s="459">
        <v>91</v>
      </c>
      <c r="AN13" s="25">
        <f t="shared" si="1"/>
        <v>90</v>
      </c>
      <c r="AO13" s="25">
        <f t="shared" si="2"/>
        <v>95</v>
      </c>
      <c r="AP13" s="235">
        <f>_xlfn.XLOOKUP(AM13,$P$6:$P$24,$X$6:$X$24,,-1,1)</f>
        <v>82.938134351145038</v>
      </c>
      <c r="AQ13" s="235">
        <f>_xlfn.XLOOKUP(AM13,$P$6:$P$24,$X$6:$X$24,,1,1)</f>
        <v>77.674554961832072</v>
      </c>
      <c r="AR13" s="242">
        <f t="shared" si="8"/>
        <v>81.885418473282442</v>
      </c>
      <c r="AS13" s="235">
        <f>_xlfn.XLOOKUP(AM13,$A$6:$A$24,$I$6:$I$24,,-1,1)</f>
        <v>202.82436529271206</v>
      </c>
      <c r="AT13" s="235">
        <f>_xlfn.XLOOKUP(AM13,$A$6:$A$24,$I$6:$I$24,,1,1)</f>
        <v>189.9523353494624</v>
      </c>
      <c r="AU13" s="247">
        <f t="shared" si="5"/>
        <v>200.24995930406209</v>
      </c>
    </row>
    <row r="14" spans="1:48">
      <c r="A14" s="294">
        <v>45</v>
      </c>
      <c r="B14" s="295">
        <v>138.39816308243729</v>
      </c>
      <c r="C14" s="295">
        <v>89.40046130952382</v>
      </c>
      <c r="D14" s="295">
        <v>75.27</v>
      </c>
      <c r="E14" s="295">
        <v>71.8</v>
      </c>
      <c r="F14" s="295">
        <v>108.51437051971327</v>
      </c>
      <c r="G14" s="295">
        <v>178.6298611111111</v>
      </c>
      <c r="H14" s="295">
        <v>218.2</v>
      </c>
      <c r="I14" s="295">
        <v>336.04539650537635</v>
      </c>
      <c r="J14" s="295">
        <v>408.45145833333333</v>
      </c>
      <c r="K14" s="295">
        <v>466.56129032258065</v>
      </c>
      <c r="L14" s="295">
        <v>378.82274305555558</v>
      </c>
      <c r="M14" s="295">
        <v>263.3</v>
      </c>
      <c r="N14" s="295">
        <v>248.95499999999998</v>
      </c>
      <c r="P14" s="300">
        <v>45</v>
      </c>
      <c r="Q14" s="135">
        <f t="shared" ref="Q14:AB14" si="14">IF(B14*Q5*24*3600/$AE$3/10^6&gt;$AE$2,$AE$2,B14*Q5*24*3600/$AE$3/10^6)</f>
        <v>56.593227480916028</v>
      </c>
      <c r="R14" s="135">
        <f t="shared" si="14"/>
        <v>34.198747459105782</v>
      </c>
      <c r="S14" s="135">
        <f t="shared" si="14"/>
        <v>30.779109618320611</v>
      </c>
      <c r="T14" s="135">
        <f t="shared" si="14"/>
        <v>28.413068702290076</v>
      </c>
      <c r="U14" s="135">
        <f t="shared" si="14"/>
        <v>44.373265648854961</v>
      </c>
      <c r="V14" s="135">
        <f t="shared" si="14"/>
        <v>70.688335877862599</v>
      </c>
      <c r="W14" s="135">
        <f t="shared" si="14"/>
        <v>89.225477862595426</v>
      </c>
      <c r="X14" s="135">
        <f t="shared" si="14"/>
        <v>137.41434961832061</v>
      </c>
      <c r="Y14" s="135">
        <f t="shared" si="14"/>
        <v>154.0835330000003</v>
      </c>
      <c r="Z14" s="135">
        <f t="shared" si="14"/>
        <v>154.0835330000003</v>
      </c>
      <c r="AA14" s="135">
        <f t="shared" si="14"/>
        <v>149.90970229007635</v>
      </c>
      <c r="AB14" s="135">
        <f t="shared" si="14"/>
        <v>107.66759083969467</v>
      </c>
      <c r="AC14" s="135">
        <f t="shared" si="4"/>
        <v>1057.4299413980377</v>
      </c>
      <c r="AD14" s="26">
        <v>9</v>
      </c>
      <c r="AE14" s="134">
        <f>'Theo dõi TV'!J16</f>
        <v>317</v>
      </c>
      <c r="AF14" s="235">
        <f>_xlfn.XLOOKUP(AE14,J$6:J$24,J$6:J$24,,-1,1)</f>
        <v>314.45</v>
      </c>
      <c r="AG14" s="235">
        <f>_xlfn.XLOOKUP(AE14,J$6:J$24,J$6:J$24,,1,1)</f>
        <v>329.79999999999995</v>
      </c>
      <c r="AH14" s="25">
        <f>_xlfn.XLOOKUP(AE14,$J$6:$J$24,$A$6:$A$24,,-1,1)</f>
        <v>85</v>
      </c>
      <c r="AI14" s="25">
        <f>_xlfn.XLOOKUP(AE14,$J$6:$J$24,$A$6:$A$24,,1,1)</f>
        <v>80</v>
      </c>
      <c r="AJ14" s="235">
        <f t="shared" si="7"/>
        <v>84.169381107491873</v>
      </c>
      <c r="AL14" s="26">
        <v>9</v>
      </c>
      <c r="AM14" s="459">
        <v>71</v>
      </c>
      <c r="AN14" s="25">
        <f t="shared" si="1"/>
        <v>70</v>
      </c>
      <c r="AO14" s="25">
        <f t="shared" si="2"/>
        <v>75</v>
      </c>
      <c r="AP14" s="235">
        <f>_xlfn.XLOOKUP(AM14,$P$6:$P$24,$Y$6:$Y$24,,-1,1)</f>
        <v>138.26638167938935</v>
      </c>
      <c r="AQ14" s="235">
        <f>_xlfn.XLOOKUP(AM14,$P$6:$P$24,$Y$6:$Y$24,,1,1)</f>
        <v>134.88252671755725</v>
      </c>
      <c r="AR14" s="242">
        <f t="shared" si="8"/>
        <v>137.58961068702291</v>
      </c>
      <c r="AS14" s="235">
        <f>_xlfn.XLOOKUP(AM14,$A$6:$A$24,$J$6:$J$24,,-1,1)</f>
        <v>349.40000000000003</v>
      </c>
      <c r="AT14" s="235">
        <f>_xlfn.XLOOKUP(AM14,$A$6:$A$24,$J$6:$J$24,,1,1)</f>
        <v>340.84897762345673</v>
      </c>
      <c r="AU14" s="247">
        <f t="shared" si="5"/>
        <v>347.68979552469136</v>
      </c>
    </row>
    <row r="15" spans="1:48">
      <c r="A15" s="294">
        <v>50</v>
      </c>
      <c r="B15" s="295">
        <v>126</v>
      </c>
      <c r="C15" s="295">
        <v>85.7</v>
      </c>
      <c r="D15" s="295">
        <v>70.900000000000006</v>
      </c>
      <c r="E15" s="295">
        <v>65.2</v>
      </c>
      <c r="F15" s="295">
        <v>105</v>
      </c>
      <c r="G15" s="295">
        <v>162.83055555555561</v>
      </c>
      <c r="H15" s="295">
        <v>216</v>
      </c>
      <c r="I15" s="295">
        <v>329.96972072879339</v>
      </c>
      <c r="J15" s="295">
        <v>393</v>
      </c>
      <c r="K15" s="295">
        <v>452</v>
      </c>
      <c r="L15" s="295">
        <v>349</v>
      </c>
      <c r="M15" s="295">
        <v>245</v>
      </c>
      <c r="N15" s="295">
        <v>245.70833333333334</v>
      </c>
      <c r="P15" s="300">
        <v>50</v>
      </c>
      <c r="Q15" s="135">
        <f t="shared" ref="Q15:AB15" si="15">IF(B15*Q5*24*3600/$AE$3/10^6&gt;$AE$2,$AE$2,B15*Q5*24*3600/$AE$3/10^6)</f>
        <v>51.523419847328249</v>
      </c>
      <c r="R15" s="135">
        <f t="shared" si="15"/>
        <v>32.783193893129777</v>
      </c>
      <c r="S15" s="135">
        <f t="shared" si="15"/>
        <v>28.992146564885502</v>
      </c>
      <c r="T15" s="135">
        <f t="shared" si="15"/>
        <v>25.801282442748093</v>
      </c>
      <c r="U15" s="135">
        <f t="shared" si="15"/>
        <v>42.936183206106868</v>
      </c>
      <c r="V15" s="135">
        <f t="shared" si="15"/>
        <v>64.43615267175575</v>
      </c>
      <c r="W15" s="135">
        <f t="shared" si="15"/>
        <v>88.325862595419849</v>
      </c>
      <c r="X15" s="135">
        <f t="shared" si="15"/>
        <v>134.92990839694662</v>
      </c>
      <c r="Y15" s="135">
        <f t="shared" si="15"/>
        <v>154.0835330000003</v>
      </c>
      <c r="Z15" s="135">
        <f t="shared" si="15"/>
        <v>154.0835330000003</v>
      </c>
      <c r="AA15" s="135">
        <f t="shared" si="15"/>
        <v>138.10809160305345</v>
      </c>
      <c r="AB15" s="135">
        <f t="shared" si="15"/>
        <v>100.18442748091604</v>
      </c>
      <c r="AC15" s="135">
        <f t="shared" si="4"/>
        <v>1016.1877347022909</v>
      </c>
      <c r="AD15" s="26">
        <v>10</v>
      </c>
      <c r="AE15" s="134">
        <f>'Theo dõi TV'!J17</f>
        <v>355</v>
      </c>
      <c r="AF15" s="235">
        <f>_xlfn.XLOOKUP(AE15,K$6:K$24,K$6:K$24,,-1,1)</f>
        <v>347.2</v>
      </c>
      <c r="AG15" s="235">
        <f>_xlfn.XLOOKUP(AE15,K$6:K$24,K$6:K$24,,1,1)</f>
        <v>360</v>
      </c>
      <c r="AH15" s="25">
        <f>_xlfn.XLOOKUP(AE15,$K$6:$K$24,$A$6:$A$24,,-1,1)</f>
        <v>80</v>
      </c>
      <c r="AI15" s="25">
        <f>_xlfn.XLOOKUP(AE15,$K$6:$K$24,$A$6:$A$24,,1,1)</f>
        <v>75</v>
      </c>
      <c r="AJ15" s="235">
        <f t="shared" si="7"/>
        <v>76.953125</v>
      </c>
      <c r="AL15" s="26">
        <v>10</v>
      </c>
      <c r="AM15" s="459">
        <v>72</v>
      </c>
      <c r="AN15" s="25">
        <f t="shared" si="1"/>
        <v>70</v>
      </c>
      <c r="AO15" s="25">
        <f t="shared" si="2"/>
        <v>75</v>
      </c>
      <c r="AP15" s="235">
        <f>_xlfn.XLOOKUP(AM15,$P$6:$P$24,$Z$6:$Z$24,,-1,1)</f>
        <v>154.0835330000003</v>
      </c>
      <c r="AQ15" s="235">
        <f>_xlfn.XLOOKUP(AM15,$P$6:$P$24,$Z$6:$Z$24,,1,1)</f>
        <v>147.2097709923664</v>
      </c>
      <c r="AR15" s="242">
        <f t="shared" si="8"/>
        <v>151.33402819694675</v>
      </c>
      <c r="AS15" s="235">
        <f>_xlfn.XLOOKUP(AM15,$A$6:$A$24,$K$6:$K$24,,-1,1)</f>
        <v>380.8</v>
      </c>
      <c r="AT15" s="235">
        <f>_xlfn.XLOOKUP(AM15,$A$6:$A$24,$K$6:$K$24,,1,1)</f>
        <v>360</v>
      </c>
      <c r="AU15" s="247">
        <f t="shared" si="5"/>
        <v>372.47999999999996</v>
      </c>
    </row>
    <row r="16" spans="1:48">
      <c r="A16" s="294">
        <v>55</v>
      </c>
      <c r="B16" s="295">
        <v>117</v>
      </c>
      <c r="C16" s="295">
        <v>83.64</v>
      </c>
      <c r="D16" s="295">
        <v>65.84</v>
      </c>
      <c r="E16" s="295">
        <v>62.57</v>
      </c>
      <c r="F16" s="295">
        <v>102.57767697132614</v>
      </c>
      <c r="G16" s="295">
        <v>154</v>
      </c>
      <c r="H16" s="295">
        <v>207.87341935483872</v>
      </c>
      <c r="I16" s="295">
        <v>299.83540919952208</v>
      </c>
      <c r="J16" s="295">
        <v>379.52959298425526</v>
      </c>
      <c r="K16" s="295">
        <v>448.17701612903227</v>
      </c>
      <c r="L16" s="295">
        <v>326.40680555555554</v>
      </c>
      <c r="M16" s="295">
        <v>233.64327806451612</v>
      </c>
      <c r="N16" s="295">
        <v>223.24583333333334</v>
      </c>
      <c r="P16" s="300">
        <v>55</v>
      </c>
      <c r="Q16" s="135">
        <f t="shared" ref="Q16:AB16" si="16">IF(B16*Q5*24*3600/$AE$3/10^6&gt;$AE$2,$AE$2,B16*Q5*24*3600/$AE$3/10^6)</f>
        <v>47.843175572519087</v>
      </c>
      <c r="R16" s="135">
        <f t="shared" si="16"/>
        <v>31.995173129770993</v>
      </c>
      <c r="S16" s="135">
        <f t="shared" si="16"/>
        <v>26.923031450381686</v>
      </c>
      <c r="T16" s="135">
        <f t="shared" si="16"/>
        <v>24.76052519083969</v>
      </c>
      <c r="U16" s="135">
        <f t="shared" si="16"/>
        <v>41.945656488549609</v>
      </c>
      <c r="V16" s="135">
        <f t="shared" si="16"/>
        <v>60.941679389312974</v>
      </c>
      <c r="W16" s="135">
        <f t="shared" si="16"/>
        <v>85.002773496183195</v>
      </c>
      <c r="X16" s="135">
        <f t="shared" si="16"/>
        <v>122.60750534351143</v>
      </c>
      <c r="Y16" s="135">
        <f t="shared" si="16"/>
        <v>150.18942061300606</v>
      </c>
      <c r="Z16" s="135">
        <f t="shared" si="16"/>
        <v>154.0835330000003</v>
      </c>
      <c r="AA16" s="135">
        <f t="shared" si="16"/>
        <v>129.16739541984734</v>
      </c>
      <c r="AB16" s="135">
        <f t="shared" si="16"/>
        <v>95.540481827175583</v>
      </c>
      <c r="AC16" s="135">
        <f t="shared" si="4"/>
        <v>971.00035092109795</v>
      </c>
      <c r="AD16" s="26">
        <v>11</v>
      </c>
      <c r="AE16" s="134">
        <f>'Theo dõi TV'!J18</f>
        <v>265</v>
      </c>
      <c r="AF16" s="235">
        <f>_xlfn.XLOOKUP(AE16,L$6:L$24,L$6:L$24,,-1,1)</f>
        <v>252.59820601851857</v>
      </c>
      <c r="AG16" s="235">
        <f>_xlfn.XLOOKUP(AE16,L$6:L$24,L$6:L$24,,1,1)</f>
        <v>281.20000000000005</v>
      </c>
      <c r="AH16" s="25">
        <f>_xlfn.XLOOKUP(AE16,$L$6:$L$24,$A$6:$A$24,,-1,1)</f>
        <v>75</v>
      </c>
      <c r="AI16" s="25">
        <f>_xlfn.XLOOKUP(AE16,$L$6:$L$24,$A$6:$A$24,,1,1)</f>
        <v>70</v>
      </c>
      <c r="AJ16" s="235">
        <f t="shared" si="7"/>
        <v>72.831990190980491</v>
      </c>
      <c r="AL16" s="26">
        <v>11</v>
      </c>
      <c r="AM16" s="459">
        <v>50</v>
      </c>
      <c r="AN16" s="25">
        <f t="shared" si="1"/>
        <v>50</v>
      </c>
      <c r="AO16" s="25">
        <f t="shared" si="2"/>
        <v>50</v>
      </c>
      <c r="AP16" s="235">
        <f>_xlfn.XLOOKUP(AM16,$P$6:$P$24,$AA$6:$AA$24,,-1,1)</f>
        <v>138.10809160305345</v>
      </c>
      <c r="AQ16" s="235">
        <f>_xlfn.XLOOKUP(AM16,$P$6:$P$24,$AA$6:$AA$24,,1,1)</f>
        <v>138.10809160305345</v>
      </c>
      <c r="AR16" s="242">
        <f t="shared" si="8"/>
        <v>138.10809160305345</v>
      </c>
      <c r="AS16" s="235">
        <f>_xlfn.XLOOKUP(AM16,$A$6:$A$24,$L$6:$L$24,,-1,1)</f>
        <v>349</v>
      </c>
      <c r="AT16" s="235">
        <f>_xlfn.XLOOKUP(AM16,$A$6:$A$24,$L$6:$L$24,,1,1)</f>
        <v>349</v>
      </c>
      <c r="AU16" s="247">
        <f t="shared" si="5"/>
        <v>349</v>
      </c>
    </row>
    <row r="17" spans="1:47">
      <c r="A17" s="294">
        <v>60</v>
      </c>
      <c r="B17" s="295">
        <v>114.80000000000001</v>
      </c>
      <c r="C17" s="295">
        <v>79.169629233716478</v>
      </c>
      <c r="D17" s="295">
        <v>63.820000000000007</v>
      </c>
      <c r="E17" s="295">
        <v>60.959444444444443</v>
      </c>
      <c r="F17" s="295">
        <v>99.203978494623669</v>
      </c>
      <c r="G17" s="295">
        <v>152.34968541843944</v>
      </c>
      <c r="H17" s="295">
        <v>207.01946912361549</v>
      </c>
      <c r="I17" s="295">
        <v>282.27459677419353</v>
      </c>
      <c r="J17" s="295">
        <v>371.67277777777781</v>
      </c>
      <c r="K17" s="295">
        <v>424.97430555555559</v>
      </c>
      <c r="L17" s="295">
        <v>318.60000000000002</v>
      </c>
      <c r="M17" s="295">
        <v>206.22747867615556</v>
      </c>
      <c r="N17" s="295">
        <v>217.76166666666668</v>
      </c>
      <c r="P17" s="300">
        <v>60</v>
      </c>
      <c r="Q17" s="135">
        <f t="shared" ref="Q17:AB17" si="17">IF(B17*Q5*24*3600/$AE$3/10^6&gt;$AE$2,$AE$2,B17*Q5*24*3600/$AE$3/10^6)</f>
        <v>46.943560305343524</v>
      </c>
      <c r="R17" s="135">
        <f t="shared" si="17"/>
        <v>30.285102749312983</v>
      </c>
      <c r="S17" s="135">
        <f t="shared" si="17"/>
        <v>26.097021068702297</v>
      </c>
      <c r="T17" s="135">
        <f t="shared" si="17"/>
        <v>24.123187786259543</v>
      </c>
      <c r="U17" s="135">
        <f t="shared" si="17"/>
        <v>40.566097099236643</v>
      </c>
      <c r="V17" s="135">
        <f t="shared" si="17"/>
        <v>60.288608336579387</v>
      </c>
      <c r="W17" s="135">
        <f t="shared" si="17"/>
        <v>84.653579557357531</v>
      </c>
      <c r="X17" s="135">
        <f t="shared" si="17"/>
        <v>115.42660763358779</v>
      </c>
      <c r="Y17" s="135">
        <f t="shared" si="17"/>
        <v>147.08028091603055</v>
      </c>
      <c r="Z17" s="135">
        <f t="shared" si="17"/>
        <v>154.0835330000003</v>
      </c>
      <c r="AA17" s="135">
        <f t="shared" si="17"/>
        <v>126.07804580152673</v>
      </c>
      <c r="AB17" s="135">
        <f t="shared" si="17"/>
        <v>84.329721967361081</v>
      </c>
      <c r="AC17" s="135">
        <f t="shared" si="4"/>
        <v>939.95534622129844</v>
      </c>
      <c r="AD17" s="26">
        <v>12</v>
      </c>
      <c r="AE17" s="134">
        <f>'Theo dõi TV'!J19</f>
        <v>200</v>
      </c>
      <c r="AF17" s="235">
        <f>_xlfn.XLOOKUP(AE17,M$6:M$24,M$6:M$24,,-1,1)</f>
        <v>198.39999999999998</v>
      </c>
      <c r="AG17" s="235">
        <f>_xlfn.XLOOKUP(AE17,M$6:M$24,M$6:M$24,,1,1)</f>
        <v>206.22747867615556</v>
      </c>
      <c r="AH17" s="25">
        <f>_xlfn.XLOOKUP(AE17,M$6:M$24,$A$6:$A$24,,-1,1)</f>
        <v>65</v>
      </c>
      <c r="AI17" s="25">
        <f>_xlfn.XLOOKUP(AE17,M$6:M$24,$A$6:$A$24,,1,1)</f>
        <v>60</v>
      </c>
      <c r="AJ17" s="235">
        <f t="shared" si="7"/>
        <v>63.977959528095539</v>
      </c>
      <c r="AL17" s="26">
        <v>12</v>
      </c>
      <c r="AM17" s="459">
        <v>46</v>
      </c>
      <c r="AN17" s="25">
        <f t="shared" si="1"/>
        <v>45</v>
      </c>
      <c r="AO17" s="25">
        <f t="shared" si="2"/>
        <v>50</v>
      </c>
      <c r="AP17" s="235">
        <f>_xlfn.XLOOKUP(AM17,$P$6:$P$24,$AB$6:$AB$24,,-1,1)</f>
        <v>107.66759083969467</v>
      </c>
      <c r="AQ17" s="235">
        <f>_xlfn.XLOOKUP(AM17,$P$6:$P$24,$AB$6:$AB$24,,1,1)</f>
        <v>100.18442748091604</v>
      </c>
      <c r="AR17" s="242">
        <f t="shared" si="8"/>
        <v>106.17095816793893</v>
      </c>
      <c r="AS17" s="235">
        <f>_xlfn.XLOOKUP(AM17,$A$6:$A$24,$M$6:$M$24,,-1,1)</f>
        <v>263.3</v>
      </c>
      <c r="AT17" s="235">
        <f>_xlfn.XLOOKUP(AM17,$A$6:$A$24,$M$6:$M$24,,1,1)</f>
        <v>245</v>
      </c>
      <c r="AU17" s="247">
        <f t="shared" si="5"/>
        <v>259.64</v>
      </c>
    </row>
    <row r="18" spans="1:47">
      <c r="A18" s="294">
        <v>65</v>
      </c>
      <c r="B18" s="295">
        <v>113.1</v>
      </c>
      <c r="C18" s="295">
        <v>77.48</v>
      </c>
      <c r="D18" s="295">
        <v>58.871740591397852</v>
      </c>
      <c r="E18" s="295">
        <v>59.669795524691359</v>
      </c>
      <c r="F18" s="295">
        <v>90.809999999999988</v>
      </c>
      <c r="G18" s="295">
        <v>150.98718749999998</v>
      </c>
      <c r="H18" s="295">
        <v>203</v>
      </c>
      <c r="I18" s="295">
        <v>262.80163157108723</v>
      </c>
      <c r="J18" s="295">
        <v>359.94673599999987</v>
      </c>
      <c r="K18" s="295">
        <v>392</v>
      </c>
      <c r="L18" s="295">
        <v>305.79999999999995</v>
      </c>
      <c r="M18" s="295">
        <v>198.39999999999998</v>
      </c>
      <c r="N18" s="295">
        <v>213.8120757677512</v>
      </c>
      <c r="P18" s="300">
        <v>65</v>
      </c>
      <c r="Q18" s="135">
        <f t="shared" ref="Q18:AB18" si="18">IF(B18*Q5*24*3600/$AE$3/10^6&gt;$AE$2,$AE$2,B18*Q5*24*3600/$AE$3/10^6)</f>
        <v>46.248403053435119</v>
      </c>
      <c r="R18" s="135">
        <f t="shared" si="18"/>
        <v>29.638761526717559</v>
      </c>
      <c r="S18" s="135">
        <f t="shared" si="18"/>
        <v>24.073598473282448</v>
      </c>
      <c r="T18" s="135">
        <f t="shared" si="18"/>
        <v>23.612841221374048</v>
      </c>
      <c r="U18" s="135">
        <f t="shared" si="18"/>
        <v>37.133664732824421</v>
      </c>
      <c r="V18" s="135">
        <f t="shared" si="18"/>
        <v>59.749433587786264</v>
      </c>
      <c r="W18" s="135">
        <f t="shared" si="18"/>
        <v>83.009954198473295</v>
      </c>
      <c r="X18" s="135">
        <f t="shared" si="18"/>
        <v>107.46380000000001</v>
      </c>
      <c r="Y18" s="135">
        <f t="shared" si="18"/>
        <v>142.43999079572512</v>
      </c>
      <c r="Z18" s="135">
        <f t="shared" si="18"/>
        <v>154.0835330000003</v>
      </c>
      <c r="AA18" s="135">
        <f t="shared" si="18"/>
        <v>121.0127633587786</v>
      </c>
      <c r="AB18" s="135">
        <f t="shared" si="18"/>
        <v>81.128940458015265</v>
      </c>
      <c r="AC18" s="135">
        <f t="shared" si="4"/>
        <v>909.59568440641237</v>
      </c>
      <c r="AE18" s="25"/>
      <c r="AF18" s="25"/>
      <c r="AG18" s="25"/>
      <c r="AH18" s="25"/>
      <c r="AI18" s="25"/>
      <c r="AJ18" s="25"/>
      <c r="AM18" s="241" t="s">
        <v>46</v>
      </c>
      <c r="AR18" s="241" t="s">
        <v>47</v>
      </c>
    </row>
    <row r="19" spans="1:47">
      <c r="A19" s="294">
        <v>70</v>
      </c>
      <c r="B19" s="295">
        <v>112</v>
      </c>
      <c r="C19" s="295">
        <v>73.260000000000005</v>
      </c>
      <c r="D19" s="295">
        <v>54.199999999999996</v>
      </c>
      <c r="E19" s="295">
        <v>54.38000000000001</v>
      </c>
      <c r="F19" s="295">
        <v>82.09341935483873</v>
      </c>
      <c r="G19" s="295">
        <v>141.20000000000002</v>
      </c>
      <c r="H19" s="295">
        <v>197.3939964157706</v>
      </c>
      <c r="I19" s="295">
        <v>238.8</v>
      </c>
      <c r="J19" s="295">
        <v>349.40000000000003</v>
      </c>
      <c r="K19" s="295">
        <v>380.8</v>
      </c>
      <c r="L19" s="295">
        <v>281.20000000000005</v>
      </c>
      <c r="M19" s="295">
        <v>185.43000298685786</v>
      </c>
      <c r="N19" s="295">
        <v>205.16359557830603</v>
      </c>
      <c r="P19" s="300">
        <v>70</v>
      </c>
      <c r="Q19" s="135">
        <f t="shared" ref="Q19:AB19" si="19">IF(B19*Q5*24*3600/$AE$3/10^6&gt;$AE$2,$AE$2,B19*Q5*24*3600/$AE$3/10^6)</f>
        <v>45.798595419847331</v>
      </c>
      <c r="R19" s="135">
        <f t="shared" si="19"/>
        <v>28.024466564885497</v>
      </c>
      <c r="S19" s="135">
        <f t="shared" si="19"/>
        <v>22.163248854961829</v>
      </c>
      <c r="T19" s="135">
        <f t="shared" si="19"/>
        <v>21.519535877862598</v>
      </c>
      <c r="U19" s="135">
        <f t="shared" si="19"/>
        <v>33.569315175572527</v>
      </c>
      <c r="V19" s="135">
        <f t="shared" si="19"/>
        <v>55.876396946564903</v>
      </c>
      <c r="W19" s="135">
        <f t="shared" si="19"/>
        <v>80.717569465648864</v>
      </c>
      <c r="X19" s="135">
        <f t="shared" si="19"/>
        <v>97.649148091603053</v>
      </c>
      <c r="Y19" s="135">
        <f t="shared" si="19"/>
        <v>138.26638167938935</v>
      </c>
      <c r="Z19" s="135">
        <f t="shared" si="19"/>
        <v>154.0835330000003</v>
      </c>
      <c r="AA19" s="135">
        <f t="shared" si="19"/>
        <v>111.27792366412218</v>
      </c>
      <c r="AB19" s="135">
        <f t="shared" si="19"/>
        <v>75.825300763358783</v>
      </c>
      <c r="AC19" s="135">
        <f t="shared" si="4"/>
        <v>864.77141550381725</v>
      </c>
      <c r="AE19" s="25"/>
      <c r="AF19" s="25"/>
      <c r="AG19" s="25"/>
      <c r="AH19" s="25"/>
      <c r="AI19" s="25"/>
      <c r="AJ19" s="25"/>
    </row>
    <row r="20" spans="1:47">
      <c r="A20" s="296">
        <v>75</v>
      </c>
      <c r="B20" s="297">
        <v>105.03419354838709</v>
      </c>
      <c r="C20" s="297">
        <v>65.59375</v>
      </c>
      <c r="D20" s="297">
        <v>53.4</v>
      </c>
      <c r="E20" s="297">
        <v>51.9</v>
      </c>
      <c r="F20" s="297">
        <v>75.849999999999994</v>
      </c>
      <c r="G20" s="297">
        <v>134.23099922839506</v>
      </c>
      <c r="H20" s="297">
        <v>185.78629032258061</v>
      </c>
      <c r="I20" s="297">
        <v>233.6097752534919</v>
      </c>
      <c r="J20" s="297">
        <v>340.84897762345673</v>
      </c>
      <c r="K20" s="297">
        <v>360</v>
      </c>
      <c r="L20" s="297">
        <v>252.59820601851857</v>
      </c>
      <c r="M20" s="297">
        <v>167.5</v>
      </c>
      <c r="N20" s="297">
        <v>201.9190229832617</v>
      </c>
      <c r="P20" s="300">
        <v>75</v>
      </c>
      <c r="Q20" s="135">
        <f>IF(B20*$Q$5*24*3600/$AE$3/10^6&gt;$AE$2,$AE$2,B20*$Q$5*24*3600/$AE$3/10^6)</f>
        <v>42.95016549618321</v>
      </c>
      <c r="R20" s="135">
        <f>IF(C20*$R$5*24*3600/$AE$3/10^6&gt;$AE$2,$AE$2,C20*$R$5*24*3600/$AE$3/10^6)</f>
        <v>25.091862595419848</v>
      </c>
      <c r="S20" s="135">
        <f>IF(D20*$S$5*24*3600/$AE$3/10^6&gt;$AE$2,$AE$2,D20*$S$5*24*3600/$AE$3/10^6)</f>
        <v>21.836116030534352</v>
      </c>
      <c r="T20" s="135">
        <f>IF(E20*$T$5*24*3600/$AE$3/10^6&gt;$AE$2,$AE$2,E20*$T$5*24*3600/$AE$3/10^6)</f>
        <v>20.538137404580155</v>
      </c>
      <c r="U20" s="135">
        <f>IF(F20*$U$5*24*3600/$AE$3/10^6&gt;$AE$2,$AE$2,F20*$U$5*24*3600/$AE$3/10^6)</f>
        <v>31.016280916030532</v>
      </c>
      <c r="V20" s="135">
        <f>IF(G20*$V$5*24*3600/$AE$3/10^6&gt;$AE$2,$AE$2,G20*$V$5*24*3600/$AE$3/10^6)</f>
        <v>53.118587786259546</v>
      </c>
      <c r="W20" s="135">
        <f>IF(H20*$W$5*24*3600/$AE$3/10^6&gt;$AE$2,$AE$2,H20*$W$5*24*3600/$AE$3/10^6)</f>
        <v>75.97099236641219</v>
      </c>
      <c r="X20" s="135">
        <f>IF(I20*$X$5*24*3600/$AE$3/10^6&gt;$AE$2,$AE$2,I20*$X$5*24*3600/$AE$3/10^6)</f>
        <v>95.526781990679837</v>
      </c>
      <c r="Y20" s="135">
        <f>IF(J20*$Y$5*24*3600/$AE$3/10^6&gt;$AE$2,$AE$2,J20*$Y$5*24*3600/$AE$3/10^6)</f>
        <v>134.88252671755725</v>
      </c>
      <c r="Z20" s="135">
        <f>IF(K20*$Z$5*24*3600/$AE$3/10^6&gt;$AE$2,$AE$2,K20*$Z$5*24*3600/$AE$3/10^6)</f>
        <v>147.2097709923664</v>
      </c>
      <c r="AA20" s="135">
        <f>IF(L20*$AA$5*24*3600/$AE$3/10^6&gt;$AE$2,$AE$2,L20*$AA$5*24*3600/$AE$3/10^6)</f>
        <v>99.959473282442758</v>
      </c>
      <c r="AB20" s="135">
        <f>IF(M20*$AB$5*24*3600/$AE$3/10^6&gt;$AE$2,$AE$2,M20*$AB$5*24*3600/$AE$3/10^6)</f>
        <v>68.493435114503811</v>
      </c>
      <c r="AC20" s="135">
        <f t="shared" si="4"/>
        <v>816.59413069296988</v>
      </c>
      <c r="AE20" s="25"/>
      <c r="AF20" s="25"/>
      <c r="AG20" s="25"/>
      <c r="AH20" s="25"/>
      <c r="AI20" s="25"/>
      <c r="AJ20" s="25"/>
    </row>
    <row r="21" spans="1:47">
      <c r="A21" s="296">
        <v>80</v>
      </c>
      <c r="B21" s="297">
        <v>98.032033381123043</v>
      </c>
      <c r="C21" s="297">
        <v>63.18</v>
      </c>
      <c r="D21" s="297">
        <v>48.58</v>
      </c>
      <c r="E21" s="297">
        <v>50.78</v>
      </c>
      <c r="F21" s="297">
        <v>72.492992831541216</v>
      </c>
      <c r="G21" s="297">
        <v>125.92147037037036</v>
      </c>
      <c r="H21" s="297">
        <v>170.2</v>
      </c>
      <c r="I21" s="297">
        <v>232.4</v>
      </c>
      <c r="J21" s="297">
        <v>329.79999999999995</v>
      </c>
      <c r="K21" s="297">
        <v>347.2</v>
      </c>
      <c r="L21" s="297">
        <v>234.39999999999995</v>
      </c>
      <c r="M21" s="297">
        <v>158.09752090800473</v>
      </c>
      <c r="N21" s="297">
        <v>199.94508107145228</v>
      </c>
      <c r="P21" s="300">
        <v>80</v>
      </c>
      <c r="Q21" s="135">
        <f>IF(B21*$Q$5*24*3600/$AE$3/10^6&gt;$AE$2,$AE$2,B21*$Q$5*24*3600/$AE$3/10^6)</f>
        <v>40.086869955419836</v>
      </c>
      <c r="R21" s="135">
        <f>IF(C21*$R$5*24*3600/$AE$3/10^6&gt;$AE$2,$AE$2,C21*$R$5*24*3600/$AE$3/10^6)</f>
        <v>24.168520305343513</v>
      </c>
      <c r="S21" s="135">
        <f>IF(D21*$S$5*24*3600/$AE$3/10^6&gt;$AE$2,$AE$2,D21*$S$5*24*3600/$AE$3/10^6)</f>
        <v>19.865140763358784</v>
      </c>
      <c r="T21" s="135">
        <f>IF(E21*$T$5*24*3600/$AE$3/10^6&gt;$AE$2,$AE$2,E21*$T$5*24*3600/$AE$3/10^6)</f>
        <v>20.094925190839696</v>
      </c>
      <c r="U21" s="135">
        <f>IF(F21*$U$5*24*3600/$AE$3/10^6&gt;$AE$2,$AE$2,F21*$U$5*24*3600/$AE$3/10^6)</f>
        <v>29.643546870229002</v>
      </c>
      <c r="V21" s="135">
        <f>IF(G21*$V$5*24*3600/$AE$3/10^6&gt;$AE$2,$AE$2,G21*$V$5*24*3600/$AE$3/10^6)</f>
        <v>49.830297893129774</v>
      </c>
      <c r="W21" s="135">
        <f>IF(H21*$W$5*24*3600/$AE$3/10^6&gt;$AE$2,$AE$2,H21*$W$5*24*3600/$AE$3/10^6)</f>
        <v>69.597508396946566</v>
      </c>
      <c r="X21" s="135">
        <f>IF(I21*$X$5*24*3600/$AE$3/10^6&gt;$AE$2,$AE$2,I21*$X$5*24*3600/$AE$3/10^6)</f>
        <v>95.0320854961832</v>
      </c>
      <c r="Y21" s="135">
        <f>IF(J21*$Y$5*24*3600/$AE$3/10^6&gt;$AE$2,$AE$2,J21*$Y$5*24*3600/$AE$3/10^6)</f>
        <v>130.51016793893126</v>
      </c>
      <c r="Z21" s="135">
        <f>IF(K21*$Z$5*24*3600/$AE$3/10^6&gt;$AE$2,$AE$2,K21*$Z$5*24*3600/$AE$3/10^6)</f>
        <v>141.97564580152672</v>
      </c>
      <c r="AA21" s="135">
        <f>IF(L21*$AA$5*24*3600/$AE$3/10^6&gt;$AE$2,$AE$2,L21*$AA$5*24*3600/$AE$3/10^6)</f>
        <v>92.757984732824397</v>
      </c>
      <c r="AB21" s="135">
        <f>IF(M21*$AB$5*24*3600/$AE$3/10^6&gt;$AE$2,$AE$2,M21*$AB$5*24*3600/$AE$3/10^6)</f>
        <v>64.648610687022895</v>
      </c>
      <c r="AC21" s="135">
        <f t="shared" si="4"/>
        <v>778.21130403175562</v>
      </c>
      <c r="AE21" s="25"/>
      <c r="AF21" s="25"/>
      <c r="AG21" s="25"/>
      <c r="AH21" s="25"/>
      <c r="AI21" s="25"/>
      <c r="AJ21" s="25"/>
    </row>
    <row r="22" spans="1:47">
      <c r="A22" s="296">
        <v>85</v>
      </c>
      <c r="B22" s="297">
        <v>89.406073775388293</v>
      </c>
      <c r="C22" s="297">
        <v>57.069130291005287</v>
      </c>
      <c r="D22" s="297">
        <v>44.164999999999999</v>
      </c>
      <c r="E22" s="297">
        <v>44.97</v>
      </c>
      <c r="F22" s="297">
        <v>69.040000000000006</v>
      </c>
      <c r="G22" s="297">
        <v>103.57222222222222</v>
      </c>
      <c r="H22" s="297">
        <v>157.22488172043012</v>
      </c>
      <c r="I22" s="297">
        <v>214.3</v>
      </c>
      <c r="J22" s="297">
        <v>314.45</v>
      </c>
      <c r="K22" s="297">
        <v>327.37757626342187</v>
      </c>
      <c r="L22" s="297">
        <v>208.5</v>
      </c>
      <c r="M22" s="297">
        <v>133.58056675627242</v>
      </c>
      <c r="N22" s="297">
        <v>189.845</v>
      </c>
      <c r="P22" s="300">
        <v>85</v>
      </c>
      <c r="Q22" s="301">
        <f t="shared" ref="Q22:Q24" si="20">IF(B22*$Q$5*24*3600/$AE$3/10^6&gt;$AE$2,$AE$2,B22*$Q$5*24*3600/$AE$3/10^6)</f>
        <v>36.559576793893129</v>
      </c>
      <c r="R22" s="301">
        <f t="shared" ref="R22:R24" si="21">IF(C22*$R$5*24*3600/$AE$3/10^6&gt;$AE$2,$AE$2,C22*$R$5*24*3600/$AE$3/10^6)</f>
        <v>21.830902726281348</v>
      </c>
      <c r="S22" s="301">
        <f t="shared" ref="S22:S24" si="22">IF(D22*$S$5*24*3600/$AE$3/10^6&gt;$AE$2,$AE$2,D22*$S$5*24*3600/$AE$3/10^6)</f>
        <v>18.05977648854962</v>
      </c>
      <c r="T22" s="301">
        <f t="shared" ref="T22:T24" si="23">IF(E22*$T$5*24*3600/$AE$3/10^6&gt;$AE$2,$AE$2,E22*$T$5*24*3600/$AE$3/10^6)</f>
        <v>17.795761832061068</v>
      </c>
      <c r="U22" s="301">
        <f t="shared" ref="U22:U24" si="24">IF(F22*$U$5*24*3600/$AE$3/10^6&gt;$AE$2,$AE$2,F22*$U$5*24*3600/$AE$3/10^6)</f>
        <v>28.231562748091608</v>
      </c>
      <c r="V22" s="301">
        <f t="shared" ref="V22:V24" si="25">IF(G22*$V$5*24*3600/$AE$3/10^6&gt;$AE$2,$AE$2,G22*$V$5*24*3600/$AE$3/10^6)</f>
        <v>40.986137404580155</v>
      </c>
      <c r="W22" s="301">
        <f t="shared" ref="W22:W24" si="26">IF(H22*$W$5*24*3600/$AE$3/10^6&gt;$AE$2,$AE$2,H22*$W$5*24*3600/$AE$3/10^6)</f>
        <v>64.291774534351148</v>
      </c>
      <c r="X22" s="301">
        <f t="shared" ref="X22:X24" si="27">IF(I22*$X$5*24*3600/$AE$3/10^6&gt;$AE$2,$AE$2,I22*$X$5*24*3600/$AE$3/10^6)</f>
        <v>87.630705343511451</v>
      </c>
      <c r="Y22" s="301">
        <f t="shared" ref="Y22:Y24" si="28">IF(J22*$Y$5*24*3600/$AE$3/10^6&gt;$AE$2,$AE$2,J22*$Y$5*24*3600/$AE$3/10^6)</f>
        <v>124.43578625954198</v>
      </c>
      <c r="Z22" s="301">
        <f t="shared" ref="Z22:Z24" si="29">IF(K22*$Z$5*24*3600/$AE$3/10^6&gt;$AE$2,$AE$2,K22*$Z$5*24*3600/$AE$3/10^6)</f>
        <v>133.86993897159527</v>
      </c>
      <c r="AA22" s="301">
        <f t="shared" ref="AA22:AA24" si="30">IF(L22*$AA$5*24*3600/$AE$3/10^6&gt;$AE$2,$AE$2,L22*$AA$5*24*3600/$AE$3/10^6)</f>
        <v>82.508702290076343</v>
      </c>
      <c r="AB22" s="301">
        <f t="shared" ref="AB22:AB24" si="31">IF(M22*$AB$5*24*3600/$AE$3/10^6&gt;$AE$2,$AE$2,M22*$AB$5*24*3600/$AE$3/10^6)</f>
        <v>54.623235114503828</v>
      </c>
      <c r="AC22" s="301">
        <f t="shared" si="4"/>
        <v>710.82386050703701</v>
      </c>
    </row>
    <row r="23" spans="1:47">
      <c r="A23" s="296">
        <v>90</v>
      </c>
      <c r="B23" s="297">
        <v>83.98</v>
      </c>
      <c r="C23" s="297">
        <v>54.01</v>
      </c>
      <c r="D23" s="297">
        <v>42.84</v>
      </c>
      <c r="E23" s="297">
        <v>40.58</v>
      </c>
      <c r="F23" s="297">
        <v>62.65</v>
      </c>
      <c r="G23" s="297">
        <v>93.449999999999989</v>
      </c>
      <c r="H23" s="297">
        <v>135.19999999999999</v>
      </c>
      <c r="I23" s="297">
        <v>202.82436529271206</v>
      </c>
      <c r="J23" s="297">
        <v>240.4</v>
      </c>
      <c r="K23" s="297">
        <v>304.4013888888889</v>
      </c>
      <c r="L23" s="297">
        <v>187</v>
      </c>
      <c r="M23" s="297">
        <v>117.7709005376344</v>
      </c>
      <c r="N23" s="297">
        <v>184.78333333333333</v>
      </c>
      <c r="P23" s="300">
        <v>90</v>
      </c>
      <c r="Q23" s="301">
        <f t="shared" si="20"/>
        <v>34.340768244274813</v>
      </c>
      <c r="R23" s="301">
        <f t="shared" si="21"/>
        <v>20.660680305343512</v>
      </c>
      <c r="S23" s="301">
        <f t="shared" si="22"/>
        <v>17.517962748091609</v>
      </c>
      <c r="T23" s="301">
        <f t="shared" si="23"/>
        <v>16.058528244274811</v>
      </c>
      <c r="U23" s="301">
        <f t="shared" si="24"/>
        <v>25.6185893129771</v>
      </c>
      <c r="V23" s="301">
        <f t="shared" si="25"/>
        <v>36.980519083969462</v>
      </c>
      <c r="W23" s="301">
        <f t="shared" si="26"/>
        <v>55.285447328244267</v>
      </c>
      <c r="X23" s="301">
        <f t="shared" si="27"/>
        <v>82.938134351145038</v>
      </c>
      <c r="Y23" s="301">
        <f t="shared" si="28"/>
        <v>95.132335877862602</v>
      </c>
      <c r="Z23" s="301">
        <f t="shared" si="29"/>
        <v>124.47460763358779</v>
      </c>
      <c r="AA23" s="301">
        <f t="shared" si="30"/>
        <v>74.000610687022913</v>
      </c>
      <c r="AB23" s="301">
        <f t="shared" si="31"/>
        <v>48.158409160305339</v>
      </c>
      <c r="AC23" s="301">
        <f t="shared" si="4"/>
        <v>631.1665929770993</v>
      </c>
    </row>
    <row r="24" spans="1:47">
      <c r="A24" s="298">
        <v>95</v>
      </c>
      <c r="B24" s="299">
        <v>72.715000000000003</v>
      </c>
      <c r="C24" s="299">
        <v>47.695000000000007</v>
      </c>
      <c r="D24" s="299">
        <v>37.79</v>
      </c>
      <c r="E24" s="299">
        <v>32.64500000000001</v>
      </c>
      <c r="F24" s="299">
        <v>59.029919354838711</v>
      </c>
      <c r="G24" s="299">
        <v>84.580000000000013</v>
      </c>
      <c r="H24" s="299">
        <v>124.10000000000001</v>
      </c>
      <c r="I24" s="299">
        <v>189.9523353494624</v>
      </c>
      <c r="J24" s="299">
        <v>228.02846776397459</v>
      </c>
      <c r="K24" s="299">
        <v>267.11478494623651</v>
      </c>
      <c r="L24" s="299">
        <v>150.46761574074077</v>
      </c>
      <c r="M24" s="299">
        <v>105.2</v>
      </c>
      <c r="N24" s="299">
        <v>147.80250000000007</v>
      </c>
      <c r="P24" s="300">
        <v>95</v>
      </c>
      <c r="Q24" s="301">
        <f t="shared" si="20"/>
        <v>29.734329160305343</v>
      </c>
      <c r="R24" s="301">
        <f t="shared" si="21"/>
        <v>18.244975877862593</v>
      </c>
      <c r="S24" s="301">
        <f t="shared" si="22"/>
        <v>15.45293679389313</v>
      </c>
      <c r="T24" s="301">
        <f t="shared" si="23"/>
        <v>12.918448854961836</v>
      </c>
      <c r="U24" s="301">
        <f t="shared" si="24"/>
        <v>24.138280305343514</v>
      </c>
      <c r="V24" s="301">
        <f t="shared" si="25"/>
        <v>33.470436641221383</v>
      </c>
      <c r="W24" s="301">
        <f t="shared" si="26"/>
        <v>50.746479389312988</v>
      </c>
      <c r="X24" s="301">
        <f t="shared" si="27"/>
        <v>77.674554961832072</v>
      </c>
      <c r="Y24" s="301">
        <f t="shared" si="28"/>
        <v>90.236608922781997</v>
      </c>
      <c r="Z24" s="301">
        <f t="shared" si="29"/>
        <v>109.2275175572519</v>
      </c>
      <c r="AA24" s="301">
        <f t="shared" si="30"/>
        <v>59.543825954198489</v>
      </c>
      <c r="AB24" s="301">
        <f t="shared" si="31"/>
        <v>43.017966412213745</v>
      </c>
      <c r="AC24" s="301">
        <f t="shared" si="4"/>
        <v>564.40636083117897</v>
      </c>
    </row>
    <row r="25" spans="1:47">
      <c r="A25" s="281" t="s">
        <v>55</v>
      </c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O355"/>
  <sheetViews>
    <sheetView workbookViewId="0">
      <pane ySplit="2" topLeftCell="A335" activePane="bottomLeft" state="frozen"/>
      <selection pane="bottomLeft" activeCell="D348" sqref="D348:O348"/>
    </sheetView>
  </sheetViews>
  <sheetFormatPr defaultRowHeight="15"/>
  <cols>
    <col min="1" max="1" width="20" customWidth="1"/>
    <col min="3" max="3" width="12.140625" customWidth="1"/>
    <col min="18" max="18" width="10.42578125" bestFit="1" customWidth="1"/>
  </cols>
  <sheetData>
    <row r="1" spans="1:145" ht="60.75">
      <c r="A1" s="359" t="s">
        <v>58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1" t="s">
        <v>59</v>
      </c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  <c r="AJ1" s="351"/>
      <c r="AK1" s="351"/>
      <c r="AL1" s="351"/>
      <c r="AM1" s="351"/>
      <c r="AN1" s="351"/>
      <c r="AO1" s="351"/>
      <c r="AP1" s="351"/>
      <c r="AQ1" s="351"/>
      <c r="AR1" s="351"/>
      <c r="AS1" s="351"/>
      <c r="AT1" s="351"/>
      <c r="AU1" s="351"/>
      <c r="AV1" s="351"/>
      <c r="AW1" s="351"/>
      <c r="AX1" s="351"/>
      <c r="AY1" s="351"/>
      <c r="AZ1" s="351"/>
      <c r="BA1" s="351"/>
      <c r="BB1" s="351"/>
      <c r="BC1" s="351"/>
      <c r="BD1" s="351"/>
      <c r="BE1" s="351"/>
      <c r="BF1" s="351"/>
      <c r="BG1" s="351"/>
      <c r="BH1" s="351"/>
      <c r="BI1" s="351"/>
      <c r="BJ1" s="351"/>
      <c r="BK1" s="351"/>
      <c r="BL1" s="351"/>
      <c r="BM1" s="351"/>
      <c r="BN1" s="351"/>
      <c r="BO1" s="351"/>
      <c r="BP1" s="351"/>
      <c r="BQ1" s="351"/>
      <c r="BR1" s="351"/>
      <c r="BS1" s="351"/>
      <c r="BT1" s="351"/>
      <c r="BU1" s="351"/>
      <c r="BV1" s="351"/>
      <c r="BW1" s="351"/>
      <c r="BX1" s="351"/>
      <c r="BY1" s="351"/>
      <c r="BZ1" s="351"/>
      <c r="CA1" s="351"/>
      <c r="CB1" s="351"/>
      <c r="CC1" s="351"/>
      <c r="CD1" s="351"/>
      <c r="CE1" s="351"/>
      <c r="CF1" s="351"/>
      <c r="CG1" s="351"/>
      <c r="CH1" s="351"/>
      <c r="CI1" s="351"/>
      <c r="CJ1" s="351"/>
      <c r="CK1" s="351"/>
      <c r="CL1" s="351"/>
      <c r="CM1" s="351"/>
      <c r="CN1" s="351"/>
      <c r="CO1" s="351"/>
      <c r="CP1" s="351"/>
      <c r="CQ1" s="351"/>
      <c r="CR1" s="351"/>
      <c r="CS1" s="351"/>
      <c r="CT1" s="351"/>
      <c r="CU1" s="351"/>
      <c r="CV1" s="351"/>
      <c r="CW1" s="351"/>
      <c r="CX1" s="351"/>
      <c r="CY1" s="351"/>
      <c r="CZ1" s="351"/>
      <c r="DA1" s="351"/>
      <c r="DB1" s="351"/>
      <c r="DC1" s="351"/>
      <c r="DD1" s="351"/>
      <c r="DE1" s="351"/>
      <c r="DF1" s="351"/>
      <c r="DG1" s="351"/>
      <c r="DH1" s="351"/>
      <c r="DI1" s="351"/>
      <c r="DJ1" s="351"/>
      <c r="DK1" s="351"/>
      <c r="DL1" s="351"/>
      <c r="DM1" s="351"/>
      <c r="DN1" s="351"/>
      <c r="DO1" s="351"/>
      <c r="DP1" s="351"/>
      <c r="DQ1" s="351"/>
      <c r="DR1" s="351"/>
      <c r="DS1" s="351"/>
      <c r="DT1" s="351"/>
      <c r="DU1" s="351"/>
      <c r="DV1" s="351"/>
      <c r="DW1" s="351"/>
      <c r="DX1" s="351"/>
      <c r="DY1" s="351"/>
      <c r="DZ1" s="351"/>
      <c r="EA1" s="351"/>
      <c r="EB1" s="351"/>
      <c r="EC1" s="351"/>
      <c r="ED1" s="351"/>
      <c r="EE1" s="351"/>
      <c r="EF1" s="351"/>
      <c r="EG1" s="351"/>
    </row>
    <row r="2" spans="1:145">
      <c r="A2" s="30" t="s">
        <v>60</v>
      </c>
      <c r="B2" s="31" t="s">
        <v>61</v>
      </c>
      <c r="C2" s="31" t="s">
        <v>62</v>
      </c>
      <c r="D2" s="31" t="s">
        <v>63</v>
      </c>
      <c r="E2" s="31" t="s">
        <v>64</v>
      </c>
      <c r="F2" s="31" t="s">
        <v>65</v>
      </c>
      <c r="G2" s="31" t="s">
        <v>66</v>
      </c>
      <c r="H2" s="31" t="s">
        <v>67</v>
      </c>
      <c r="I2" s="31" t="s">
        <v>68</v>
      </c>
      <c r="J2" s="31" t="s">
        <v>69</v>
      </c>
      <c r="K2" s="31" t="s">
        <v>70</v>
      </c>
      <c r="L2" s="31" t="s">
        <v>71</v>
      </c>
      <c r="M2" s="31" t="s">
        <v>72</v>
      </c>
      <c r="N2" s="31" t="s">
        <v>73</v>
      </c>
      <c r="O2" s="31" t="s">
        <v>74</v>
      </c>
      <c r="P2" s="32" t="s">
        <v>75</v>
      </c>
      <c r="Q2" s="352" t="s">
        <v>76</v>
      </c>
      <c r="R2" s="355" t="s">
        <v>77</v>
      </c>
      <c r="S2" s="355"/>
      <c r="T2" s="356" t="s">
        <v>78</v>
      </c>
      <c r="U2" s="356"/>
      <c r="V2" s="356"/>
      <c r="W2" s="356"/>
      <c r="X2" s="356"/>
      <c r="Y2" s="356"/>
      <c r="Z2" s="347" t="s">
        <v>78</v>
      </c>
      <c r="AA2" s="347"/>
      <c r="AB2" s="347"/>
      <c r="AC2" s="347"/>
      <c r="AD2" s="347"/>
      <c r="AE2" s="347"/>
      <c r="AF2" s="347"/>
      <c r="AG2" s="347"/>
      <c r="AH2" s="347" t="s">
        <v>78</v>
      </c>
      <c r="AI2" s="347"/>
      <c r="AJ2" s="347"/>
      <c r="AK2" s="347"/>
      <c r="AL2" s="347"/>
      <c r="AM2" s="347"/>
      <c r="AN2" s="347"/>
      <c r="AO2" s="347"/>
      <c r="AP2" s="347" t="s">
        <v>78</v>
      </c>
      <c r="AQ2" s="347"/>
      <c r="AR2" s="347"/>
      <c r="AS2" s="347"/>
      <c r="AT2" s="347"/>
      <c r="AU2" s="347"/>
      <c r="AV2" s="347"/>
      <c r="AW2" s="347"/>
      <c r="AX2" s="347" t="s">
        <v>78</v>
      </c>
      <c r="AY2" s="347"/>
      <c r="AZ2" s="347"/>
      <c r="BA2" s="347"/>
      <c r="BB2" s="347"/>
      <c r="BC2" s="347"/>
      <c r="BD2" s="347"/>
      <c r="BE2" s="347"/>
      <c r="BF2" s="347" t="s">
        <v>78</v>
      </c>
      <c r="BG2" s="347"/>
      <c r="BH2" s="347"/>
      <c r="BI2" s="347"/>
      <c r="BJ2" s="347"/>
      <c r="BK2" s="347"/>
      <c r="BL2" s="347"/>
      <c r="BM2" s="347"/>
      <c r="BN2" s="357" t="s">
        <v>78</v>
      </c>
      <c r="BO2" s="357"/>
      <c r="BP2" s="357"/>
      <c r="BQ2" s="357"/>
      <c r="BR2" s="357"/>
      <c r="BS2" s="357"/>
      <c r="BT2" s="357"/>
      <c r="BU2" s="357"/>
      <c r="BV2" s="347" t="s">
        <v>78</v>
      </c>
      <c r="BW2" s="347"/>
      <c r="BX2" s="347"/>
      <c r="BY2" s="347"/>
      <c r="BZ2" s="347"/>
      <c r="CA2" s="347"/>
      <c r="CB2" s="347"/>
      <c r="CC2" s="347"/>
      <c r="CD2" s="347" t="s">
        <v>78</v>
      </c>
      <c r="CE2" s="347"/>
      <c r="CF2" s="347"/>
      <c r="CG2" s="347"/>
      <c r="CH2" s="347"/>
      <c r="CI2" s="347"/>
      <c r="CJ2" s="347"/>
      <c r="CK2" s="347"/>
      <c r="CL2" s="347" t="s">
        <v>78</v>
      </c>
      <c r="CM2" s="347"/>
      <c r="CN2" s="347"/>
      <c r="CO2" s="347"/>
      <c r="CP2" s="347"/>
      <c r="CQ2" s="347"/>
      <c r="CR2" s="347"/>
      <c r="CS2" s="347"/>
      <c r="CT2" s="347" t="s">
        <v>78</v>
      </c>
      <c r="CU2" s="347"/>
      <c r="CV2" s="347"/>
      <c r="CW2" s="347"/>
      <c r="CX2" s="347"/>
      <c r="CY2" s="347"/>
      <c r="CZ2" s="347"/>
      <c r="DA2" s="347"/>
      <c r="DB2" s="347" t="s">
        <v>78</v>
      </c>
      <c r="DC2" s="347"/>
      <c r="DD2" s="347"/>
      <c r="DE2" s="347"/>
      <c r="DF2" s="347"/>
      <c r="DG2" s="347"/>
      <c r="DH2" s="347"/>
      <c r="DI2" s="347"/>
      <c r="DJ2" s="347" t="s">
        <v>78</v>
      </c>
      <c r="DK2" s="347"/>
      <c r="DL2" s="347"/>
      <c r="DM2" s="347"/>
      <c r="DN2" s="347"/>
      <c r="DO2" s="347"/>
      <c r="DP2" s="347"/>
      <c r="DQ2" s="347"/>
      <c r="DR2" s="347" t="s">
        <v>78</v>
      </c>
      <c r="DS2" s="347"/>
      <c r="DT2" s="347"/>
      <c r="DU2" s="347"/>
      <c r="DV2" s="347"/>
      <c r="DW2" s="347"/>
      <c r="DX2" s="347"/>
      <c r="DY2" s="347"/>
      <c r="DZ2" s="342" t="s">
        <v>78</v>
      </c>
      <c r="EA2" s="342"/>
      <c r="EB2" s="342"/>
      <c r="EC2" s="342"/>
      <c r="ED2" s="342"/>
      <c r="EE2" s="342"/>
      <c r="EF2" s="342"/>
      <c r="EG2" s="342"/>
      <c r="EH2" s="342" t="s">
        <v>78</v>
      </c>
      <c r="EI2" s="342"/>
      <c r="EJ2" s="342"/>
      <c r="EK2" s="342"/>
      <c r="EL2" s="342"/>
      <c r="EM2" s="342"/>
      <c r="EN2" s="342"/>
      <c r="EO2" s="342"/>
    </row>
    <row r="3" spans="1:145" ht="24">
      <c r="A3" s="343" t="s">
        <v>79</v>
      </c>
      <c r="B3" s="330" t="s">
        <v>80</v>
      </c>
      <c r="C3" s="33" t="s">
        <v>81</v>
      </c>
      <c r="D3" s="34">
        <v>20.012599999999999</v>
      </c>
      <c r="E3" s="34">
        <v>19.137</v>
      </c>
      <c r="F3" s="34">
        <v>21.254799999999999</v>
      </c>
      <c r="G3" s="34">
        <v>20.611799999999999</v>
      </c>
      <c r="H3" s="34">
        <v>19.579999999999998</v>
      </c>
      <c r="I3" s="34">
        <v>18.25</v>
      </c>
      <c r="J3" s="34">
        <v>21.489799999999999</v>
      </c>
      <c r="K3" s="34">
        <v>25.6084</v>
      </c>
      <c r="L3" s="34">
        <v>33.052200000000006</v>
      </c>
      <c r="M3" s="34">
        <v>33.178399999999996</v>
      </c>
      <c r="N3" s="34">
        <v>25.687799999999999</v>
      </c>
      <c r="O3" s="34">
        <v>23.195600000000002</v>
      </c>
      <c r="P3" s="35">
        <v>281.05839999999995</v>
      </c>
      <c r="Q3" s="353"/>
      <c r="R3" s="345" t="s">
        <v>82</v>
      </c>
      <c r="S3" s="345"/>
      <c r="T3" s="346" t="s">
        <v>83</v>
      </c>
      <c r="U3" s="346"/>
      <c r="V3" s="346"/>
      <c r="W3" s="346"/>
      <c r="X3" s="346"/>
      <c r="Y3" s="346"/>
      <c r="Z3" s="341">
        <v>2009</v>
      </c>
      <c r="AA3" s="341"/>
      <c r="AB3" s="341"/>
      <c r="AC3" s="341"/>
      <c r="AD3" s="341"/>
      <c r="AE3" s="341"/>
      <c r="AF3" s="341"/>
      <c r="AG3" s="341"/>
      <c r="AH3" s="341">
        <v>2010</v>
      </c>
      <c r="AI3" s="341"/>
      <c r="AJ3" s="341"/>
      <c r="AK3" s="341"/>
      <c r="AL3" s="341"/>
      <c r="AM3" s="341"/>
      <c r="AN3" s="341"/>
      <c r="AO3" s="341"/>
      <c r="AP3" s="341">
        <v>2011</v>
      </c>
      <c r="AQ3" s="341"/>
      <c r="AR3" s="341"/>
      <c r="AS3" s="341"/>
      <c r="AT3" s="341"/>
      <c r="AU3" s="341"/>
      <c r="AV3" s="341"/>
      <c r="AW3" s="341"/>
      <c r="AX3" s="341">
        <v>2012</v>
      </c>
      <c r="AY3" s="341"/>
      <c r="AZ3" s="341"/>
      <c r="BA3" s="341"/>
      <c r="BB3" s="341"/>
      <c r="BC3" s="341"/>
      <c r="BD3" s="341"/>
      <c r="BE3" s="341"/>
      <c r="BF3" s="341">
        <v>2013</v>
      </c>
      <c r="BG3" s="341"/>
      <c r="BH3" s="341"/>
      <c r="BI3" s="341"/>
      <c r="BJ3" s="341"/>
      <c r="BK3" s="341"/>
      <c r="BL3" s="341"/>
      <c r="BM3" s="341"/>
      <c r="BN3" s="349">
        <v>2014</v>
      </c>
      <c r="BO3" s="349"/>
      <c r="BP3" s="349"/>
      <c r="BQ3" s="349"/>
      <c r="BR3" s="349"/>
      <c r="BS3" s="349"/>
      <c r="BT3" s="349"/>
      <c r="BU3" s="349"/>
      <c r="BV3" s="341">
        <v>2015</v>
      </c>
      <c r="BW3" s="341"/>
      <c r="BX3" s="341"/>
      <c r="BY3" s="341"/>
      <c r="BZ3" s="341"/>
      <c r="CA3" s="341"/>
      <c r="CB3" s="341"/>
      <c r="CC3" s="341"/>
      <c r="CD3" s="341">
        <v>2016</v>
      </c>
      <c r="CE3" s="341"/>
      <c r="CF3" s="341"/>
      <c r="CG3" s="341"/>
      <c r="CH3" s="341"/>
      <c r="CI3" s="341"/>
      <c r="CJ3" s="341"/>
      <c r="CK3" s="341"/>
      <c r="CL3" s="341">
        <v>2017</v>
      </c>
      <c r="CM3" s="341"/>
      <c r="CN3" s="341"/>
      <c r="CO3" s="341"/>
      <c r="CP3" s="341"/>
      <c r="CQ3" s="341"/>
      <c r="CR3" s="341"/>
      <c r="CS3" s="341"/>
      <c r="CT3" s="341">
        <v>2018</v>
      </c>
      <c r="CU3" s="341"/>
      <c r="CV3" s="341"/>
      <c r="CW3" s="341"/>
      <c r="CX3" s="341"/>
      <c r="CY3" s="341"/>
      <c r="CZ3" s="341"/>
      <c r="DA3" s="341"/>
      <c r="DB3" s="341">
        <v>2019</v>
      </c>
      <c r="DC3" s="341"/>
      <c r="DD3" s="341"/>
      <c r="DE3" s="341"/>
      <c r="DF3" s="341"/>
      <c r="DG3" s="341"/>
      <c r="DH3" s="341"/>
      <c r="DI3" s="341"/>
      <c r="DJ3" s="341">
        <v>2020</v>
      </c>
      <c r="DK3" s="341"/>
      <c r="DL3" s="341"/>
      <c r="DM3" s="341"/>
      <c r="DN3" s="341"/>
      <c r="DO3" s="341"/>
      <c r="DP3" s="341"/>
      <c r="DQ3" s="341"/>
      <c r="DR3" s="341">
        <v>2021</v>
      </c>
      <c r="DS3" s="341"/>
      <c r="DT3" s="341"/>
      <c r="DU3" s="341"/>
      <c r="DV3" s="341"/>
      <c r="DW3" s="341"/>
      <c r="DX3" s="341"/>
      <c r="DY3" s="341"/>
      <c r="DZ3" s="348">
        <v>2022</v>
      </c>
      <c r="EA3" s="348"/>
      <c r="EB3" s="348"/>
      <c r="EC3" s="348"/>
      <c r="ED3" s="348"/>
      <c r="EE3" s="348"/>
      <c r="EF3" s="348"/>
      <c r="EG3" s="348"/>
      <c r="EH3" s="348">
        <v>2023</v>
      </c>
      <c r="EI3" s="348"/>
      <c r="EJ3" s="348"/>
      <c r="EK3" s="348"/>
      <c r="EL3" s="348"/>
      <c r="EM3" s="348"/>
      <c r="EN3" s="348"/>
      <c r="EO3" s="348"/>
    </row>
    <row r="4" spans="1:145">
      <c r="A4" s="343"/>
      <c r="B4" s="330"/>
      <c r="C4" s="33" t="s">
        <v>84</v>
      </c>
      <c r="D4" s="34">
        <v>27.482865999999945</v>
      </c>
      <c r="E4" s="34">
        <v>23.3977286000001</v>
      </c>
      <c r="F4" s="34">
        <v>27.826170199999979</v>
      </c>
      <c r="G4" s="34">
        <v>21.379952600000017</v>
      </c>
      <c r="H4" s="34">
        <v>18.64140539999995</v>
      </c>
      <c r="I4" s="34">
        <v>20.563320400000045</v>
      </c>
      <c r="J4" s="34">
        <v>22.05791840000013</v>
      </c>
      <c r="K4" s="34">
        <v>34.97811519999992</v>
      </c>
      <c r="L4" s="34">
        <v>41.851066399999986</v>
      </c>
      <c r="M4" s="34">
        <v>44.399088000000077</v>
      </c>
      <c r="N4" s="34">
        <v>45.931951999999974</v>
      </c>
      <c r="O4" s="34">
        <v>35.958660399999928</v>
      </c>
      <c r="P4" s="35">
        <v>364.46824360000005</v>
      </c>
      <c r="Q4" s="353"/>
      <c r="R4" s="350" t="s">
        <v>85</v>
      </c>
      <c r="S4" s="350"/>
      <c r="T4" s="358" t="s">
        <v>86</v>
      </c>
      <c r="U4" s="358"/>
      <c r="V4" s="358" t="s">
        <v>80</v>
      </c>
      <c r="W4" s="358"/>
      <c r="X4" s="358" t="s">
        <v>87</v>
      </c>
      <c r="Y4" s="358"/>
      <c r="Z4" s="341" t="s">
        <v>75</v>
      </c>
      <c r="AA4" s="341"/>
      <c r="AB4" s="341" t="s">
        <v>80</v>
      </c>
      <c r="AC4" s="341"/>
      <c r="AD4" s="341" t="s">
        <v>87</v>
      </c>
      <c r="AE4" s="341"/>
      <c r="AF4" s="341" t="s">
        <v>75</v>
      </c>
      <c r="AG4" s="341"/>
      <c r="AH4" s="341" t="s">
        <v>86</v>
      </c>
      <c r="AI4" s="341"/>
      <c r="AJ4" s="341" t="s">
        <v>80</v>
      </c>
      <c r="AK4" s="341"/>
      <c r="AL4" s="341" t="s">
        <v>87</v>
      </c>
      <c r="AM4" s="341"/>
      <c r="AN4" s="341" t="s">
        <v>75</v>
      </c>
      <c r="AO4" s="341"/>
      <c r="AP4" s="341" t="s">
        <v>86</v>
      </c>
      <c r="AQ4" s="341"/>
      <c r="AR4" s="341" t="s">
        <v>80</v>
      </c>
      <c r="AS4" s="341"/>
      <c r="AT4" s="341" t="s">
        <v>87</v>
      </c>
      <c r="AU4" s="341"/>
      <c r="AV4" s="341" t="s">
        <v>75</v>
      </c>
      <c r="AW4" s="341"/>
      <c r="AX4" s="341" t="s">
        <v>86</v>
      </c>
      <c r="AY4" s="341"/>
      <c r="AZ4" s="341" t="s">
        <v>80</v>
      </c>
      <c r="BA4" s="341"/>
      <c r="BB4" s="341" t="s">
        <v>87</v>
      </c>
      <c r="BC4" s="341"/>
      <c r="BD4" s="341" t="s">
        <v>75</v>
      </c>
      <c r="BE4" s="341"/>
      <c r="BF4" s="341" t="s">
        <v>86</v>
      </c>
      <c r="BG4" s="341"/>
      <c r="BH4" s="341" t="s">
        <v>80</v>
      </c>
      <c r="BI4" s="341"/>
      <c r="BJ4" s="341" t="s">
        <v>87</v>
      </c>
      <c r="BK4" s="341"/>
      <c r="BL4" s="341" t="s">
        <v>75</v>
      </c>
      <c r="BM4" s="341"/>
      <c r="BN4" s="341" t="s">
        <v>86</v>
      </c>
      <c r="BO4" s="341"/>
      <c r="BP4" s="341" t="s">
        <v>80</v>
      </c>
      <c r="BQ4" s="341"/>
      <c r="BR4" s="341" t="s">
        <v>87</v>
      </c>
      <c r="BS4" s="341"/>
      <c r="BT4" s="341" t="s">
        <v>75</v>
      </c>
      <c r="BU4" s="341"/>
      <c r="BV4" s="341" t="s">
        <v>86</v>
      </c>
      <c r="BW4" s="341"/>
      <c r="BX4" s="341" t="s">
        <v>80</v>
      </c>
      <c r="BY4" s="341"/>
      <c r="BZ4" s="341" t="s">
        <v>87</v>
      </c>
      <c r="CA4" s="341"/>
      <c r="CB4" s="341" t="s">
        <v>75</v>
      </c>
      <c r="CC4" s="341"/>
      <c r="CD4" s="341" t="s">
        <v>86</v>
      </c>
      <c r="CE4" s="341"/>
      <c r="CF4" s="341" t="s">
        <v>80</v>
      </c>
      <c r="CG4" s="341"/>
      <c r="CH4" s="341" t="s">
        <v>87</v>
      </c>
      <c r="CI4" s="341"/>
      <c r="CJ4" s="341" t="s">
        <v>75</v>
      </c>
      <c r="CK4" s="341"/>
      <c r="CL4" s="341" t="s">
        <v>86</v>
      </c>
      <c r="CM4" s="341"/>
      <c r="CN4" s="341" t="s">
        <v>80</v>
      </c>
      <c r="CO4" s="341"/>
      <c r="CP4" s="341" t="s">
        <v>87</v>
      </c>
      <c r="CQ4" s="341"/>
      <c r="CR4" s="341" t="s">
        <v>75</v>
      </c>
      <c r="CS4" s="341"/>
      <c r="CT4" s="341" t="s">
        <v>86</v>
      </c>
      <c r="CU4" s="341"/>
      <c r="CV4" s="341" t="s">
        <v>80</v>
      </c>
      <c r="CW4" s="341"/>
      <c r="CX4" s="341" t="s">
        <v>87</v>
      </c>
      <c r="CY4" s="341"/>
      <c r="CZ4" s="341" t="s">
        <v>75</v>
      </c>
      <c r="DA4" s="341"/>
      <c r="DB4" s="341" t="s">
        <v>86</v>
      </c>
      <c r="DC4" s="341"/>
      <c r="DD4" s="341" t="s">
        <v>80</v>
      </c>
      <c r="DE4" s="341"/>
      <c r="DF4" s="341" t="s">
        <v>87</v>
      </c>
      <c r="DG4" s="341"/>
      <c r="DH4" s="341" t="s">
        <v>75</v>
      </c>
      <c r="DI4" s="341"/>
      <c r="DJ4" s="341" t="s">
        <v>86</v>
      </c>
      <c r="DK4" s="341"/>
      <c r="DL4" s="341" t="s">
        <v>80</v>
      </c>
      <c r="DM4" s="341"/>
      <c r="DN4" s="341" t="s">
        <v>87</v>
      </c>
      <c r="DO4" s="341"/>
      <c r="DP4" s="341" t="s">
        <v>75</v>
      </c>
      <c r="DQ4" s="341"/>
      <c r="DR4" s="341" t="s">
        <v>86</v>
      </c>
      <c r="DS4" s="341"/>
      <c r="DT4" s="341" t="s">
        <v>80</v>
      </c>
      <c r="DU4" s="341"/>
      <c r="DV4" s="341" t="s">
        <v>87</v>
      </c>
      <c r="DW4" s="341"/>
      <c r="DX4" s="341" t="s">
        <v>75</v>
      </c>
      <c r="DY4" s="341"/>
      <c r="DZ4" s="340" t="s">
        <v>86</v>
      </c>
      <c r="EA4" s="340"/>
      <c r="EB4" s="340" t="s">
        <v>80</v>
      </c>
      <c r="EC4" s="340"/>
      <c r="ED4" s="340" t="s">
        <v>87</v>
      </c>
      <c r="EE4" s="340"/>
      <c r="EF4" s="340" t="s">
        <v>75</v>
      </c>
      <c r="EG4" s="340"/>
      <c r="EH4" s="340" t="s">
        <v>86</v>
      </c>
      <c r="EI4" s="340"/>
      <c r="EJ4" s="340" t="s">
        <v>80</v>
      </c>
      <c r="EK4" s="340"/>
      <c r="EL4" s="340" t="s">
        <v>87</v>
      </c>
      <c r="EM4" s="340"/>
      <c r="EN4" s="340" t="s">
        <v>75</v>
      </c>
      <c r="EO4" s="340"/>
    </row>
    <row r="5" spans="1:145">
      <c r="A5" s="343"/>
      <c r="B5" s="330"/>
      <c r="C5" s="33" t="s">
        <v>88</v>
      </c>
      <c r="D5" s="34">
        <v>27.341012599999953</v>
      </c>
      <c r="E5" s="34">
        <v>23.280361400000029</v>
      </c>
      <c r="F5" s="34">
        <v>27.687630000000002</v>
      </c>
      <c r="G5" s="34">
        <v>21.267892600000007</v>
      </c>
      <c r="H5" s="34">
        <v>18.5442058</v>
      </c>
      <c r="I5" s="34">
        <v>20.448433599999944</v>
      </c>
      <c r="J5" s="34">
        <v>21.947103800000065</v>
      </c>
      <c r="K5" s="34">
        <v>34.805094799999971</v>
      </c>
      <c r="L5" s="34">
        <v>41.643702999999974</v>
      </c>
      <c r="M5" s="34">
        <v>44.172943000000011</v>
      </c>
      <c r="N5" s="34">
        <v>45.702962599999999</v>
      </c>
      <c r="O5" s="34">
        <v>35.782625000000039</v>
      </c>
      <c r="P5" s="35">
        <v>362.62396820000004</v>
      </c>
      <c r="Q5" s="354"/>
      <c r="R5" s="72" t="s">
        <v>89</v>
      </c>
      <c r="S5" s="72" t="s">
        <v>90</v>
      </c>
      <c r="T5" s="73" t="s">
        <v>89</v>
      </c>
      <c r="U5" s="73" t="s">
        <v>90</v>
      </c>
      <c r="V5" s="73" t="s">
        <v>89</v>
      </c>
      <c r="W5" s="73" t="s">
        <v>90</v>
      </c>
      <c r="X5" s="73" t="s">
        <v>89</v>
      </c>
      <c r="Y5" s="73" t="s">
        <v>90</v>
      </c>
      <c r="Z5" s="74" t="s">
        <v>89</v>
      </c>
      <c r="AA5" s="74" t="s">
        <v>90</v>
      </c>
      <c r="AB5" s="74" t="s">
        <v>89</v>
      </c>
      <c r="AC5" s="74" t="s">
        <v>90</v>
      </c>
      <c r="AD5" s="74" t="s">
        <v>89</v>
      </c>
      <c r="AE5" s="74" t="s">
        <v>90</v>
      </c>
      <c r="AF5" s="74" t="s">
        <v>89</v>
      </c>
      <c r="AG5" s="74" t="s">
        <v>90</v>
      </c>
      <c r="AH5" s="74" t="s">
        <v>89</v>
      </c>
      <c r="AI5" s="74" t="s">
        <v>90</v>
      </c>
      <c r="AJ5" s="74" t="s">
        <v>89</v>
      </c>
      <c r="AK5" s="74" t="s">
        <v>90</v>
      </c>
      <c r="AL5" s="74" t="s">
        <v>89</v>
      </c>
      <c r="AM5" s="74" t="s">
        <v>90</v>
      </c>
      <c r="AN5" s="74" t="s">
        <v>89</v>
      </c>
      <c r="AO5" s="74" t="s">
        <v>90</v>
      </c>
      <c r="AP5" s="74" t="s">
        <v>89</v>
      </c>
      <c r="AQ5" s="74" t="s">
        <v>90</v>
      </c>
      <c r="AR5" s="74" t="s">
        <v>89</v>
      </c>
      <c r="AS5" s="74" t="s">
        <v>90</v>
      </c>
      <c r="AT5" s="74" t="s">
        <v>89</v>
      </c>
      <c r="AU5" s="74" t="s">
        <v>90</v>
      </c>
      <c r="AV5" s="74" t="s">
        <v>89</v>
      </c>
      <c r="AW5" s="74" t="s">
        <v>90</v>
      </c>
      <c r="AX5" s="74" t="s">
        <v>89</v>
      </c>
      <c r="AY5" s="74" t="s">
        <v>90</v>
      </c>
      <c r="AZ5" s="74" t="s">
        <v>89</v>
      </c>
      <c r="BA5" s="74" t="s">
        <v>90</v>
      </c>
      <c r="BB5" s="74" t="s">
        <v>89</v>
      </c>
      <c r="BC5" s="74" t="s">
        <v>90</v>
      </c>
      <c r="BD5" s="74" t="s">
        <v>89</v>
      </c>
      <c r="BE5" s="74" t="s">
        <v>90</v>
      </c>
      <c r="BF5" s="74" t="s">
        <v>89</v>
      </c>
      <c r="BG5" s="74" t="s">
        <v>90</v>
      </c>
      <c r="BH5" s="74" t="s">
        <v>89</v>
      </c>
      <c r="BI5" s="74" t="s">
        <v>90</v>
      </c>
      <c r="BJ5" s="74" t="s">
        <v>89</v>
      </c>
      <c r="BK5" s="74" t="s">
        <v>90</v>
      </c>
      <c r="BL5" s="74" t="s">
        <v>89</v>
      </c>
      <c r="BM5" s="74" t="s">
        <v>90</v>
      </c>
      <c r="BN5" s="74" t="s">
        <v>89</v>
      </c>
      <c r="BO5" s="74" t="s">
        <v>90</v>
      </c>
      <c r="BP5" s="74" t="s">
        <v>89</v>
      </c>
      <c r="BQ5" s="74" t="s">
        <v>90</v>
      </c>
      <c r="BR5" s="74" t="s">
        <v>89</v>
      </c>
      <c r="BS5" s="74" t="s">
        <v>90</v>
      </c>
      <c r="BT5" s="74" t="s">
        <v>89</v>
      </c>
      <c r="BU5" s="74" t="s">
        <v>90</v>
      </c>
      <c r="BV5" s="74" t="s">
        <v>89</v>
      </c>
      <c r="BW5" s="74" t="s">
        <v>90</v>
      </c>
      <c r="BX5" s="74" t="s">
        <v>89</v>
      </c>
      <c r="BY5" s="74" t="s">
        <v>90</v>
      </c>
      <c r="BZ5" s="74" t="s">
        <v>89</v>
      </c>
      <c r="CA5" s="74" t="s">
        <v>90</v>
      </c>
      <c r="CB5" s="74" t="s">
        <v>89</v>
      </c>
      <c r="CC5" s="74" t="s">
        <v>90</v>
      </c>
      <c r="CD5" s="74" t="s">
        <v>89</v>
      </c>
      <c r="CE5" s="74" t="s">
        <v>90</v>
      </c>
      <c r="CF5" s="74" t="s">
        <v>89</v>
      </c>
      <c r="CG5" s="74" t="s">
        <v>90</v>
      </c>
      <c r="CH5" s="74" t="s">
        <v>89</v>
      </c>
      <c r="CI5" s="74" t="s">
        <v>90</v>
      </c>
      <c r="CJ5" s="74" t="s">
        <v>89</v>
      </c>
      <c r="CK5" s="74" t="s">
        <v>90</v>
      </c>
      <c r="CL5" s="74" t="s">
        <v>89</v>
      </c>
      <c r="CM5" s="74" t="s">
        <v>90</v>
      </c>
      <c r="CN5" s="74" t="s">
        <v>89</v>
      </c>
      <c r="CO5" s="74" t="s">
        <v>90</v>
      </c>
      <c r="CP5" s="74" t="s">
        <v>89</v>
      </c>
      <c r="CQ5" s="74" t="s">
        <v>90</v>
      </c>
      <c r="CR5" s="74" t="s">
        <v>89</v>
      </c>
      <c r="CS5" s="74" t="s">
        <v>90</v>
      </c>
      <c r="CT5" s="74" t="s">
        <v>89</v>
      </c>
      <c r="CU5" s="74" t="s">
        <v>90</v>
      </c>
      <c r="CV5" s="74" t="s">
        <v>89</v>
      </c>
      <c r="CW5" s="74" t="s">
        <v>90</v>
      </c>
      <c r="CX5" s="74" t="s">
        <v>89</v>
      </c>
      <c r="CY5" s="74" t="s">
        <v>90</v>
      </c>
      <c r="CZ5" s="74" t="s">
        <v>89</v>
      </c>
      <c r="DA5" s="74" t="s">
        <v>90</v>
      </c>
      <c r="DB5" s="74" t="s">
        <v>89</v>
      </c>
      <c r="DC5" s="74" t="s">
        <v>90</v>
      </c>
      <c r="DD5" s="74" t="s">
        <v>89</v>
      </c>
      <c r="DE5" s="74" t="s">
        <v>90</v>
      </c>
      <c r="DF5" s="74" t="s">
        <v>89</v>
      </c>
      <c r="DG5" s="74" t="s">
        <v>90</v>
      </c>
      <c r="DH5" s="74" t="s">
        <v>89</v>
      </c>
      <c r="DI5" s="74" t="s">
        <v>90</v>
      </c>
      <c r="DJ5" s="74" t="s">
        <v>89</v>
      </c>
      <c r="DK5" s="74" t="s">
        <v>90</v>
      </c>
      <c r="DL5" s="74" t="s">
        <v>89</v>
      </c>
      <c r="DM5" s="74" t="s">
        <v>90</v>
      </c>
      <c r="DN5" s="74" t="s">
        <v>89</v>
      </c>
      <c r="DO5" s="74" t="s">
        <v>90</v>
      </c>
      <c r="DP5" s="74" t="s">
        <v>89</v>
      </c>
      <c r="DQ5" s="74" t="s">
        <v>90</v>
      </c>
      <c r="DR5" s="74" t="s">
        <v>89</v>
      </c>
      <c r="DS5" s="74" t="s">
        <v>90</v>
      </c>
      <c r="DT5" s="74" t="s">
        <v>89</v>
      </c>
      <c r="DU5" s="74" t="s">
        <v>90</v>
      </c>
      <c r="DV5" s="74" t="s">
        <v>89</v>
      </c>
      <c r="DW5" s="74" t="s">
        <v>90</v>
      </c>
      <c r="DX5" s="74" t="s">
        <v>89</v>
      </c>
      <c r="DY5" s="74" t="s">
        <v>90</v>
      </c>
      <c r="DZ5" s="75" t="s">
        <v>89</v>
      </c>
      <c r="EA5" s="75" t="s">
        <v>90</v>
      </c>
      <c r="EB5" s="75" t="s">
        <v>89</v>
      </c>
      <c r="EC5" s="75" t="s">
        <v>90</v>
      </c>
      <c r="ED5" s="75" t="s">
        <v>89</v>
      </c>
      <c r="EE5" s="75" t="s">
        <v>90</v>
      </c>
      <c r="EF5" s="75" t="s">
        <v>89</v>
      </c>
      <c r="EG5" s="75" t="s">
        <v>90</v>
      </c>
      <c r="EH5" s="75" t="s">
        <v>89</v>
      </c>
      <c r="EI5" s="75" t="s">
        <v>90</v>
      </c>
      <c r="EJ5" s="75" t="s">
        <v>89</v>
      </c>
      <c r="EK5" s="75" t="s">
        <v>90</v>
      </c>
      <c r="EL5" s="75" t="s">
        <v>89</v>
      </c>
      <c r="EM5" s="75" t="s">
        <v>90</v>
      </c>
      <c r="EN5" s="75" t="s">
        <v>89</v>
      </c>
      <c r="EO5" s="75" t="s">
        <v>90</v>
      </c>
    </row>
    <row r="6" spans="1:145">
      <c r="A6" s="343"/>
      <c r="B6" s="330"/>
      <c r="C6" s="33" t="s">
        <v>91</v>
      </c>
      <c r="D6" s="34">
        <v>16.608000000000001</v>
      </c>
      <c r="E6" s="34">
        <v>16</v>
      </c>
      <c r="F6" s="34">
        <v>17.713999999999999</v>
      </c>
      <c r="G6" s="34">
        <v>17.154</v>
      </c>
      <c r="H6" s="34">
        <v>17.387999999999998</v>
      </c>
      <c r="I6" s="34">
        <v>17.968</v>
      </c>
      <c r="J6" s="34">
        <v>17.065999999999995</v>
      </c>
      <c r="K6" s="34">
        <v>21.248000000000001</v>
      </c>
      <c r="L6" s="34">
        <v>27.621999999999996</v>
      </c>
      <c r="M6" s="34">
        <v>27.704000000000001</v>
      </c>
      <c r="N6" s="34">
        <v>21.364000000000001</v>
      </c>
      <c r="O6" s="34">
        <v>19.428000000000004</v>
      </c>
      <c r="P6" s="35">
        <v>237.26399999999998</v>
      </c>
      <c r="Q6" s="76" t="s">
        <v>63</v>
      </c>
      <c r="R6" s="77">
        <v>1538941432</v>
      </c>
      <c r="S6" s="78">
        <v>1530842003</v>
      </c>
      <c r="T6" s="79">
        <v>779914445</v>
      </c>
      <c r="U6" s="79">
        <v>777779752</v>
      </c>
      <c r="V6" s="79">
        <v>214329950.99999985</v>
      </c>
      <c r="W6" s="79">
        <v>213007079.99999982</v>
      </c>
      <c r="X6" s="79">
        <v>544697036.00000012</v>
      </c>
      <c r="Y6" s="79">
        <v>540055171.00000012</v>
      </c>
      <c r="Z6" s="80"/>
      <c r="AA6" s="81"/>
      <c r="AB6" s="81"/>
      <c r="AC6" s="81"/>
      <c r="AD6" s="81"/>
      <c r="AE6" s="81"/>
      <c r="AF6" s="81">
        <v>0</v>
      </c>
      <c r="AG6" s="82">
        <v>0</v>
      </c>
      <c r="AH6" s="83">
        <v>48846099.999999993</v>
      </c>
      <c r="AI6" s="83">
        <v>48679800.000000015</v>
      </c>
      <c r="AJ6" s="83">
        <v>11790870</v>
      </c>
      <c r="AK6" s="83">
        <v>11715000</v>
      </c>
      <c r="AL6" s="83"/>
      <c r="AM6" s="83"/>
      <c r="AN6" s="84">
        <v>60636969.999999993</v>
      </c>
      <c r="AO6" s="84">
        <v>60394800.000000015</v>
      </c>
      <c r="AP6" s="80">
        <v>67007400.000000022</v>
      </c>
      <c r="AQ6" s="81">
        <v>66611025.999999963</v>
      </c>
      <c r="AR6" s="81">
        <v>20360220.000000007</v>
      </c>
      <c r="AS6" s="81">
        <v>20189000.000000015</v>
      </c>
      <c r="AT6" s="81">
        <v>45438944</v>
      </c>
      <c r="AU6" s="81">
        <v>45041160.000000015</v>
      </c>
      <c r="AV6" s="85">
        <v>132806564.00000003</v>
      </c>
      <c r="AW6" s="86">
        <v>131841185.99999999</v>
      </c>
      <c r="AX6" s="83">
        <v>72359699.999999925</v>
      </c>
      <c r="AY6" s="83">
        <v>72043399.999999985</v>
      </c>
      <c r="AZ6" s="83">
        <v>17593199.999999996</v>
      </c>
      <c r="BA6" s="83">
        <v>17473999.999999993</v>
      </c>
      <c r="BB6" s="83">
        <v>59674320.000000015</v>
      </c>
      <c r="BC6" s="83">
        <v>59165199.999999918</v>
      </c>
      <c r="BD6" s="84">
        <v>149627219.99999994</v>
      </c>
      <c r="BE6" s="84">
        <v>148682599.99999988</v>
      </c>
      <c r="BF6" s="80">
        <v>40030200.000000015</v>
      </c>
      <c r="BG6" s="81">
        <v>40018500.000000104</v>
      </c>
      <c r="BH6" s="81">
        <v>14871199.999999953</v>
      </c>
      <c r="BI6" s="81">
        <v>14772699.999999955</v>
      </c>
      <c r="BJ6" s="81">
        <v>29393100</v>
      </c>
      <c r="BK6" s="81">
        <v>29141300.000000015</v>
      </c>
      <c r="BL6" s="85">
        <v>84294499.99999997</v>
      </c>
      <c r="BM6" s="86">
        <v>83932500.000000075</v>
      </c>
      <c r="BN6" s="83">
        <v>57855299.999999933</v>
      </c>
      <c r="BO6" s="83">
        <v>57575499.999999933</v>
      </c>
      <c r="BP6" s="83">
        <v>25793000</v>
      </c>
      <c r="BQ6" s="83">
        <v>25629100.000000034</v>
      </c>
      <c r="BR6" s="83">
        <v>42385599.999999978</v>
      </c>
      <c r="BS6" s="83">
        <v>41998000.000000291</v>
      </c>
      <c r="BT6" s="84">
        <v>126033899.99999991</v>
      </c>
      <c r="BU6" s="84">
        <v>125202600.00000027</v>
      </c>
      <c r="BV6" s="80">
        <v>49948200.000000186</v>
      </c>
      <c r="BW6" s="81">
        <v>49864899.999999903</v>
      </c>
      <c r="BX6" s="81">
        <v>19655700.000000071</v>
      </c>
      <c r="BY6" s="81">
        <v>19536700.000000022</v>
      </c>
      <c r="BZ6" s="81">
        <v>42550300.000000045</v>
      </c>
      <c r="CA6" s="81">
        <v>42233400.000000022</v>
      </c>
      <c r="CB6" s="85">
        <v>112154200.0000003</v>
      </c>
      <c r="CC6" s="86">
        <v>111634999.99999994</v>
      </c>
      <c r="CD6" s="83">
        <v>44561899.999999911</v>
      </c>
      <c r="CE6" s="83">
        <v>44488200.000000007</v>
      </c>
      <c r="CF6" s="83">
        <v>20582000</v>
      </c>
      <c r="CG6" s="83">
        <v>20465199.999999955</v>
      </c>
      <c r="CH6" s="83">
        <v>40519900.000000142</v>
      </c>
      <c r="CI6" s="83">
        <v>40169999.999999963</v>
      </c>
      <c r="CJ6" s="84">
        <v>105663800.00000006</v>
      </c>
      <c r="CK6" s="84">
        <v>105123399.99999993</v>
      </c>
      <c r="CL6" s="80">
        <v>147317770</v>
      </c>
      <c r="CM6" s="81">
        <v>146843152</v>
      </c>
      <c r="CN6" s="81">
        <v>31364885.999999821</v>
      </c>
      <c r="CO6" s="81">
        <v>31176950</v>
      </c>
      <c r="CP6" s="81">
        <v>108607629.99999988</v>
      </c>
      <c r="CQ6" s="81">
        <v>107660688.99999978</v>
      </c>
      <c r="CR6" s="85">
        <v>287290285.9999997</v>
      </c>
      <c r="CS6" s="86">
        <v>285680790.99999976</v>
      </c>
      <c r="CT6" s="83">
        <v>125761032.99999982</v>
      </c>
      <c r="CU6" s="83">
        <v>125460580.00000018</v>
      </c>
      <c r="CV6" s="83">
        <v>29766293.000000063</v>
      </c>
      <c r="CW6" s="83">
        <v>29599117.999999844</v>
      </c>
      <c r="CX6" s="83">
        <v>84546728.999999821</v>
      </c>
      <c r="CY6" s="83">
        <v>83814540.999999896</v>
      </c>
      <c r="CZ6" s="84">
        <v>240074054.9999997</v>
      </c>
      <c r="DA6" s="84">
        <v>238874238.99999994</v>
      </c>
      <c r="DB6" s="80">
        <v>126226842.00000018</v>
      </c>
      <c r="DC6" s="81">
        <v>126194693.99999994</v>
      </c>
      <c r="DD6" s="81">
        <v>22552581.999999937</v>
      </c>
      <c r="DE6" s="81">
        <v>22449311.999999959</v>
      </c>
      <c r="DF6" s="81">
        <v>91580513.000000268</v>
      </c>
      <c r="DG6" s="81">
        <v>90830881.000000194</v>
      </c>
      <c r="DH6" s="85">
        <v>240359937.00000039</v>
      </c>
      <c r="DI6" s="86">
        <v>239474887.00000012</v>
      </c>
      <c r="DJ6" s="83">
        <v>52160716.999999247</v>
      </c>
      <c r="DK6" s="83">
        <v>52084590.000000201</v>
      </c>
      <c r="DL6" s="83">
        <v>24566246.999999974</v>
      </c>
      <c r="DM6" s="83">
        <v>24451522.999999963</v>
      </c>
      <c r="DN6" s="83">
        <v>41345302.000000142</v>
      </c>
      <c r="DO6" s="83">
        <v>41037936.999999963</v>
      </c>
      <c r="DP6" s="84">
        <v>118072265.99999937</v>
      </c>
      <c r="DQ6" s="84">
        <v>117574050.00000012</v>
      </c>
      <c r="DR6" s="80">
        <v>110368606.99999997</v>
      </c>
      <c r="DS6" s="81">
        <v>110135586</v>
      </c>
      <c r="DT6" s="81">
        <v>29164321.999999929</v>
      </c>
      <c r="DU6" s="81">
        <v>29028160</v>
      </c>
      <c r="DV6" s="81">
        <v>84770697.999999389</v>
      </c>
      <c r="DW6" s="81">
        <v>84092423</v>
      </c>
      <c r="DX6" s="85">
        <v>224303626.99999928</v>
      </c>
      <c r="DY6" s="86">
        <v>223256169</v>
      </c>
      <c r="DZ6" s="87">
        <v>122505944.8</v>
      </c>
      <c r="EA6" s="87">
        <v>121679178</v>
      </c>
      <c r="EB6" s="87">
        <v>33846495.199999996</v>
      </c>
      <c r="EC6" s="87">
        <v>33668198.100000001</v>
      </c>
      <c r="ED6" s="87">
        <v>88530286.399999991</v>
      </c>
      <c r="EE6" s="87">
        <v>87817036.399999991</v>
      </c>
      <c r="EF6" s="88">
        <f>DZ6+EB6+ED6</f>
        <v>244882726.39999998</v>
      </c>
      <c r="EG6" s="89">
        <f>EA6+EC6+EE6</f>
        <v>243164412.5</v>
      </c>
      <c r="EH6" s="87">
        <v>113135431.2</v>
      </c>
      <c r="EI6" s="87">
        <v>112590896</v>
      </c>
      <c r="EJ6" s="87">
        <v>26196023.199999999</v>
      </c>
      <c r="EK6" s="87">
        <v>26066858.300000001</v>
      </c>
      <c r="EL6" s="87">
        <v>77740175</v>
      </c>
      <c r="EM6" s="87">
        <v>77199717</v>
      </c>
      <c r="EN6" s="88">
        <f>EH6+EJ6+EL6</f>
        <v>217071629.40000001</v>
      </c>
      <c r="EO6" s="89">
        <f>EI6+EK6+EM6</f>
        <v>215857471.30000001</v>
      </c>
    </row>
    <row r="7" spans="1:145">
      <c r="A7" s="343"/>
      <c r="B7" s="330" t="s">
        <v>86</v>
      </c>
      <c r="C7" s="33" t="s">
        <v>81</v>
      </c>
      <c r="D7" s="34">
        <v>65.328800000000001</v>
      </c>
      <c r="E7" s="34">
        <v>47.069400000000002</v>
      </c>
      <c r="F7" s="34">
        <v>52.337799999999994</v>
      </c>
      <c r="G7" s="34">
        <v>52.540399999999998</v>
      </c>
      <c r="H7" s="34">
        <v>61.33420000000001</v>
      </c>
      <c r="I7" s="34">
        <v>81.823799999999991</v>
      </c>
      <c r="J7" s="34">
        <v>110.59380000000002</v>
      </c>
      <c r="K7" s="34">
        <v>114.18119999999999</v>
      </c>
      <c r="L7" s="34">
        <v>148.3766</v>
      </c>
      <c r="M7" s="34">
        <v>181.51180000000002</v>
      </c>
      <c r="N7" s="34">
        <v>153.8528</v>
      </c>
      <c r="O7" s="34">
        <v>116.42760000000001</v>
      </c>
      <c r="P7" s="35">
        <v>1185.3782000000001</v>
      </c>
      <c r="Q7" s="90" t="s">
        <v>64</v>
      </c>
      <c r="R7" s="91">
        <v>965755186.99999952</v>
      </c>
      <c r="S7" s="92">
        <v>960397428.99999952</v>
      </c>
      <c r="T7" s="79">
        <v>432445205.99999928</v>
      </c>
      <c r="U7" s="79">
        <v>431147501.99999982</v>
      </c>
      <c r="V7" s="79">
        <v>187167506.00000033</v>
      </c>
      <c r="W7" s="79">
        <v>186026109.00000006</v>
      </c>
      <c r="X7" s="79">
        <v>346142474.99999982</v>
      </c>
      <c r="Y7" s="79">
        <v>343223817.99999964</v>
      </c>
      <c r="Z7" s="93"/>
      <c r="AA7" s="83"/>
      <c r="AB7" s="83"/>
      <c r="AC7" s="83"/>
      <c r="AD7" s="83"/>
      <c r="AE7" s="83"/>
      <c r="AF7" s="83">
        <v>0</v>
      </c>
      <c r="AG7" s="94">
        <v>0</v>
      </c>
      <c r="AH7" s="83">
        <v>27393000.000000007</v>
      </c>
      <c r="AI7" s="83">
        <v>27294300.00000003</v>
      </c>
      <c r="AJ7" s="83">
        <v>12670630</v>
      </c>
      <c r="AK7" s="83">
        <v>12585500</v>
      </c>
      <c r="AL7" s="83"/>
      <c r="AM7" s="83"/>
      <c r="AN7" s="84">
        <v>40063630.000000007</v>
      </c>
      <c r="AO7" s="84">
        <v>39879800.00000003</v>
      </c>
      <c r="AP7" s="93">
        <v>33693700.000000075</v>
      </c>
      <c r="AQ7" s="83">
        <v>33573300</v>
      </c>
      <c r="AR7" s="83">
        <v>13233500</v>
      </c>
      <c r="AS7" s="83">
        <v>13135499.999999996</v>
      </c>
      <c r="AT7" s="83">
        <v>38327630</v>
      </c>
      <c r="AU7" s="83">
        <v>37992100.000000007</v>
      </c>
      <c r="AV7" s="84">
        <v>85254830.000000075</v>
      </c>
      <c r="AW7" s="95">
        <v>84700900</v>
      </c>
      <c r="AX7" s="83">
        <v>54996000</v>
      </c>
      <c r="AY7" s="83">
        <v>54739400</v>
      </c>
      <c r="AZ7" s="83">
        <v>24945170.000000037</v>
      </c>
      <c r="BA7" s="83">
        <v>24776800</v>
      </c>
      <c r="BB7" s="83">
        <v>45210730.000000015</v>
      </c>
      <c r="BC7" s="83">
        <v>44819700</v>
      </c>
      <c r="BD7" s="84">
        <v>125151900.00000004</v>
      </c>
      <c r="BE7" s="84">
        <v>124335900</v>
      </c>
      <c r="BF7" s="93">
        <v>19726500</v>
      </c>
      <c r="BG7" s="83">
        <v>19641799.999999944</v>
      </c>
      <c r="BH7" s="83">
        <v>12562000.000000058</v>
      </c>
      <c r="BI7" s="83">
        <v>12476200.000000069</v>
      </c>
      <c r="BJ7" s="83">
        <v>19736500</v>
      </c>
      <c r="BK7" s="83">
        <v>19542500</v>
      </c>
      <c r="BL7" s="84">
        <v>52025000.00000006</v>
      </c>
      <c r="BM7" s="95">
        <v>51660500.000000015</v>
      </c>
      <c r="BN7" s="83">
        <v>47695400.000000022</v>
      </c>
      <c r="BO7" s="83">
        <v>47647300</v>
      </c>
      <c r="BP7" s="83">
        <v>25095699.999999955</v>
      </c>
      <c r="BQ7" s="83">
        <v>24934500</v>
      </c>
      <c r="BR7" s="83">
        <v>40999900.000000142</v>
      </c>
      <c r="BS7" s="83">
        <v>40644200</v>
      </c>
      <c r="BT7" s="84">
        <v>113791000.00000012</v>
      </c>
      <c r="BU7" s="84">
        <v>113226000</v>
      </c>
      <c r="BV7" s="93">
        <v>28301700.000000186</v>
      </c>
      <c r="BW7" s="83">
        <v>28140100.000000093</v>
      </c>
      <c r="BX7" s="83">
        <v>16195399.999999907</v>
      </c>
      <c r="BY7" s="83">
        <v>16095599.999999931</v>
      </c>
      <c r="BZ7" s="83">
        <v>28215899.999999907</v>
      </c>
      <c r="CA7" s="83">
        <v>27977000</v>
      </c>
      <c r="CB7" s="84">
        <v>72713000</v>
      </c>
      <c r="CC7" s="95">
        <v>72212700.00000003</v>
      </c>
      <c r="CD7" s="83">
        <v>24298100.000000093</v>
      </c>
      <c r="CE7" s="83">
        <v>24290699.999999978</v>
      </c>
      <c r="CF7" s="83">
        <v>14816299.999999929</v>
      </c>
      <c r="CG7" s="83">
        <v>14733400.000000022</v>
      </c>
      <c r="CH7" s="83">
        <v>25088399.999999907</v>
      </c>
      <c r="CI7" s="83">
        <v>24870999.999999896</v>
      </c>
      <c r="CJ7" s="84">
        <v>64202799.999999925</v>
      </c>
      <c r="CK7" s="84">
        <v>63895099.999999896</v>
      </c>
      <c r="CL7" s="93">
        <v>84774964.999999851</v>
      </c>
      <c r="CM7" s="83">
        <v>84469191.99999994</v>
      </c>
      <c r="CN7" s="83">
        <v>21604490.000000108</v>
      </c>
      <c r="CO7" s="83">
        <v>21483000.000000015</v>
      </c>
      <c r="CP7" s="83">
        <v>60113165.99999997</v>
      </c>
      <c r="CQ7" s="83">
        <v>59618738.000000305</v>
      </c>
      <c r="CR7" s="84">
        <v>166492620.99999994</v>
      </c>
      <c r="CS7" s="95">
        <v>165570930.00000027</v>
      </c>
      <c r="CT7" s="83">
        <v>63206232.999999538</v>
      </c>
      <c r="CU7" s="83">
        <v>63059541.999999806</v>
      </c>
      <c r="CV7" s="83">
        <v>25200817.000000272</v>
      </c>
      <c r="CW7" s="83">
        <v>25058072.000000075</v>
      </c>
      <c r="CX7" s="83">
        <v>51033550.999999978</v>
      </c>
      <c r="CY7" s="83">
        <v>50647440.999999762</v>
      </c>
      <c r="CZ7" s="84">
        <v>139440600.99999979</v>
      </c>
      <c r="DA7" s="84">
        <v>138765054.99999964</v>
      </c>
      <c r="DB7" s="93">
        <v>48359607.999999538</v>
      </c>
      <c r="DC7" s="83">
        <v>48291868.000000015</v>
      </c>
      <c r="DD7" s="83">
        <v>20843499.000000067</v>
      </c>
      <c r="DE7" s="83">
        <v>20747536.999999993</v>
      </c>
      <c r="DF7" s="83">
        <v>37416697.999999858</v>
      </c>
      <c r="DG7" s="83">
        <v>37111138.999999732</v>
      </c>
      <c r="DH7" s="84">
        <v>106619804.99999946</v>
      </c>
      <c r="DI7" s="95">
        <v>106150543.99999973</v>
      </c>
      <c r="DJ7" s="83">
        <v>38226069.000001065</v>
      </c>
      <c r="DK7" s="83">
        <v>38112569.999999896</v>
      </c>
      <c r="DL7" s="83">
        <v>22680795.000000156</v>
      </c>
      <c r="DM7" s="83">
        <v>22578735.00000006</v>
      </c>
      <c r="DN7" s="83">
        <v>31129697.999999858</v>
      </c>
      <c r="DO7" s="83">
        <v>30819436.000000119</v>
      </c>
      <c r="DP7" s="84">
        <v>92036562.000001073</v>
      </c>
      <c r="DQ7" s="84">
        <v>91510741.000000075</v>
      </c>
      <c r="DR7" s="93">
        <v>61981315.00000076</v>
      </c>
      <c r="DS7" s="83">
        <v>61901089.999999911</v>
      </c>
      <c r="DT7" s="83">
        <v>26659041.999999903</v>
      </c>
      <c r="DU7" s="83">
        <v>26534462.999999993</v>
      </c>
      <c r="DV7" s="83">
        <v>51779504.000000656</v>
      </c>
      <c r="DW7" s="83">
        <v>51320099.999999985</v>
      </c>
      <c r="DX7" s="84">
        <v>140419861.00000131</v>
      </c>
      <c r="DY7" s="95">
        <v>139755652.99999988</v>
      </c>
      <c r="DZ7" s="87">
        <v>66919390.799999997</v>
      </c>
      <c r="EA7" s="87">
        <v>66510425</v>
      </c>
      <c r="EB7" s="87">
        <v>26111034.599999998</v>
      </c>
      <c r="EC7" s="87">
        <v>25973263.100000001</v>
      </c>
      <c r="ED7" s="87">
        <v>51253605</v>
      </c>
      <c r="EE7" s="87">
        <v>50799455.600000001</v>
      </c>
      <c r="EF7" s="88">
        <f t="shared" ref="EF7:EG18" si="0">DZ7+EB7+ED7</f>
        <v>144284030.39999998</v>
      </c>
      <c r="EG7" s="89">
        <f t="shared" si="0"/>
        <v>143283143.69999999</v>
      </c>
      <c r="EH7" s="87">
        <v>71298942.099999994</v>
      </c>
      <c r="EI7" s="87">
        <v>71061832</v>
      </c>
      <c r="EJ7" s="87">
        <v>28209338.400000002</v>
      </c>
      <c r="EK7" s="87">
        <v>28069399.199999999</v>
      </c>
      <c r="EL7" s="87">
        <v>56724158.600000001</v>
      </c>
      <c r="EM7" s="87">
        <v>56287527.800000004</v>
      </c>
      <c r="EN7" s="88">
        <f t="shared" ref="EN7:EO18" si="1">EH7+EJ7+EL7</f>
        <v>156232439.09999999</v>
      </c>
      <c r="EO7" s="89">
        <f t="shared" si="1"/>
        <v>155418759</v>
      </c>
    </row>
    <row r="8" spans="1:145">
      <c r="A8" s="343"/>
      <c r="B8" s="330"/>
      <c r="C8" s="33" t="s">
        <v>84</v>
      </c>
      <c r="D8" s="34">
        <v>112.36699379999986</v>
      </c>
      <c r="E8" s="34">
        <v>59.309638000000156</v>
      </c>
      <c r="F8" s="34">
        <v>57.871552999999835</v>
      </c>
      <c r="G8" s="34">
        <v>51.016386600000224</v>
      </c>
      <c r="H8" s="34">
        <v>66.328962000000047</v>
      </c>
      <c r="I8" s="34">
        <v>88.276149599999982</v>
      </c>
      <c r="J8" s="34">
        <v>103.10116880000007</v>
      </c>
      <c r="K8" s="34">
        <v>148.31810579999978</v>
      </c>
      <c r="L8" s="34">
        <v>173.3795922000001</v>
      </c>
      <c r="M8" s="34">
        <v>171.3402317999998</v>
      </c>
      <c r="N8" s="34">
        <v>165.82565960000017</v>
      </c>
      <c r="O8" s="34">
        <v>154.79805000000013</v>
      </c>
      <c r="P8" s="35">
        <v>1351.9324912000002</v>
      </c>
      <c r="Q8" s="90" t="s">
        <v>65</v>
      </c>
      <c r="R8" s="91">
        <v>1125272271.0000005</v>
      </c>
      <c r="S8" s="92">
        <v>1119037539.9999995</v>
      </c>
      <c r="T8" s="79">
        <v>514300375.0000003</v>
      </c>
      <c r="U8" s="79">
        <v>512774558</v>
      </c>
      <c r="V8" s="79">
        <v>260870027.99999988</v>
      </c>
      <c r="W8" s="79">
        <v>259260351.99999985</v>
      </c>
      <c r="X8" s="79">
        <v>350101868.0000003</v>
      </c>
      <c r="Y8" s="79">
        <v>347002629.99999964</v>
      </c>
      <c r="Z8" s="93">
        <v>615800</v>
      </c>
      <c r="AA8" s="83">
        <v>615800</v>
      </c>
      <c r="AB8" s="83"/>
      <c r="AC8" s="83"/>
      <c r="AD8" s="83"/>
      <c r="AE8" s="83"/>
      <c r="AF8" s="83">
        <v>615800</v>
      </c>
      <c r="AG8" s="94">
        <v>615800</v>
      </c>
      <c r="AH8" s="83">
        <v>43242500.000000015</v>
      </c>
      <c r="AI8" s="83">
        <v>42987699.999999955</v>
      </c>
      <c r="AJ8" s="83">
        <v>24795160</v>
      </c>
      <c r="AK8" s="83">
        <v>24628000.000000007</v>
      </c>
      <c r="AL8" s="83"/>
      <c r="AM8" s="83"/>
      <c r="AN8" s="84">
        <v>68037660.000000015</v>
      </c>
      <c r="AO8" s="84">
        <v>67615699.99999997</v>
      </c>
      <c r="AP8" s="93">
        <v>61754800.000000045</v>
      </c>
      <c r="AQ8" s="83">
        <v>61364900</v>
      </c>
      <c r="AR8" s="83">
        <v>32383919.999999993</v>
      </c>
      <c r="AS8" s="83">
        <v>32165799.999999985</v>
      </c>
      <c r="AT8" s="83">
        <v>40162330</v>
      </c>
      <c r="AU8" s="83">
        <v>39810700.000000022</v>
      </c>
      <c r="AV8" s="84">
        <v>134301050.00000003</v>
      </c>
      <c r="AW8" s="95">
        <v>133341400</v>
      </c>
      <c r="AX8" s="83">
        <v>64928100</v>
      </c>
      <c r="AY8" s="83">
        <v>64938700</v>
      </c>
      <c r="AZ8" s="83">
        <v>30776419.999999985</v>
      </c>
      <c r="BA8" s="83">
        <v>30569300.000000022</v>
      </c>
      <c r="BB8" s="83">
        <v>53450899.99999994</v>
      </c>
      <c r="BC8" s="83">
        <v>52984499.99999994</v>
      </c>
      <c r="BD8" s="84">
        <v>149155419.99999994</v>
      </c>
      <c r="BE8" s="84">
        <v>148492499.99999997</v>
      </c>
      <c r="BF8" s="93">
        <v>37599799.999999985</v>
      </c>
      <c r="BG8" s="83">
        <v>37428200</v>
      </c>
      <c r="BH8" s="83">
        <v>19831500</v>
      </c>
      <c r="BI8" s="83">
        <v>19697500</v>
      </c>
      <c r="BJ8" s="83">
        <v>34729000</v>
      </c>
      <c r="BK8" s="83">
        <v>34412000</v>
      </c>
      <c r="BL8" s="84">
        <v>92160299.999999985</v>
      </c>
      <c r="BM8" s="95">
        <v>91537700</v>
      </c>
      <c r="BN8" s="83">
        <v>58585300.000000045</v>
      </c>
      <c r="BO8" s="83">
        <v>58735800</v>
      </c>
      <c r="BP8" s="83">
        <v>29489099.999999978</v>
      </c>
      <c r="BQ8" s="83">
        <v>29301600</v>
      </c>
      <c r="BR8" s="83">
        <v>41354299.999999933</v>
      </c>
      <c r="BS8" s="83">
        <v>41001800</v>
      </c>
      <c r="BT8" s="84">
        <v>129428699.99999997</v>
      </c>
      <c r="BU8" s="84">
        <v>129039200</v>
      </c>
      <c r="BV8" s="93">
        <v>35698799.999999814</v>
      </c>
      <c r="BW8" s="83">
        <v>35339399.999999903</v>
      </c>
      <c r="BX8" s="83">
        <v>21992599.999999978</v>
      </c>
      <c r="BY8" s="83">
        <v>21840899.999999993</v>
      </c>
      <c r="BZ8" s="83">
        <v>25004600.000000328</v>
      </c>
      <c r="CA8" s="83">
        <v>24749599.999999803</v>
      </c>
      <c r="CB8" s="84">
        <v>82696000.000000119</v>
      </c>
      <c r="CC8" s="95">
        <v>81929899.999999702</v>
      </c>
      <c r="CD8" s="83">
        <v>28284299.999999814</v>
      </c>
      <c r="CE8" s="83">
        <v>28201200.000000011</v>
      </c>
      <c r="CF8" s="83">
        <v>17285700.000000067</v>
      </c>
      <c r="CG8" s="83">
        <v>17187299.999999959</v>
      </c>
      <c r="CH8" s="83">
        <v>19354500</v>
      </c>
      <c r="CI8" s="83">
        <v>19120700.000000026</v>
      </c>
      <c r="CJ8" s="84">
        <v>64924499.999999881</v>
      </c>
      <c r="CK8" s="84">
        <v>64509200</v>
      </c>
      <c r="CL8" s="93">
        <v>56843450.999999881</v>
      </c>
      <c r="CM8" s="83">
        <v>56543630.000000082</v>
      </c>
      <c r="CN8" s="83">
        <v>24754403.000000052</v>
      </c>
      <c r="CO8" s="83">
        <v>24614502.999999866</v>
      </c>
      <c r="CP8" s="83">
        <v>46122814.99999994</v>
      </c>
      <c r="CQ8" s="83">
        <v>45723059.999999709</v>
      </c>
      <c r="CR8" s="84">
        <v>127720668.99999988</v>
      </c>
      <c r="CS8" s="95">
        <v>126881192.99999964</v>
      </c>
      <c r="CT8" s="83">
        <v>66400333.000000566</v>
      </c>
      <c r="CU8" s="83">
        <v>66327054.000000149</v>
      </c>
      <c r="CV8" s="83">
        <v>30107095.999999903</v>
      </c>
      <c r="CW8" s="83">
        <v>29938972.000000037</v>
      </c>
      <c r="CX8" s="83">
        <v>46668175.000000283</v>
      </c>
      <c r="CY8" s="83">
        <v>46305475.000000089</v>
      </c>
      <c r="CZ8" s="84">
        <v>143175604.00000077</v>
      </c>
      <c r="DA8" s="84">
        <v>142571501.00000027</v>
      </c>
      <c r="DB8" s="93">
        <v>60347191.000000067</v>
      </c>
      <c r="DC8" s="83">
        <v>60292174.00000003</v>
      </c>
      <c r="DD8" s="83">
        <v>29454128.999999955</v>
      </c>
      <c r="DE8" s="83">
        <v>29316477.000000007</v>
      </c>
      <c r="DF8" s="83">
        <v>43255247.999999903</v>
      </c>
      <c r="DG8" s="83">
        <v>42894795.000000045</v>
      </c>
      <c r="DH8" s="84">
        <v>133056567.99999994</v>
      </c>
      <c r="DI8" s="95">
        <v>132503446.00000007</v>
      </c>
      <c r="DJ8" s="83">
        <v>44340092.999999411</v>
      </c>
      <c r="DK8" s="83">
        <v>44276731.999999963</v>
      </c>
      <c r="DL8" s="83">
        <v>25492474.999999858</v>
      </c>
      <c r="DM8" s="83">
        <v>25374582.000000082</v>
      </c>
      <c r="DN8" s="83">
        <v>32180595.999999903</v>
      </c>
      <c r="DO8" s="83">
        <v>31896922.999999996</v>
      </c>
      <c r="DP8" s="84">
        <v>102013163.99999917</v>
      </c>
      <c r="DQ8" s="84">
        <v>101548237.00000004</v>
      </c>
      <c r="DR8" s="93">
        <v>61426696.999999225</v>
      </c>
      <c r="DS8" s="83">
        <v>61262922.000000246</v>
      </c>
      <c r="DT8" s="83">
        <v>29322748.000000138</v>
      </c>
      <c r="DU8" s="83">
        <v>29193616.000000022</v>
      </c>
      <c r="DV8" s="83">
        <v>43542483.000000007</v>
      </c>
      <c r="DW8" s="83">
        <v>43139905.999999985</v>
      </c>
      <c r="DX8" s="84">
        <v>134291927.99999937</v>
      </c>
      <c r="DY8" s="95">
        <v>133596444.00000024</v>
      </c>
      <c r="DZ8" s="87">
        <v>74536053.599999994</v>
      </c>
      <c r="EA8" s="87">
        <v>74212316</v>
      </c>
      <c r="EB8" s="87">
        <v>29464168.099999998</v>
      </c>
      <c r="EC8" s="87">
        <v>29307436.5</v>
      </c>
      <c r="ED8" s="87">
        <v>56609788.600000001</v>
      </c>
      <c r="EE8" s="87">
        <v>56057807.399999999</v>
      </c>
      <c r="EF8" s="88">
        <f t="shared" si="0"/>
        <v>160610010.29999998</v>
      </c>
      <c r="EG8" s="89">
        <f t="shared" si="0"/>
        <v>159577559.90000001</v>
      </c>
      <c r="EH8" s="87">
        <v>70493765.299999997</v>
      </c>
      <c r="EI8" s="87">
        <v>70149955</v>
      </c>
      <c r="EJ8" s="87">
        <v>28871705.800000001</v>
      </c>
      <c r="EK8" s="87">
        <v>28717533.699999999</v>
      </c>
      <c r="EL8" s="87">
        <v>48161090.799999997</v>
      </c>
      <c r="EM8" s="87">
        <v>47763332.100000001</v>
      </c>
      <c r="EN8" s="88">
        <f t="shared" si="1"/>
        <v>147526561.89999998</v>
      </c>
      <c r="EO8" s="89">
        <f t="shared" si="1"/>
        <v>146630820.80000001</v>
      </c>
    </row>
    <row r="9" spans="1:145">
      <c r="A9" s="343"/>
      <c r="B9" s="330"/>
      <c r="C9" s="33" t="s">
        <v>88</v>
      </c>
      <c r="D9" s="34">
        <v>112.14372040000008</v>
      </c>
      <c r="E9" s="34">
        <v>59.166852399999925</v>
      </c>
      <c r="F9" s="34">
        <v>57.740502400000096</v>
      </c>
      <c r="G9" s="34">
        <v>50.834604799999909</v>
      </c>
      <c r="H9" s="34">
        <v>66.101574399999919</v>
      </c>
      <c r="I9" s="34">
        <v>88.122942800000033</v>
      </c>
      <c r="J9" s="34">
        <v>102.88115160000002</v>
      </c>
      <c r="K9" s="34">
        <v>148.03581279999997</v>
      </c>
      <c r="L9" s="34">
        <v>173.01022959999992</v>
      </c>
      <c r="M9" s="34">
        <v>170.9439268000001</v>
      </c>
      <c r="N9" s="34">
        <v>165.40449719999987</v>
      </c>
      <c r="O9" s="34">
        <v>154.41016400000001</v>
      </c>
      <c r="P9" s="35">
        <v>1348.7959792000001</v>
      </c>
      <c r="Q9" s="90" t="s">
        <v>66</v>
      </c>
      <c r="R9" s="91">
        <v>1078027323.0000002</v>
      </c>
      <c r="S9" s="92">
        <v>1071669860.0000001</v>
      </c>
      <c r="T9" s="79">
        <v>530340140.00000024</v>
      </c>
      <c r="U9" s="79">
        <v>528462888.00000018</v>
      </c>
      <c r="V9" s="79">
        <v>195089494.00000024</v>
      </c>
      <c r="W9" s="79">
        <v>193883002.00000018</v>
      </c>
      <c r="X9" s="79">
        <v>352597688.99999982</v>
      </c>
      <c r="Y9" s="79">
        <v>349323969.99999976</v>
      </c>
      <c r="Z9" s="93">
        <v>46090300</v>
      </c>
      <c r="AA9" s="83">
        <v>46090300</v>
      </c>
      <c r="AB9" s="83"/>
      <c r="AC9" s="83"/>
      <c r="AD9" s="83"/>
      <c r="AE9" s="83"/>
      <c r="AF9" s="83">
        <v>46090300</v>
      </c>
      <c r="AG9" s="94">
        <v>46090300</v>
      </c>
      <c r="AH9" s="83">
        <v>32473099.999999985</v>
      </c>
      <c r="AI9" s="83">
        <v>32560300.000000056</v>
      </c>
      <c r="AJ9" s="83">
        <v>15114480</v>
      </c>
      <c r="AK9" s="83">
        <v>15017699.999999996</v>
      </c>
      <c r="AL9" s="83"/>
      <c r="AM9" s="83"/>
      <c r="AN9" s="84">
        <v>47587579.999999985</v>
      </c>
      <c r="AO9" s="84">
        <v>47578000.000000052</v>
      </c>
      <c r="AP9" s="93">
        <v>58139920</v>
      </c>
      <c r="AQ9" s="83">
        <v>57700800</v>
      </c>
      <c r="AR9" s="83">
        <v>22104730</v>
      </c>
      <c r="AS9" s="83">
        <v>21958400</v>
      </c>
      <c r="AT9" s="83">
        <v>47265080</v>
      </c>
      <c r="AU9" s="83">
        <v>46846900</v>
      </c>
      <c r="AV9" s="84">
        <v>127509730</v>
      </c>
      <c r="AW9" s="95">
        <v>126506100</v>
      </c>
      <c r="AX9" s="83">
        <v>85383000.000000089</v>
      </c>
      <c r="AY9" s="83">
        <v>84995800.00000003</v>
      </c>
      <c r="AZ9" s="83">
        <v>18331620.000000011</v>
      </c>
      <c r="BA9" s="83">
        <v>18212699.999999996</v>
      </c>
      <c r="BB9" s="83">
        <v>68856030.000000075</v>
      </c>
      <c r="BC9" s="83">
        <v>68140199.99999997</v>
      </c>
      <c r="BD9" s="84">
        <v>172570650.00000018</v>
      </c>
      <c r="BE9" s="84">
        <v>171348700</v>
      </c>
      <c r="BF9" s="93">
        <v>30851000.00000006</v>
      </c>
      <c r="BG9" s="83">
        <v>30665500</v>
      </c>
      <c r="BH9" s="83">
        <v>15300799.999999989</v>
      </c>
      <c r="BI9" s="83">
        <v>15203200</v>
      </c>
      <c r="BJ9" s="83">
        <v>29226700.000000011</v>
      </c>
      <c r="BK9" s="83">
        <v>28957100</v>
      </c>
      <c r="BL9" s="84">
        <v>75378500.00000006</v>
      </c>
      <c r="BM9" s="95">
        <v>74825800</v>
      </c>
      <c r="BN9" s="83">
        <v>35451799.999999933</v>
      </c>
      <c r="BO9" s="83">
        <v>35229500</v>
      </c>
      <c r="BP9" s="83">
        <v>14045010.000000009</v>
      </c>
      <c r="BQ9" s="83">
        <v>13961500</v>
      </c>
      <c r="BR9" s="83">
        <v>30117500</v>
      </c>
      <c r="BS9" s="83">
        <v>29770000</v>
      </c>
      <c r="BT9" s="84">
        <v>79614309.99999994</v>
      </c>
      <c r="BU9" s="84">
        <v>78961000</v>
      </c>
      <c r="BV9" s="93">
        <v>35858400.000000142</v>
      </c>
      <c r="BW9" s="83">
        <v>35664800.000000104</v>
      </c>
      <c r="BX9" s="83">
        <v>19548800.000000164</v>
      </c>
      <c r="BY9" s="83">
        <v>19404000.000000026</v>
      </c>
      <c r="BZ9" s="83">
        <v>36213099.999999858</v>
      </c>
      <c r="CA9" s="83">
        <v>35854300.000000045</v>
      </c>
      <c r="CB9" s="84">
        <v>91620300.000000164</v>
      </c>
      <c r="CC9" s="95">
        <v>90923100.000000179</v>
      </c>
      <c r="CD9" s="83">
        <v>27128700.000000186</v>
      </c>
      <c r="CE9" s="83">
        <v>27111499.999999873</v>
      </c>
      <c r="CF9" s="83">
        <v>16085000</v>
      </c>
      <c r="CG9" s="83">
        <v>15989600.000000034</v>
      </c>
      <c r="CH9" s="83">
        <v>18631800.000000045</v>
      </c>
      <c r="CI9" s="83">
        <v>18471599.999999911</v>
      </c>
      <c r="CJ9" s="84">
        <v>61845500.000000231</v>
      </c>
      <c r="CK9" s="84">
        <v>61572699.999999821</v>
      </c>
      <c r="CL9" s="93">
        <v>71933518.000000149</v>
      </c>
      <c r="CM9" s="83">
        <v>71740476.000000015</v>
      </c>
      <c r="CN9" s="83">
        <v>30058619.999999881</v>
      </c>
      <c r="CO9" s="83">
        <v>29880472.000000201</v>
      </c>
      <c r="CP9" s="83">
        <v>47596593.000000104</v>
      </c>
      <c r="CQ9" s="83">
        <v>47190899.999999985</v>
      </c>
      <c r="CR9" s="84">
        <v>149588731.00000012</v>
      </c>
      <c r="CS9" s="95">
        <v>148811848.00000018</v>
      </c>
      <c r="CT9" s="83">
        <v>59581732.999999538</v>
      </c>
      <c r="CU9" s="83">
        <v>59381834.000000089</v>
      </c>
      <c r="CV9" s="83">
        <v>24195173</v>
      </c>
      <c r="CW9" s="83">
        <v>24061218.99999981</v>
      </c>
      <c r="CX9" s="83">
        <v>40693681.999999568</v>
      </c>
      <c r="CY9" s="83">
        <v>40368131.999999866</v>
      </c>
      <c r="CZ9" s="84">
        <v>124470587.99999911</v>
      </c>
      <c r="DA9" s="84">
        <v>123811184.99999976</v>
      </c>
      <c r="DB9" s="93">
        <v>47448669.000000224</v>
      </c>
      <c r="DC9" s="83">
        <v>47322077.999999918</v>
      </c>
      <c r="DD9" s="83">
        <v>20305261.000000171</v>
      </c>
      <c r="DE9" s="83">
        <v>20194211.000000078</v>
      </c>
      <c r="DF9" s="83">
        <v>33997204.000000142</v>
      </c>
      <c r="DG9" s="83">
        <v>33724837.999999985</v>
      </c>
      <c r="DH9" s="84">
        <v>101751134.00000054</v>
      </c>
      <c r="DI9" s="95">
        <v>101241126.99999999</v>
      </c>
      <c r="DJ9" s="83">
        <v>29286831.00000117</v>
      </c>
      <c r="DK9" s="83">
        <v>29218346.000000019</v>
      </c>
      <c r="DL9" s="83">
        <v>14732552.000000142</v>
      </c>
      <c r="DM9" s="83">
        <v>14668133.999999948</v>
      </c>
      <c r="DN9" s="83">
        <v>24479286.000000313</v>
      </c>
      <c r="DO9" s="83">
        <v>24291260.99999984</v>
      </c>
      <c r="DP9" s="84">
        <v>68498669.000001624</v>
      </c>
      <c r="DQ9" s="84">
        <v>68177740.999999806</v>
      </c>
      <c r="DR9" s="93">
        <v>46831182.00000003</v>
      </c>
      <c r="DS9" s="83">
        <v>46510289.999999508</v>
      </c>
      <c r="DT9" s="83">
        <v>17608156.999999888</v>
      </c>
      <c r="DU9" s="83">
        <v>17535427</v>
      </c>
      <c r="DV9" s="83">
        <v>34706387.999999337</v>
      </c>
      <c r="DW9" s="83">
        <v>34447445.999999851</v>
      </c>
      <c r="DX9" s="84">
        <v>99145726.999999255</v>
      </c>
      <c r="DY9" s="95">
        <v>98493162.999999359</v>
      </c>
      <c r="DZ9" s="87">
        <v>71592840.899999991</v>
      </c>
      <c r="EA9" s="87">
        <v>71375607</v>
      </c>
      <c r="EB9" s="87">
        <v>23123994.5</v>
      </c>
      <c r="EC9" s="87">
        <v>23007507.600000001</v>
      </c>
      <c r="ED9" s="87">
        <v>56499315.399999999</v>
      </c>
      <c r="EE9" s="87">
        <v>56044300.399999999</v>
      </c>
      <c r="EF9" s="88">
        <f t="shared" si="0"/>
        <v>151216150.79999998</v>
      </c>
      <c r="EG9" s="89">
        <f t="shared" si="0"/>
        <v>150427415</v>
      </c>
      <c r="EH9" s="87">
        <v>62217610</v>
      </c>
      <c r="EI9" s="87">
        <v>61870476</v>
      </c>
      <c r="EJ9" s="87">
        <v>23975395.199999999</v>
      </c>
      <c r="EK9" s="87">
        <v>23847507.099999998</v>
      </c>
      <c r="EL9" s="87">
        <v>48283616.699999996</v>
      </c>
      <c r="EM9" s="87">
        <v>47887114.800000004</v>
      </c>
      <c r="EN9" s="88">
        <f t="shared" si="1"/>
        <v>134476621.90000001</v>
      </c>
      <c r="EO9" s="89">
        <f t="shared" si="1"/>
        <v>133605097.90000001</v>
      </c>
    </row>
    <row r="10" spans="1:145">
      <c r="A10" s="343"/>
      <c r="B10" s="330"/>
      <c r="C10" s="33" t="s">
        <v>91</v>
      </c>
      <c r="D10" s="34">
        <v>54.522000000000006</v>
      </c>
      <c r="E10" s="34">
        <v>39.479999999999997</v>
      </c>
      <c r="F10" s="34">
        <v>43.844000000000001</v>
      </c>
      <c r="G10" s="34">
        <v>44.01</v>
      </c>
      <c r="H10" s="34">
        <v>54.279999999999994</v>
      </c>
      <c r="I10" s="34">
        <v>80.027999999999992</v>
      </c>
      <c r="J10" s="34">
        <v>83.664000000000001</v>
      </c>
      <c r="K10" s="34">
        <v>95.11999999999999</v>
      </c>
      <c r="L10" s="34">
        <v>123.854</v>
      </c>
      <c r="M10" s="34">
        <v>151.328</v>
      </c>
      <c r="N10" s="34">
        <v>128.44999999999999</v>
      </c>
      <c r="O10" s="34">
        <v>97.24199999999999</v>
      </c>
      <c r="P10" s="35">
        <v>995.82199999999989</v>
      </c>
      <c r="Q10" s="90" t="s">
        <v>67</v>
      </c>
      <c r="R10" s="91">
        <v>1347678809.999999</v>
      </c>
      <c r="S10" s="92">
        <v>1340528524.0000005</v>
      </c>
      <c r="T10" s="79">
        <v>692428966.99999976</v>
      </c>
      <c r="U10" s="79">
        <v>690361891.99999988</v>
      </c>
      <c r="V10" s="79">
        <v>178877493.99999931</v>
      </c>
      <c r="W10" s="79">
        <v>177812842.00000003</v>
      </c>
      <c r="X10" s="79">
        <v>476372349.00000006</v>
      </c>
      <c r="Y10" s="79">
        <v>472353790.0000006</v>
      </c>
      <c r="Z10" s="93">
        <v>95195200</v>
      </c>
      <c r="AA10" s="83">
        <v>95195200</v>
      </c>
      <c r="AB10" s="83"/>
      <c r="AC10" s="83"/>
      <c r="AD10" s="83"/>
      <c r="AE10" s="83"/>
      <c r="AF10" s="83">
        <v>95195200</v>
      </c>
      <c r="AG10" s="94">
        <v>95195200</v>
      </c>
      <c r="AH10" s="83">
        <v>33218899.999999985</v>
      </c>
      <c r="AI10" s="83">
        <v>33106599.999999985</v>
      </c>
      <c r="AJ10" s="83">
        <v>14246289.999999998</v>
      </c>
      <c r="AK10" s="83">
        <v>14171300</v>
      </c>
      <c r="AL10" s="83"/>
      <c r="AM10" s="83"/>
      <c r="AN10" s="84">
        <v>47465189.999999985</v>
      </c>
      <c r="AO10" s="84">
        <v>47277899.999999985</v>
      </c>
      <c r="AP10" s="93">
        <v>41222000</v>
      </c>
      <c r="AQ10" s="83">
        <v>41047300</v>
      </c>
      <c r="AR10" s="83">
        <v>13201590</v>
      </c>
      <c r="AS10" s="83">
        <v>13116200</v>
      </c>
      <c r="AT10" s="83">
        <v>44839830</v>
      </c>
      <c r="AU10" s="83">
        <v>44469500</v>
      </c>
      <c r="AV10" s="84">
        <v>99263420</v>
      </c>
      <c r="AW10" s="95">
        <v>98633000</v>
      </c>
      <c r="AX10" s="83">
        <v>107479300</v>
      </c>
      <c r="AY10" s="83">
        <v>107063400</v>
      </c>
      <c r="AZ10" s="83">
        <v>32240810</v>
      </c>
      <c r="BA10" s="83">
        <v>32038200</v>
      </c>
      <c r="BB10" s="83">
        <v>89703590</v>
      </c>
      <c r="BC10" s="83">
        <v>88922800</v>
      </c>
      <c r="BD10" s="84">
        <v>229423700</v>
      </c>
      <c r="BE10" s="84">
        <v>228024400</v>
      </c>
      <c r="BF10" s="93">
        <v>48609899.999999963</v>
      </c>
      <c r="BG10" s="83">
        <v>48347300</v>
      </c>
      <c r="BH10" s="83">
        <v>14842599.999999918</v>
      </c>
      <c r="BI10" s="83">
        <v>14740600</v>
      </c>
      <c r="BJ10" s="83">
        <v>42762400.000000022</v>
      </c>
      <c r="BK10" s="83">
        <v>42365000</v>
      </c>
      <c r="BL10" s="84">
        <v>106214899.99999991</v>
      </c>
      <c r="BM10" s="95">
        <v>105452900</v>
      </c>
      <c r="BN10" s="83">
        <v>47981600</v>
      </c>
      <c r="BO10" s="83">
        <v>47813100</v>
      </c>
      <c r="BP10" s="83">
        <v>10383187</v>
      </c>
      <c r="BQ10" s="83">
        <v>10314713</v>
      </c>
      <c r="BR10" s="83">
        <v>46607299.999999955</v>
      </c>
      <c r="BS10" s="83">
        <v>46216200</v>
      </c>
      <c r="BT10" s="84">
        <v>104972086.99999996</v>
      </c>
      <c r="BU10" s="84">
        <v>104344013</v>
      </c>
      <c r="BV10" s="93">
        <v>34967299.999999814</v>
      </c>
      <c r="BW10" s="83">
        <v>34816299.999999933</v>
      </c>
      <c r="BX10" s="83">
        <v>14585599.99999986</v>
      </c>
      <c r="BY10" s="83">
        <v>14497499.999999998</v>
      </c>
      <c r="BZ10" s="83">
        <v>26331800.000000045</v>
      </c>
      <c r="CA10" s="83">
        <v>26071099.999999974</v>
      </c>
      <c r="CB10" s="84">
        <v>75884699.999999717</v>
      </c>
      <c r="CC10" s="95">
        <v>75384899.999999911</v>
      </c>
      <c r="CD10" s="83">
        <v>34716699.999999717</v>
      </c>
      <c r="CE10" s="83">
        <v>34836100.000000201</v>
      </c>
      <c r="CF10" s="83">
        <v>14919699.999999953</v>
      </c>
      <c r="CG10" s="83">
        <v>14817300.000000017</v>
      </c>
      <c r="CH10" s="83">
        <v>34095199.999999955</v>
      </c>
      <c r="CI10" s="83">
        <v>33840300.000000164</v>
      </c>
      <c r="CJ10" s="84">
        <v>83731599.999999627</v>
      </c>
      <c r="CK10" s="84">
        <v>83493700.000000387</v>
      </c>
      <c r="CL10" s="93">
        <v>138783624.0000003</v>
      </c>
      <c r="CM10" s="83">
        <v>138456321.99999988</v>
      </c>
      <c r="CN10" s="83">
        <v>35617789.999999925</v>
      </c>
      <c r="CO10" s="83">
        <v>35425119.99999994</v>
      </c>
      <c r="CP10" s="83">
        <v>110794424.99999982</v>
      </c>
      <c r="CQ10" s="83">
        <v>109843252.00000006</v>
      </c>
      <c r="CR10" s="84">
        <v>285195839.00000006</v>
      </c>
      <c r="CS10" s="95">
        <v>283724693.99999988</v>
      </c>
      <c r="CT10" s="83">
        <v>57857050.999999978</v>
      </c>
      <c r="CU10" s="83">
        <v>57599085.999999896</v>
      </c>
      <c r="CV10" s="83">
        <v>15153889.999999665</v>
      </c>
      <c r="CW10" s="83">
        <v>15077008.000000089</v>
      </c>
      <c r="CX10" s="83">
        <v>41664416.000000201</v>
      </c>
      <c r="CY10" s="83">
        <v>41366545.000000358</v>
      </c>
      <c r="CZ10" s="84">
        <v>114675356.99999985</v>
      </c>
      <c r="DA10" s="84">
        <v>114042639.00000034</v>
      </c>
      <c r="DB10" s="93">
        <v>52397391.999999978</v>
      </c>
      <c r="DC10" s="83">
        <v>52081183.999999948</v>
      </c>
      <c r="DD10" s="83">
        <v>13686037.000000011</v>
      </c>
      <c r="DE10" s="83">
        <v>13614900.999999993</v>
      </c>
      <c r="DF10" s="83">
        <v>39573388.000000037</v>
      </c>
      <c r="DG10" s="83">
        <v>39259093.000000082</v>
      </c>
      <c r="DH10" s="84">
        <v>105656817.00000003</v>
      </c>
      <c r="DI10" s="95">
        <v>104955178.00000003</v>
      </c>
      <c r="DJ10" s="83">
        <v>28976670</v>
      </c>
      <c r="DK10" s="83">
        <v>28894914</v>
      </c>
      <c r="DL10" s="83">
        <v>13924613</v>
      </c>
      <c r="DM10" s="83">
        <v>13846767</v>
      </c>
      <c r="DN10" s="83">
        <v>21331489</v>
      </c>
      <c r="DO10" s="83">
        <v>21184683</v>
      </c>
      <c r="DP10" s="84">
        <v>64232772</v>
      </c>
      <c r="DQ10" s="84">
        <v>63926364</v>
      </c>
      <c r="DR10" s="93">
        <v>53630072.99999997</v>
      </c>
      <c r="DS10" s="83">
        <v>53476365.999999866</v>
      </c>
      <c r="DT10" s="83">
        <v>14824697.00000016</v>
      </c>
      <c r="DU10" s="83">
        <v>14757232.999999974</v>
      </c>
      <c r="DV10" s="83">
        <v>42992444.000000134</v>
      </c>
      <c r="DW10" s="83">
        <v>42665246.000000164</v>
      </c>
      <c r="DX10" s="84">
        <v>111447214.00000027</v>
      </c>
      <c r="DY10" s="95">
        <v>110898845</v>
      </c>
      <c r="DZ10" s="87">
        <v>110182541</v>
      </c>
      <c r="EA10" s="87">
        <v>109727639</v>
      </c>
      <c r="EB10" s="87">
        <v>24264119.900000002</v>
      </c>
      <c r="EC10" s="87">
        <v>24140867.399999999</v>
      </c>
      <c r="ED10" s="87">
        <v>80578215.700000003</v>
      </c>
      <c r="EE10" s="87">
        <v>79895297.5</v>
      </c>
      <c r="EF10" s="88">
        <f t="shared" si="0"/>
        <v>215024876.60000002</v>
      </c>
      <c r="EG10" s="89">
        <f t="shared" si="0"/>
        <v>213763803.90000001</v>
      </c>
      <c r="EH10" s="87">
        <v>29122581.399999999</v>
      </c>
      <c r="EI10" s="87">
        <v>28954026</v>
      </c>
      <c r="EJ10" s="87">
        <v>6012927.2000000002</v>
      </c>
      <c r="EK10" s="87">
        <v>5978639.2999999998</v>
      </c>
      <c r="EL10" s="87">
        <v>21050722.199999999</v>
      </c>
      <c r="EM10" s="87">
        <v>20867948.199999999</v>
      </c>
      <c r="EN10" s="88">
        <f t="shared" si="1"/>
        <v>56186230.799999997</v>
      </c>
      <c r="EO10" s="89">
        <f t="shared" si="1"/>
        <v>55800613.5</v>
      </c>
    </row>
    <row r="11" spans="1:145">
      <c r="A11" s="343"/>
      <c r="B11" s="330" t="s">
        <v>87</v>
      </c>
      <c r="C11" s="33" t="s">
        <v>81</v>
      </c>
      <c r="D11" s="34">
        <v>49.994000000000007</v>
      </c>
      <c r="E11" s="34">
        <v>38.058</v>
      </c>
      <c r="F11" s="34">
        <v>41.656799999999997</v>
      </c>
      <c r="G11" s="34">
        <v>42.690799999999996</v>
      </c>
      <c r="H11" s="34">
        <v>54.726800000000004</v>
      </c>
      <c r="I11" s="34">
        <v>75.930199999999999</v>
      </c>
      <c r="J11" s="34">
        <v>98.935000000000002</v>
      </c>
      <c r="K11" s="34">
        <v>98.650399999999991</v>
      </c>
      <c r="L11" s="34">
        <v>131.28960000000001</v>
      </c>
      <c r="M11" s="34">
        <v>152.649</v>
      </c>
      <c r="N11" s="34">
        <v>111.1212</v>
      </c>
      <c r="O11" s="34">
        <v>80.843999999999994</v>
      </c>
      <c r="P11" s="35">
        <v>976.5458000000001</v>
      </c>
      <c r="Q11" s="90" t="s">
        <v>68</v>
      </c>
      <c r="R11" s="91">
        <v>1885298770.0000005</v>
      </c>
      <c r="S11" s="92">
        <v>1876097456.0000005</v>
      </c>
      <c r="T11" s="79">
        <v>958606559.00000012</v>
      </c>
      <c r="U11" s="79">
        <v>956682236.00000024</v>
      </c>
      <c r="V11" s="79">
        <v>209060942.00000039</v>
      </c>
      <c r="W11" s="79">
        <v>207863380.99999979</v>
      </c>
      <c r="X11" s="79">
        <v>717631269</v>
      </c>
      <c r="Y11" s="79">
        <v>711551839.00000036</v>
      </c>
      <c r="Z11" s="93">
        <v>88128400</v>
      </c>
      <c r="AA11" s="83">
        <v>88128400</v>
      </c>
      <c r="AB11" s="83"/>
      <c r="AC11" s="83"/>
      <c r="AD11" s="83"/>
      <c r="AE11" s="83"/>
      <c r="AF11" s="83">
        <v>88128400</v>
      </c>
      <c r="AG11" s="94">
        <v>88128400</v>
      </c>
      <c r="AH11" s="83">
        <v>55729100</v>
      </c>
      <c r="AI11" s="83">
        <v>55500599.999999993</v>
      </c>
      <c r="AJ11" s="83">
        <v>11782910.000000004</v>
      </c>
      <c r="AK11" s="83">
        <v>11725799.999999994</v>
      </c>
      <c r="AL11" s="83">
        <v>8071000</v>
      </c>
      <c r="AM11" s="83">
        <v>8071000</v>
      </c>
      <c r="AN11" s="84">
        <v>75583010</v>
      </c>
      <c r="AO11" s="84">
        <v>75297399.999999985</v>
      </c>
      <c r="AP11" s="93">
        <v>134840900</v>
      </c>
      <c r="AQ11" s="83">
        <v>134208600</v>
      </c>
      <c r="AR11" s="83">
        <v>23408210</v>
      </c>
      <c r="AS11" s="83">
        <v>23259700</v>
      </c>
      <c r="AT11" s="83">
        <v>120194580</v>
      </c>
      <c r="AU11" s="83">
        <v>119116500</v>
      </c>
      <c r="AV11" s="84">
        <v>278443690</v>
      </c>
      <c r="AW11" s="95">
        <v>276584800</v>
      </c>
      <c r="AX11" s="83">
        <v>71381799.999999836</v>
      </c>
      <c r="AY11" s="83">
        <v>71158904.00000003</v>
      </c>
      <c r="AZ11" s="83">
        <v>18239860.000000004</v>
      </c>
      <c r="BA11" s="83">
        <v>18128900.000000041</v>
      </c>
      <c r="BB11" s="83">
        <v>59162539.99999997</v>
      </c>
      <c r="BC11" s="83">
        <v>58664258.000000119</v>
      </c>
      <c r="BD11" s="84">
        <v>148784199.99999982</v>
      </c>
      <c r="BE11" s="84">
        <v>147952062.00000018</v>
      </c>
      <c r="BF11" s="93">
        <v>101432020</v>
      </c>
      <c r="BG11" s="83">
        <v>101083893</v>
      </c>
      <c r="BH11" s="83">
        <v>25203587.000000026</v>
      </c>
      <c r="BI11" s="83">
        <v>25051707</v>
      </c>
      <c r="BJ11" s="83">
        <v>95330377.999999985</v>
      </c>
      <c r="BK11" s="83">
        <v>94480085</v>
      </c>
      <c r="BL11" s="84">
        <v>221965985</v>
      </c>
      <c r="BM11" s="95">
        <v>220615685</v>
      </c>
      <c r="BN11" s="83">
        <v>79421700.00000006</v>
      </c>
      <c r="BO11" s="83">
        <v>79266599.99999994</v>
      </c>
      <c r="BP11" s="83">
        <v>19245000</v>
      </c>
      <c r="BQ11" s="83">
        <v>19136600.000000037</v>
      </c>
      <c r="BR11" s="83">
        <v>74887100.000000089</v>
      </c>
      <c r="BS11" s="83">
        <v>74209800.000000149</v>
      </c>
      <c r="BT11" s="84">
        <v>173553800.00000015</v>
      </c>
      <c r="BU11" s="84">
        <v>172613000.00000012</v>
      </c>
      <c r="BV11" s="93">
        <v>56235633</v>
      </c>
      <c r="BW11" s="83">
        <v>56215776.00000038</v>
      </c>
      <c r="BX11" s="83">
        <v>16866854.000000093</v>
      </c>
      <c r="BY11" s="83">
        <v>16768515.000000039</v>
      </c>
      <c r="BZ11" s="83">
        <v>52941454.000000142</v>
      </c>
      <c r="CA11" s="83">
        <v>52445901.000000045</v>
      </c>
      <c r="CB11" s="84">
        <v>126043941.00000024</v>
      </c>
      <c r="CC11" s="95">
        <v>125430192.00000046</v>
      </c>
      <c r="CD11" s="83">
        <v>54870967.000000283</v>
      </c>
      <c r="CE11" s="83">
        <v>55029166.999999858</v>
      </c>
      <c r="CF11" s="83">
        <v>13799793.000000115</v>
      </c>
      <c r="CG11" s="83">
        <v>13715799.999999991</v>
      </c>
      <c r="CH11" s="83">
        <v>47132133.000000142</v>
      </c>
      <c r="CI11" s="83">
        <v>46779346.000000082</v>
      </c>
      <c r="CJ11" s="84">
        <v>115802893.00000054</v>
      </c>
      <c r="CK11" s="84">
        <v>115524312.99999994</v>
      </c>
      <c r="CL11" s="93">
        <v>184920819.99999943</v>
      </c>
      <c r="CM11" s="83">
        <v>184699175</v>
      </c>
      <c r="CN11" s="83">
        <v>49377231.000000149</v>
      </c>
      <c r="CO11" s="83">
        <v>49108661.999999925</v>
      </c>
      <c r="CP11" s="83">
        <v>147726786.99999997</v>
      </c>
      <c r="CQ11" s="83">
        <v>146482890.99999991</v>
      </c>
      <c r="CR11" s="84">
        <v>382024837.99999952</v>
      </c>
      <c r="CS11" s="95">
        <v>380290727.99999988</v>
      </c>
      <c r="CT11" s="83">
        <v>71134424.000000775</v>
      </c>
      <c r="CU11" s="83">
        <v>70931368.00000003</v>
      </c>
      <c r="CV11" s="83">
        <v>20327558.000000216</v>
      </c>
      <c r="CW11" s="83">
        <v>20210945.999999885</v>
      </c>
      <c r="CX11" s="83">
        <v>62748268.000000089</v>
      </c>
      <c r="CY11" s="83">
        <v>62253980.999999933</v>
      </c>
      <c r="CZ11" s="84">
        <v>154210250.00000107</v>
      </c>
      <c r="DA11" s="84">
        <v>153396294.99999985</v>
      </c>
      <c r="DB11" s="93">
        <v>60510794.999999925</v>
      </c>
      <c r="DC11" s="83">
        <v>60459753.000000052</v>
      </c>
      <c r="DD11" s="83">
        <v>10809938.999999795</v>
      </c>
      <c r="DE11" s="83">
        <v>10756750.999999907</v>
      </c>
      <c r="DF11" s="83">
        <v>49437028.999999642</v>
      </c>
      <c r="DG11" s="83">
        <v>49048077.000000194</v>
      </c>
      <c r="DH11" s="84">
        <v>120757762.99999936</v>
      </c>
      <c r="DI11" s="95">
        <v>120264581.00000015</v>
      </c>
      <c r="DJ11" s="83">
        <v>75012167.999999598</v>
      </c>
      <c r="DK11" s="83">
        <v>74843670</v>
      </c>
      <c r="DL11" s="83">
        <v>10573797.000000253</v>
      </c>
      <c r="DM11" s="83">
        <v>10527525</v>
      </c>
      <c r="DN11" s="83">
        <v>59464098.999999925</v>
      </c>
      <c r="DO11" s="83">
        <v>59005934</v>
      </c>
      <c r="DP11" s="84">
        <v>145050063.99999976</v>
      </c>
      <c r="DQ11" s="84">
        <v>144377129</v>
      </c>
      <c r="DR11" s="93">
        <v>49802541.000000201</v>
      </c>
      <c r="DS11" s="83">
        <v>49680748.000000134</v>
      </c>
      <c r="DT11" s="83">
        <v>11728076.999999816</v>
      </c>
      <c r="DU11" s="83">
        <v>11638284</v>
      </c>
      <c r="DV11" s="83">
        <v>39461503.999999724</v>
      </c>
      <c r="DW11" s="83">
        <v>39151169.999999866</v>
      </c>
      <c r="DX11" s="84">
        <v>100992121.99999973</v>
      </c>
      <c r="DY11" s="95">
        <v>100470202</v>
      </c>
      <c r="DZ11" s="87">
        <v>115548008.59999999</v>
      </c>
      <c r="EA11" s="87">
        <v>114978774</v>
      </c>
      <c r="EB11" s="87">
        <v>19669999.300000001</v>
      </c>
      <c r="EC11" s="87">
        <v>19513966.400000002</v>
      </c>
      <c r="ED11" s="87">
        <v>99400854.399999991</v>
      </c>
      <c r="EE11" s="87">
        <v>98648926.799999997</v>
      </c>
      <c r="EF11" s="88">
        <f t="shared" si="0"/>
        <v>234618862.30000001</v>
      </c>
      <c r="EG11" s="89">
        <f t="shared" si="0"/>
        <v>233141667.19999999</v>
      </c>
      <c r="EH11" s="87"/>
      <c r="EI11" s="87"/>
      <c r="EJ11" s="87"/>
      <c r="EK11" s="87"/>
      <c r="EL11" s="87"/>
      <c r="EM11" s="87"/>
      <c r="EN11" s="88">
        <f t="shared" si="1"/>
        <v>0</v>
      </c>
      <c r="EO11" s="89">
        <f t="shared" si="1"/>
        <v>0</v>
      </c>
    </row>
    <row r="12" spans="1:145">
      <c r="A12" s="343"/>
      <c r="B12" s="330"/>
      <c r="C12" s="33" t="s">
        <v>84</v>
      </c>
      <c r="D12" s="34">
        <v>82.170174399999908</v>
      </c>
      <c r="E12" s="34">
        <v>46.294523400000074</v>
      </c>
      <c r="F12" s="34">
        <v>42.353863400000009</v>
      </c>
      <c r="G12" s="34">
        <v>36.294630599999891</v>
      </c>
      <c r="H12" s="34">
        <v>51.271232400000045</v>
      </c>
      <c r="I12" s="34">
        <v>71.767537399999867</v>
      </c>
      <c r="J12" s="34">
        <v>83.894413600000092</v>
      </c>
      <c r="K12" s="34">
        <v>119.13109839999997</v>
      </c>
      <c r="L12" s="34">
        <v>137.86548000000005</v>
      </c>
      <c r="M12" s="34">
        <v>136.33321760000001</v>
      </c>
      <c r="N12" s="34">
        <v>130.84143159999982</v>
      </c>
      <c r="O12" s="34">
        <v>119.61869980000026</v>
      </c>
      <c r="P12" s="35">
        <v>1057.8363026</v>
      </c>
      <c r="Q12" s="90" t="s">
        <v>69</v>
      </c>
      <c r="R12" s="91">
        <v>2508428928.0000005</v>
      </c>
      <c r="S12" s="92">
        <v>2497080470.0000005</v>
      </c>
      <c r="T12" s="79">
        <v>1269270128.0000002</v>
      </c>
      <c r="U12" s="79">
        <v>1266969796.0000002</v>
      </c>
      <c r="V12" s="79">
        <v>260095718.00000042</v>
      </c>
      <c r="W12" s="79">
        <v>258659585.00000018</v>
      </c>
      <c r="X12" s="79">
        <v>979063081.99999988</v>
      </c>
      <c r="Y12" s="79">
        <v>971451089</v>
      </c>
      <c r="Z12" s="93">
        <v>80478500</v>
      </c>
      <c r="AA12" s="83">
        <v>80478500</v>
      </c>
      <c r="AB12" s="83"/>
      <c r="AC12" s="83"/>
      <c r="AD12" s="83"/>
      <c r="AE12" s="83"/>
      <c r="AF12" s="83">
        <v>80478500</v>
      </c>
      <c r="AG12" s="94">
        <v>80478500</v>
      </c>
      <c r="AH12" s="83">
        <v>95428900.000000045</v>
      </c>
      <c r="AI12" s="83">
        <v>95174399.99999997</v>
      </c>
      <c r="AJ12" s="83">
        <v>16331299.999999994</v>
      </c>
      <c r="AK12" s="83">
        <v>16240700.000000004</v>
      </c>
      <c r="AL12" s="83">
        <v>78832600</v>
      </c>
      <c r="AM12" s="83">
        <v>78832600</v>
      </c>
      <c r="AN12" s="84">
        <v>190592800.00000006</v>
      </c>
      <c r="AO12" s="84">
        <v>190247699.99999997</v>
      </c>
      <c r="AP12" s="93">
        <v>138477700</v>
      </c>
      <c r="AQ12" s="83">
        <v>137782700</v>
      </c>
      <c r="AR12" s="83">
        <v>26187750</v>
      </c>
      <c r="AS12" s="83">
        <v>26044385</v>
      </c>
      <c r="AT12" s="83">
        <v>109098420</v>
      </c>
      <c r="AU12" s="83">
        <v>108159100</v>
      </c>
      <c r="AV12" s="84">
        <v>273763870</v>
      </c>
      <c r="AW12" s="95">
        <v>271986185</v>
      </c>
      <c r="AX12" s="83">
        <v>90200800</v>
      </c>
      <c r="AY12" s="83">
        <v>89959499.99999997</v>
      </c>
      <c r="AZ12" s="83">
        <v>23386310</v>
      </c>
      <c r="BA12" s="83">
        <v>23242599.999999978</v>
      </c>
      <c r="BB12" s="83">
        <v>85503100</v>
      </c>
      <c r="BC12" s="83">
        <v>84706399.999999881</v>
      </c>
      <c r="BD12" s="84">
        <v>199090210</v>
      </c>
      <c r="BE12" s="84">
        <v>197908499.99999982</v>
      </c>
      <c r="BF12" s="93">
        <v>131568600.00000009</v>
      </c>
      <c r="BG12" s="83">
        <v>131230700</v>
      </c>
      <c r="BH12" s="83">
        <v>28086799.999999989</v>
      </c>
      <c r="BI12" s="83">
        <v>27924300</v>
      </c>
      <c r="BJ12" s="83">
        <v>117224000</v>
      </c>
      <c r="BK12" s="83">
        <v>116181500</v>
      </c>
      <c r="BL12" s="84">
        <v>276879400.00000012</v>
      </c>
      <c r="BM12" s="95">
        <v>275336500</v>
      </c>
      <c r="BN12" s="83">
        <v>193583800.00000006</v>
      </c>
      <c r="BO12" s="83">
        <v>193230800.00000006</v>
      </c>
      <c r="BP12" s="83">
        <v>42027600.000000089</v>
      </c>
      <c r="BQ12" s="83">
        <v>41791799.999999933</v>
      </c>
      <c r="BR12" s="83">
        <v>157558000</v>
      </c>
      <c r="BS12" s="83">
        <v>156187300.00000027</v>
      </c>
      <c r="BT12" s="84">
        <v>393169400.00000012</v>
      </c>
      <c r="BU12" s="84">
        <v>391209900.00000024</v>
      </c>
      <c r="BV12" s="93">
        <v>110376199.99999996</v>
      </c>
      <c r="BW12" s="83">
        <v>110398799.99999994</v>
      </c>
      <c r="BX12" s="83">
        <v>30453500</v>
      </c>
      <c r="BY12" s="83">
        <v>30279199.999999955</v>
      </c>
      <c r="BZ12" s="83">
        <v>82643899.999999672</v>
      </c>
      <c r="CA12" s="83">
        <v>81989300.000000045</v>
      </c>
      <c r="CB12" s="84">
        <v>223473599.99999961</v>
      </c>
      <c r="CC12" s="95">
        <v>222667299.99999994</v>
      </c>
      <c r="CD12" s="83">
        <v>94481975.999999791</v>
      </c>
      <c r="CE12" s="83">
        <v>94468094.000000164</v>
      </c>
      <c r="CF12" s="83">
        <v>24193314.999999944</v>
      </c>
      <c r="CG12" s="83">
        <v>24061456.999999966</v>
      </c>
      <c r="CH12" s="83">
        <v>78753672.000000015</v>
      </c>
      <c r="CI12" s="83">
        <v>78071914.999999925</v>
      </c>
      <c r="CJ12" s="84">
        <v>197428962.99999976</v>
      </c>
      <c r="CK12" s="84">
        <v>196601466.00000006</v>
      </c>
      <c r="CL12" s="93">
        <v>158925385.00000024</v>
      </c>
      <c r="CM12" s="83">
        <v>158770376.00000003</v>
      </c>
      <c r="CN12" s="83">
        <v>26841631.999999985</v>
      </c>
      <c r="CO12" s="83">
        <v>26698788.00000003</v>
      </c>
      <c r="CP12" s="83">
        <v>132763112.00000009</v>
      </c>
      <c r="CQ12" s="83">
        <v>131698314.00000004</v>
      </c>
      <c r="CR12" s="84">
        <v>318530129.00000036</v>
      </c>
      <c r="CS12" s="95">
        <v>317167478.00000012</v>
      </c>
      <c r="CT12" s="83">
        <v>118962955.00000007</v>
      </c>
      <c r="CU12" s="83">
        <v>118769745.99999991</v>
      </c>
      <c r="CV12" s="83">
        <v>30515135.000000242</v>
      </c>
      <c r="CW12" s="83">
        <v>30360640.000000186</v>
      </c>
      <c r="CX12" s="83">
        <v>93599611.00000003</v>
      </c>
      <c r="CY12" s="83">
        <v>92870532</v>
      </c>
      <c r="CZ12" s="84">
        <v>243077701.00000036</v>
      </c>
      <c r="DA12" s="84">
        <v>242000918.00000009</v>
      </c>
      <c r="DB12" s="93">
        <v>56785311.999999918</v>
      </c>
      <c r="DC12" s="83">
        <v>56706180.000000075</v>
      </c>
      <c r="DD12" s="83">
        <v>12072376.000000164</v>
      </c>
      <c r="DE12" s="83">
        <v>12015715.000000108</v>
      </c>
      <c r="DF12" s="83">
        <v>43086667.000000134</v>
      </c>
      <c r="DG12" s="83">
        <v>42754127.999999985</v>
      </c>
      <c r="DH12" s="84">
        <v>111944355.00000022</v>
      </c>
      <c r="DI12" s="95">
        <v>111476023.00000016</v>
      </c>
      <c r="DJ12" s="83">
        <v>99726883</v>
      </c>
      <c r="DK12" s="83">
        <v>99413462</v>
      </c>
      <c r="DL12" s="83">
        <v>21065653</v>
      </c>
      <c r="DM12" s="83">
        <v>20980174</v>
      </c>
      <c r="DN12" s="83">
        <v>88018131</v>
      </c>
      <c r="DO12" s="83">
        <v>87345902</v>
      </c>
      <c r="DP12" s="84">
        <v>208810667</v>
      </c>
      <c r="DQ12" s="84">
        <v>207739538</v>
      </c>
      <c r="DR12" s="93">
        <v>81105309.000000134</v>
      </c>
      <c r="DS12" s="83">
        <v>80745994.000000119</v>
      </c>
      <c r="DT12" s="83">
        <v>19794796.000000261</v>
      </c>
      <c r="DU12" s="83">
        <v>19680201.999999993</v>
      </c>
      <c r="DV12" s="83">
        <v>62004547.000000164</v>
      </c>
      <c r="DW12" s="83">
        <v>61522916.000000142</v>
      </c>
      <c r="DX12" s="84">
        <v>162904652.00000054</v>
      </c>
      <c r="DY12" s="95">
        <v>161949112.00000024</v>
      </c>
      <c r="DZ12" s="87">
        <v>163901125.09999999</v>
      </c>
      <c r="EA12" s="87">
        <v>162971992</v>
      </c>
      <c r="EB12" s="87">
        <v>33584182.800000004</v>
      </c>
      <c r="EC12" s="87">
        <v>33415661.200000003</v>
      </c>
      <c r="ED12" s="87">
        <v>139002266</v>
      </c>
      <c r="EE12" s="87">
        <v>138028326.70000002</v>
      </c>
      <c r="EF12" s="88">
        <f t="shared" si="0"/>
        <v>336487573.89999998</v>
      </c>
      <c r="EG12" s="89">
        <f t="shared" si="0"/>
        <v>334415979.89999998</v>
      </c>
      <c r="EH12" s="87"/>
      <c r="EI12" s="87"/>
      <c r="EJ12" s="87"/>
      <c r="EK12" s="87"/>
      <c r="EL12" s="87"/>
      <c r="EM12" s="87"/>
      <c r="EN12" s="88">
        <f t="shared" si="1"/>
        <v>0</v>
      </c>
      <c r="EO12" s="89">
        <f t="shared" si="1"/>
        <v>0</v>
      </c>
    </row>
    <row r="13" spans="1:145">
      <c r="A13" s="343"/>
      <c r="B13" s="330"/>
      <c r="C13" s="33" t="s">
        <v>88</v>
      </c>
      <c r="D13" s="34">
        <v>81.487294199999965</v>
      </c>
      <c r="E13" s="34">
        <v>45.903370799999983</v>
      </c>
      <c r="F13" s="34">
        <v>41.992031799999964</v>
      </c>
      <c r="G13" s="34">
        <v>36.004515399999903</v>
      </c>
      <c r="H13" s="34">
        <v>50.863763800000136</v>
      </c>
      <c r="I13" s="34">
        <v>71.188410599999969</v>
      </c>
      <c r="J13" s="34">
        <v>83.238358400000024</v>
      </c>
      <c r="K13" s="34">
        <v>118.18754759999999</v>
      </c>
      <c r="L13" s="34">
        <v>136.77618279999993</v>
      </c>
      <c r="M13" s="34">
        <v>135.24832960000003</v>
      </c>
      <c r="N13" s="34">
        <v>129.80368719999987</v>
      </c>
      <c r="O13" s="34">
        <v>118.66428100000003</v>
      </c>
      <c r="P13" s="35">
        <v>1049.3577731999999</v>
      </c>
      <c r="Q13" s="90" t="s">
        <v>70</v>
      </c>
      <c r="R13" s="91">
        <v>2864403346.999999</v>
      </c>
      <c r="S13" s="92">
        <v>2851518248.999999</v>
      </c>
      <c r="T13" s="79">
        <v>1458871972.9999993</v>
      </c>
      <c r="U13" s="79">
        <v>1456238103.9999993</v>
      </c>
      <c r="V13" s="79">
        <v>306404870.99999988</v>
      </c>
      <c r="W13" s="79">
        <v>304680126.99999976</v>
      </c>
      <c r="X13" s="79">
        <v>1099126503</v>
      </c>
      <c r="Y13" s="79">
        <v>1090600018.0000002</v>
      </c>
      <c r="Z13" s="93">
        <v>99173800</v>
      </c>
      <c r="AA13" s="83">
        <v>99173800</v>
      </c>
      <c r="AB13" s="83"/>
      <c r="AC13" s="83"/>
      <c r="AD13" s="83"/>
      <c r="AE13" s="83"/>
      <c r="AF13" s="83">
        <v>99173800</v>
      </c>
      <c r="AG13" s="94">
        <v>99173800</v>
      </c>
      <c r="AH13" s="83">
        <v>113006899.99999999</v>
      </c>
      <c r="AI13" s="83">
        <v>112722700.00000003</v>
      </c>
      <c r="AJ13" s="83">
        <v>16156330.000000004</v>
      </c>
      <c r="AK13" s="83">
        <v>16057099.999999994</v>
      </c>
      <c r="AL13" s="83">
        <v>80513800.000000015</v>
      </c>
      <c r="AM13" s="83">
        <v>80513800.000000015</v>
      </c>
      <c r="AN13" s="84">
        <v>209677030</v>
      </c>
      <c r="AO13" s="84">
        <v>209293600.00000006</v>
      </c>
      <c r="AP13" s="93">
        <v>165659000</v>
      </c>
      <c r="AQ13" s="83">
        <v>164802500</v>
      </c>
      <c r="AR13" s="83">
        <v>32645660</v>
      </c>
      <c r="AS13" s="83">
        <v>32436800</v>
      </c>
      <c r="AT13" s="83">
        <v>134288080</v>
      </c>
      <c r="AU13" s="83">
        <v>133141500</v>
      </c>
      <c r="AV13" s="84">
        <v>332592740</v>
      </c>
      <c r="AW13" s="95">
        <v>330380800</v>
      </c>
      <c r="AX13" s="83">
        <v>89815390</v>
      </c>
      <c r="AY13" s="83">
        <v>89424900</v>
      </c>
      <c r="AZ13" s="83">
        <v>24588400</v>
      </c>
      <c r="BA13" s="83">
        <v>24440840</v>
      </c>
      <c r="BB13" s="83">
        <v>70413400</v>
      </c>
      <c r="BC13" s="83">
        <v>69750750</v>
      </c>
      <c r="BD13" s="84">
        <v>184817190</v>
      </c>
      <c r="BE13" s="84">
        <v>183616490</v>
      </c>
      <c r="BF13" s="93">
        <v>123132800.00000004</v>
      </c>
      <c r="BG13" s="83">
        <v>122792000</v>
      </c>
      <c r="BH13" s="83">
        <v>28797600.000000034</v>
      </c>
      <c r="BI13" s="83">
        <v>28622600</v>
      </c>
      <c r="BJ13" s="83">
        <v>109451399.99999997</v>
      </c>
      <c r="BK13" s="83">
        <v>108474800</v>
      </c>
      <c r="BL13" s="84">
        <v>261381800.00000006</v>
      </c>
      <c r="BM13" s="95">
        <v>259889400</v>
      </c>
      <c r="BN13" s="83">
        <v>187190099.99999985</v>
      </c>
      <c r="BO13" s="83">
        <v>186793399.99999991</v>
      </c>
      <c r="BP13" s="83">
        <v>38610900.000000022</v>
      </c>
      <c r="BQ13" s="83">
        <v>38386500</v>
      </c>
      <c r="BR13" s="83">
        <v>156831199.99999994</v>
      </c>
      <c r="BS13" s="83">
        <v>155466500</v>
      </c>
      <c r="BT13" s="84">
        <v>382632199.99999982</v>
      </c>
      <c r="BU13" s="84">
        <v>380646399.99999988</v>
      </c>
      <c r="BV13" s="93">
        <v>119476400.00000013</v>
      </c>
      <c r="BW13" s="83">
        <v>119536499.9999999</v>
      </c>
      <c r="BX13" s="83">
        <v>23635599.999999978</v>
      </c>
      <c r="BY13" s="83">
        <v>23504399.999999948</v>
      </c>
      <c r="BZ13" s="83">
        <v>94820800.000000283</v>
      </c>
      <c r="CA13" s="83">
        <v>94070599.99999997</v>
      </c>
      <c r="CB13" s="84">
        <v>237932800.00000042</v>
      </c>
      <c r="CC13" s="95">
        <v>237111499.99999982</v>
      </c>
      <c r="CD13" s="83">
        <v>101944878.00000003</v>
      </c>
      <c r="CE13" s="83">
        <v>101983673.99999967</v>
      </c>
      <c r="CF13" s="83">
        <v>24424043.999999993</v>
      </c>
      <c r="CG13" s="83">
        <v>24286932.999999974</v>
      </c>
      <c r="CH13" s="83">
        <v>83396789.999999806</v>
      </c>
      <c r="CI13" s="83">
        <v>82710195.99999994</v>
      </c>
      <c r="CJ13" s="84">
        <v>209765711.99999982</v>
      </c>
      <c r="CK13" s="84">
        <v>208980802.99999958</v>
      </c>
      <c r="CL13" s="93">
        <v>166847225.99999979</v>
      </c>
      <c r="CM13" s="83">
        <v>166586303.99999997</v>
      </c>
      <c r="CN13" s="83">
        <v>41756315.999999873</v>
      </c>
      <c r="CO13" s="83">
        <v>41524511.999999925</v>
      </c>
      <c r="CP13" s="83">
        <v>131701014.00000019</v>
      </c>
      <c r="CQ13" s="83">
        <v>130650913.00000021</v>
      </c>
      <c r="CR13" s="84">
        <v>340304555.99999988</v>
      </c>
      <c r="CS13" s="95">
        <v>338761729.00000012</v>
      </c>
      <c r="CT13" s="83">
        <v>141018183.99999896</v>
      </c>
      <c r="CU13" s="83">
        <v>140880430.00000024</v>
      </c>
      <c r="CV13" s="83">
        <v>39907780.00000003</v>
      </c>
      <c r="CW13" s="83">
        <v>39703638.999999963</v>
      </c>
      <c r="CX13" s="83">
        <v>113871511.99999987</v>
      </c>
      <c r="CY13" s="83">
        <v>112977844.00000003</v>
      </c>
      <c r="CZ13" s="84">
        <v>294797475.99999887</v>
      </c>
      <c r="DA13" s="84">
        <v>293561913.00000024</v>
      </c>
      <c r="DB13" s="93">
        <v>151607295.00000039</v>
      </c>
      <c r="DC13" s="83">
        <v>151541895.99999985</v>
      </c>
      <c r="DD13" s="83">
        <v>35882240.999999925</v>
      </c>
      <c r="DE13" s="83">
        <v>35716802.999999978</v>
      </c>
      <c r="DF13" s="83">
        <v>123838506.99999999</v>
      </c>
      <c r="DG13" s="83">
        <v>122843114.99999994</v>
      </c>
      <c r="DH13" s="84">
        <v>311328043.0000003</v>
      </c>
      <c r="DI13" s="95">
        <v>310101813.99999976</v>
      </c>
      <c r="DJ13" s="84">
        <v>195325519.00000006</v>
      </c>
      <c r="DK13" s="84">
        <v>194749651.99999976</v>
      </c>
      <c r="DL13" s="84">
        <v>36942778.000000164</v>
      </c>
      <c r="DM13" s="84">
        <v>36788937.999999985</v>
      </c>
      <c r="DN13" s="84">
        <v>156363652.99999994</v>
      </c>
      <c r="DO13" s="84">
        <v>155127652.99999988</v>
      </c>
      <c r="DP13" s="84">
        <v>388631950.00000018</v>
      </c>
      <c r="DQ13" s="84">
        <v>386666242.99999964</v>
      </c>
      <c r="DR13" s="96">
        <v>86792304.999999702</v>
      </c>
      <c r="DS13" s="84">
        <v>86420782.000000194</v>
      </c>
      <c r="DT13" s="84">
        <v>20401460.999999661</v>
      </c>
      <c r="DU13" s="84">
        <v>20291582.000000011</v>
      </c>
      <c r="DV13" s="84">
        <v>69880805.999999866</v>
      </c>
      <c r="DW13" s="84">
        <v>69338212.999999911</v>
      </c>
      <c r="DX13" s="84">
        <v>177074571.99999923</v>
      </c>
      <c r="DY13" s="95">
        <v>176050577.00000012</v>
      </c>
      <c r="DZ13" s="88">
        <v>194261071.5</v>
      </c>
      <c r="EA13" s="88">
        <v>193299659</v>
      </c>
      <c r="EB13" s="88">
        <v>33506472.399999999</v>
      </c>
      <c r="EC13" s="88">
        <v>33334358.699999996</v>
      </c>
      <c r="ED13" s="88">
        <v>157240918</v>
      </c>
      <c r="EE13" s="88">
        <v>156146210.80000001</v>
      </c>
      <c r="EF13" s="88">
        <f t="shared" si="0"/>
        <v>385008461.89999998</v>
      </c>
      <c r="EG13" s="89">
        <f t="shared" si="0"/>
        <v>382780228.5</v>
      </c>
      <c r="EH13" s="88"/>
      <c r="EI13" s="88"/>
      <c r="EJ13" s="88"/>
      <c r="EK13" s="88"/>
      <c r="EL13" s="88"/>
      <c r="EM13" s="88"/>
      <c r="EN13" s="88">
        <f t="shared" si="1"/>
        <v>0</v>
      </c>
      <c r="EO13" s="89">
        <f t="shared" si="1"/>
        <v>0</v>
      </c>
    </row>
    <row r="14" spans="1:145">
      <c r="A14" s="343"/>
      <c r="B14" s="330"/>
      <c r="C14" s="33" t="s">
        <v>91</v>
      </c>
      <c r="D14" s="34">
        <v>41.641999999999996</v>
      </c>
      <c r="E14" s="34">
        <v>31.988</v>
      </c>
      <c r="F14" s="34">
        <v>34.763999999999996</v>
      </c>
      <c r="G14" s="34">
        <v>35.589999999999996</v>
      </c>
      <c r="H14" s="34">
        <v>47.486000000000004</v>
      </c>
      <c r="I14" s="34">
        <v>70.218000000000004</v>
      </c>
      <c r="J14" s="34">
        <v>77.578000000000003</v>
      </c>
      <c r="K14" s="34">
        <v>82.068000000000012</v>
      </c>
      <c r="L14" s="34">
        <v>109.41800000000001</v>
      </c>
      <c r="M14" s="34">
        <v>127.26400000000001</v>
      </c>
      <c r="N14" s="34">
        <v>92.573999999999998</v>
      </c>
      <c r="O14" s="34">
        <v>67.488</v>
      </c>
      <c r="P14" s="35">
        <v>818.07799999999997</v>
      </c>
      <c r="Q14" s="90" t="s">
        <v>71</v>
      </c>
      <c r="R14" s="91">
        <v>2920912074</v>
      </c>
      <c r="S14" s="92">
        <v>2907941477.999999</v>
      </c>
      <c r="T14" s="79">
        <v>1465497323.9999998</v>
      </c>
      <c r="U14" s="79">
        <v>1462931188</v>
      </c>
      <c r="V14" s="79">
        <v>315601649.99999976</v>
      </c>
      <c r="W14" s="79">
        <v>313925135</v>
      </c>
      <c r="X14" s="79">
        <v>1139813100.0000002</v>
      </c>
      <c r="Y14" s="79">
        <v>1131085154.9999993</v>
      </c>
      <c r="Z14" s="93">
        <v>94657900</v>
      </c>
      <c r="AA14" s="83">
        <v>94657900</v>
      </c>
      <c r="AB14" s="83">
        <v>18038400</v>
      </c>
      <c r="AC14" s="83">
        <v>18038400</v>
      </c>
      <c r="AD14" s="83"/>
      <c r="AE14" s="83"/>
      <c r="AF14" s="83">
        <v>112696300</v>
      </c>
      <c r="AG14" s="94">
        <v>112696300</v>
      </c>
      <c r="AH14" s="83">
        <v>137873600</v>
      </c>
      <c r="AI14" s="83">
        <v>137588999.99999997</v>
      </c>
      <c r="AJ14" s="83">
        <v>25082820</v>
      </c>
      <c r="AK14" s="83">
        <v>24928200.000000007</v>
      </c>
      <c r="AL14" s="83">
        <v>87267800</v>
      </c>
      <c r="AM14" s="83">
        <v>87267800</v>
      </c>
      <c r="AN14" s="84">
        <v>250224220</v>
      </c>
      <c r="AO14" s="84">
        <v>249784999.99999997</v>
      </c>
      <c r="AP14" s="93">
        <v>159865400</v>
      </c>
      <c r="AQ14" s="83">
        <v>159100800</v>
      </c>
      <c r="AR14" s="83">
        <v>24484770</v>
      </c>
      <c r="AS14" s="83">
        <v>24327000</v>
      </c>
      <c r="AT14" s="83">
        <v>139985360</v>
      </c>
      <c r="AU14" s="83">
        <v>138784100</v>
      </c>
      <c r="AV14" s="84">
        <v>324335530</v>
      </c>
      <c r="AW14" s="95">
        <v>322211900</v>
      </c>
      <c r="AX14" s="83">
        <v>129157310</v>
      </c>
      <c r="AY14" s="83">
        <v>128785999.99999991</v>
      </c>
      <c r="AZ14" s="83">
        <v>20333479.999999974</v>
      </c>
      <c r="BA14" s="83">
        <v>20204660.000000011</v>
      </c>
      <c r="BB14" s="83">
        <v>128244000</v>
      </c>
      <c r="BC14" s="83">
        <v>127063569.99999999</v>
      </c>
      <c r="BD14" s="84">
        <v>277734790</v>
      </c>
      <c r="BE14" s="84">
        <v>276054229.99999988</v>
      </c>
      <c r="BF14" s="93">
        <v>101005899.99999991</v>
      </c>
      <c r="BG14" s="83">
        <v>100652399.99999997</v>
      </c>
      <c r="BH14" s="83">
        <v>27668199.999999955</v>
      </c>
      <c r="BI14" s="83">
        <v>27499499.99999997</v>
      </c>
      <c r="BJ14" s="83">
        <v>92450600.000000089</v>
      </c>
      <c r="BK14" s="83">
        <v>91665999.999999851</v>
      </c>
      <c r="BL14" s="84">
        <v>221124699.99999994</v>
      </c>
      <c r="BM14" s="95">
        <v>219817899.99999979</v>
      </c>
      <c r="BN14" s="83">
        <v>151370500</v>
      </c>
      <c r="BO14" s="83">
        <v>151002500.00000024</v>
      </c>
      <c r="BP14" s="83">
        <v>32216899.999999907</v>
      </c>
      <c r="BQ14" s="83">
        <v>32026200.000000071</v>
      </c>
      <c r="BR14" s="83">
        <v>126207100.00000021</v>
      </c>
      <c r="BS14" s="83">
        <v>125116499.99999976</v>
      </c>
      <c r="BT14" s="84">
        <v>309794500.00000012</v>
      </c>
      <c r="BU14" s="84">
        <v>308145200.00000006</v>
      </c>
      <c r="BV14" s="93">
        <v>95110000</v>
      </c>
      <c r="BW14" s="83">
        <v>95198200.000000194</v>
      </c>
      <c r="BX14" s="83">
        <v>10947000</v>
      </c>
      <c r="BY14" s="83">
        <v>10885900.000000037</v>
      </c>
      <c r="BZ14" s="83">
        <v>80047099.999999866</v>
      </c>
      <c r="CA14" s="83">
        <v>79458400.000000075</v>
      </c>
      <c r="CB14" s="84">
        <v>186104099.99999988</v>
      </c>
      <c r="CC14" s="95">
        <v>185542500.0000003</v>
      </c>
      <c r="CD14" s="83">
        <v>75765530.00000003</v>
      </c>
      <c r="CE14" s="83">
        <v>75804160</v>
      </c>
      <c r="CF14" s="83">
        <v>11858167.000000015</v>
      </c>
      <c r="CG14" s="83">
        <v>11793583.000000056</v>
      </c>
      <c r="CH14" s="83">
        <v>73828290.00000003</v>
      </c>
      <c r="CI14" s="83">
        <v>73229023</v>
      </c>
      <c r="CJ14" s="84">
        <v>161451987.00000006</v>
      </c>
      <c r="CK14" s="84">
        <v>160826766.00000006</v>
      </c>
      <c r="CL14" s="93">
        <v>177188284.00000045</v>
      </c>
      <c r="CM14" s="83">
        <v>176912982</v>
      </c>
      <c r="CN14" s="83">
        <v>61071907.000000119</v>
      </c>
      <c r="CO14" s="83">
        <v>60728338.99999997</v>
      </c>
      <c r="CP14" s="83">
        <v>140740082.00000006</v>
      </c>
      <c r="CQ14" s="83">
        <v>139618170</v>
      </c>
      <c r="CR14" s="84">
        <v>379000273.0000006</v>
      </c>
      <c r="CS14" s="95">
        <v>377259491</v>
      </c>
      <c r="CT14" s="83">
        <v>164502473.00000024</v>
      </c>
      <c r="CU14" s="83">
        <v>164348483.99999973</v>
      </c>
      <c r="CV14" s="83">
        <v>53387756.999999747</v>
      </c>
      <c r="CW14" s="83">
        <v>53117994.999999911</v>
      </c>
      <c r="CX14" s="83">
        <v>131237115.9999997</v>
      </c>
      <c r="CY14" s="83">
        <v>130197966.99999943</v>
      </c>
      <c r="CZ14" s="84">
        <v>349127345.9999997</v>
      </c>
      <c r="DA14" s="84">
        <v>347664445.99999905</v>
      </c>
      <c r="DB14" s="93">
        <v>179000426.99999923</v>
      </c>
      <c r="DC14" s="83">
        <v>178878761.99999988</v>
      </c>
      <c r="DD14" s="83">
        <v>30512249.000000067</v>
      </c>
      <c r="DE14" s="83">
        <v>30375357.999999993</v>
      </c>
      <c r="DF14" s="83">
        <v>139805652.00000024</v>
      </c>
      <c r="DG14" s="83">
        <v>138683625.00000009</v>
      </c>
      <c r="DH14" s="84">
        <v>349318327.99999952</v>
      </c>
      <c r="DI14" s="95">
        <v>347937745</v>
      </c>
      <c r="DJ14" s="84">
        <v>179588331.99999946</v>
      </c>
      <c r="DK14" s="84">
        <v>178993180</v>
      </c>
      <c r="DL14" s="84">
        <v>37933302.999999836</v>
      </c>
      <c r="DM14" s="84">
        <v>37782717</v>
      </c>
      <c r="DN14" s="84">
        <v>144265884.99999976</v>
      </c>
      <c r="DO14" s="84">
        <v>143154061</v>
      </c>
      <c r="DP14" s="84">
        <v>361787519.99999905</v>
      </c>
      <c r="DQ14" s="84">
        <v>359929958</v>
      </c>
      <c r="DR14" s="96">
        <v>166618445.00000122</v>
      </c>
      <c r="DS14" s="84">
        <v>165917739.99999988</v>
      </c>
      <c r="DT14" s="84">
        <v>26350116.000000156</v>
      </c>
      <c r="DU14" s="84">
        <v>26214106</v>
      </c>
      <c r="DV14" s="84">
        <v>133278665.00000051</v>
      </c>
      <c r="DW14" s="84">
        <v>132227091.00000009</v>
      </c>
      <c r="DX14" s="84">
        <v>326247226.00000191</v>
      </c>
      <c r="DY14" s="95">
        <v>324358937</v>
      </c>
      <c r="DZ14" s="88">
        <v>193206627.40000001</v>
      </c>
      <c r="EA14" s="88">
        <v>192243028</v>
      </c>
      <c r="EB14" s="88">
        <v>49386004.699999996</v>
      </c>
      <c r="EC14" s="88">
        <v>49139014.600000001</v>
      </c>
      <c r="ED14" s="88">
        <v>155012257.90000001</v>
      </c>
      <c r="EE14" s="88">
        <v>153940503.09999999</v>
      </c>
      <c r="EF14" s="88">
        <f t="shared" si="0"/>
        <v>397604890</v>
      </c>
      <c r="EG14" s="89">
        <f t="shared" si="0"/>
        <v>395322545.69999999</v>
      </c>
      <c r="EH14" s="88"/>
      <c r="EI14" s="88"/>
      <c r="EJ14" s="88"/>
      <c r="EK14" s="88"/>
      <c r="EL14" s="88"/>
      <c r="EM14" s="88"/>
      <c r="EN14" s="88">
        <f t="shared" si="1"/>
        <v>0</v>
      </c>
      <c r="EO14" s="89">
        <f t="shared" si="1"/>
        <v>0</v>
      </c>
    </row>
    <row r="15" spans="1:145">
      <c r="A15" s="343"/>
      <c r="B15" s="330" t="s">
        <v>92</v>
      </c>
      <c r="C15" s="33" t="s">
        <v>81</v>
      </c>
      <c r="D15" s="34">
        <v>135.33539999999999</v>
      </c>
      <c r="E15" s="34">
        <v>104.26439999999999</v>
      </c>
      <c r="F15" s="34">
        <v>115.24939999999999</v>
      </c>
      <c r="G15" s="34">
        <v>115.843</v>
      </c>
      <c r="H15" s="34">
        <v>135.64100000000002</v>
      </c>
      <c r="I15" s="34">
        <v>176.00399999999999</v>
      </c>
      <c r="J15" s="34">
        <v>231.01860000000002</v>
      </c>
      <c r="K15" s="34">
        <v>238.44</v>
      </c>
      <c r="L15" s="34">
        <v>312.71840000000003</v>
      </c>
      <c r="M15" s="34">
        <v>367.33920000000001</v>
      </c>
      <c r="N15" s="34">
        <v>290.66179999999997</v>
      </c>
      <c r="O15" s="34">
        <v>220.46719999999999</v>
      </c>
      <c r="P15" s="35">
        <v>2442.9823999999999</v>
      </c>
      <c r="Q15" s="90" t="s">
        <v>72</v>
      </c>
      <c r="R15" s="91">
        <v>3401308130</v>
      </c>
      <c r="S15" s="92">
        <v>3385733056.000001</v>
      </c>
      <c r="T15" s="79">
        <v>1684292898.9999995</v>
      </c>
      <c r="U15" s="79">
        <v>1680912927.9999998</v>
      </c>
      <c r="V15" s="79">
        <v>458328177.00000036</v>
      </c>
      <c r="W15" s="79">
        <v>455819273.00000018</v>
      </c>
      <c r="X15" s="79">
        <v>1258687053.9999998</v>
      </c>
      <c r="Y15" s="79">
        <v>1249000855.0000007</v>
      </c>
      <c r="Z15" s="93">
        <v>163407500</v>
      </c>
      <c r="AA15" s="83">
        <v>162769300</v>
      </c>
      <c r="AB15" s="83">
        <v>29705000</v>
      </c>
      <c r="AC15" s="83">
        <v>29705000</v>
      </c>
      <c r="AD15" s="83"/>
      <c r="AE15" s="83"/>
      <c r="AF15" s="83">
        <v>193112500</v>
      </c>
      <c r="AG15" s="94">
        <v>192474300</v>
      </c>
      <c r="AH15" s="83">
        <v>110023799.99999997</v>
      </c>
      <c r="AI15" s="83">
        <v>109638800.00000001</v>
      </c>
      <c r="AJ15" s="83">
        <v>6300819.9999999953</v>
      </c>
      <c r="AK15" s="83">
        <v>6262699.9999999991</v>
      </c>
      <c r="AL15" s="83">
        <v>106916699.99999999</v>
      </c>
      <c r="AM15" s="83">
        <v>106916699.99999999</v>
      </c>
      <c r="AN15" s="84">
        <v>223241319.99999994</v>
      </c>
      <c r="AO15" s="84">
        <v>222818200</v>
      </c>
      <c r="AP15" s="93">
        <v>186998427</v>
      </c>
      <c r="AQ15" s="83">
        <v>186239601</v>
      </c>
      <c r="AR15" s="83">
        <v>57841044</v>
      </c>
      <c r="AS15" s="83">
        <v>57465401</v>
      </c>
      <c r="AT15" s="83">
        <v>153809458</v>
      </c>
      <c r="AU15" s="83">
        <v>152459937</v>
      </c>
      <c r="AV15" s="84">
        <v>398648929</v>
      </c>
      <c r="AW15" s="95">
        <v>396164939</v>
      </c>
      <c r="AX15" s="83">
        <v>197963400</v>
      </c>
      <c r="AY15" s="83">
        <v>197574200.00000003</v>
      </c>
      <c r="AZ15" s="83">
        <v>61827580</v>
      </c>
      <c r="BA15" s="83">
        <v>61424200.000000007</v>
      </c>
      <c r="BB15" s="83">
        <v>162031500</v>
      </c>
      <c r="BC15" s="83">
        <v>160529479.99999991</v>
      </c>
      <c r="BD15" s="84">
        <v>421822480</v>
      </c>
      <c r="BE15" s="84">
        <v>419527879.99999994</v>
      </c>
      <c r="BF15" s="93">
        <v>171206600.00000009</v>
      </c>
      <c r="BG15" s="83">
        <v>170778000.00000006</v>
      </c>
      <c r="BH15" s="83">
        <v>52666000</v>
      </c>
      <c r="BI15" s="83">
        <v>52341900.000000089</v>
      </c>
      <c r="BJ15" s="83">
        <v>144624299.99999994</v>
      </c>
      <c r="BK15" s="83">
        <v>143347900.00000006</v>
      </c>
      <c r="BL15" s="84">
        <v>368496900</v>
      </c>
      <c r="BM15" s="95">
        <v>366467800.00000024</v>
      </c>
      <c r="BN15" s="83">
        <v>156671300.00000006</v>
      </c>
      <c r="BO15" s="83">
        <v>156321599.99999964</v>
      </c>
      <c r="BP15" s="83">
        <v>50425700.000000067</v>
      </c>
      <c r="BQ15" s="83">
        <v>50122599.999999978</v>
      </c>
      <c r="BR15" s="83">
        <v>121094799.99999982</v>
      </c>
      <c r="BS15" s="83">
        <v>120039600.00000033</v>
      </c>
      <c r="BT15" s="84">
        <v>328191799.99999994</v>
      </c>
      <c r="BU15" s="84">
        <v>326483799.99999994</v>
      </c>
      <c r="BV15" s="93">
        <v>71211299.999999821</v>
      </c>
      <c r="BW15" s="83">
        <v>71425799.999999955</v>
      </c>
      <c r="BX15" s="83">
        <v>5686200.0000000698</v>
      </c>
      <c r="BY15" s="83">
        <v>5654600.0000000633</v>
      </c>
      <c r="BZ15" s="83">
        <v>72551099.999999866</v>
      </c>
      <c r="CA15" s="83">
        <v>72027500.000000015</v>
      </c>
      <c r="CB15" s="84">
        <v>149448599.99999976</v>
      </c>
      <c r="CC15" s="95">
        <v>149107900.00000003</v>
      </c>
      <c r="CD15" s="83">
        <v>156293499.00000006</v>
      </c>
      <c r="CE15" s="83">
        <v>156212890.99999994</v>
      </c>
      <c r="CF15" s="83">
        <v>39069295.000000045</v>
      </c>
      <c r="CG15" s="83">
        <v>38837807</v>
      </c>
      <c r="CH15" s="83">
        <v>132591531.99999988</v>
      </c>
      <c r="CI15" s="83">
        <v>131502031.99999999</v>
      </c>
      <c r="CJ15" s="84">
        <v>327954326</v>
      </c>
      <c r="CK15" s="84">
        <v>326552729.99999994</v>
      </c>
      <c r="CL15" s="93">
        <v>183541342.9999994</v>
      </c>
      <c r="CM15" s="83">
        <v>183217076.00000012</v>
      </c>
      <c r="CN15" s="83">
        <v>55999551.999999911</v>
      </c>
      <c r="CO15" s="83">
        <v>55688166.000000089</v>
      </c>
      <c r="CP15" s="83">
        <v>143570937.99999985</v>
      </c>
      <c r="CQ15" s="83">
        <v>142442224.00000003</v>
      </c>
      <c r="CR15" s="84">
        <v>383111832.99999917</v>
      </c>
      <c r="CS15" s="95">
        <v>381347466.00000024</v>
      </c>
      <c r="CT15" s="83">
        <v>147825104</v>
      </c>
      <c r="CU15" s="83">
        <v>147640834.00000009</v>
      </c>
      <c r="CV15" s="83">
        <v>57173652.000000238</v>
      </c>
      <c r="CW15" s="83">
        <v>56879205.000000075</v>
      </c>
      <c r="CX15" s="83">
        <v>110509942.00000027</v>
      </c>
      <c r="CY15" s="83">
        <v>109635014.00000033</v>
      </c>
      <c r="CZ15" s="84">
        <v>315508698.00000048</v>
      </c>
      <c r="DA15" s="84">
        <v>314155053.00000048</v>
      </c>
      <c r="DB15" s="93">
        <v>139150626</v>
      </c>
      <c r="DC15" s="83">
        <v>139094826.00000024</v>
      </c>
      <c r="DD15" s="83">
        <v>41633334</v>
      </c>
      <c r="DE15" s="83">
        <v>41437693.999999888</v>
      </c>
      <c r="DF15" s="83">
        <v>110986784</v>
      </c>
      <c r="DG15" s="83">
        <v>110100467.99999994</v>
      </c>
      <c r="DH15" s="84">
        <v>291770744</v>
      </c>
      <c r="DI15" s="95">
        <v>290632988.00000006</v>
      </c>
      <c r="DJ15" s="84">
        <v>193417992.0000003</v>
      </c>
      <c r="DK15" s="84">
        <v>192838776</v>
      </c>
      <c r="DL15" s="84">
        <v>22716196.000000231</v>
      </c>
      <c r="DM15" s="84">
        <v>22621005</v>
      </c>
      <c r="DN15" s="84">
        <v>159092885</v>
      </c>
      <c r="DO15" s="84">
        <v>157829377</v>
      </c>
      <c r="DP15" s="84">
        <v>375227073.00000054</v>
      </c>
      <c r="DQ15" s="84">
        <v>373289158</v>
      </c>
      <c r="DR15" s="96">
        <v>192766093.99999923</v>
      </c>
      <c r="DS15" s="84">
        <v>191928122.00000015</v>
      </c>
      <c r="DT15" s="84">
        <v>44472706</v>
      </c>
      <c r="DU15" s="84">
        <v>44238645.000000015</v>
      </c>
      <c r="DV15" s="84">
        <v>157505538.99999988</v>
      </c>
      <c r="DW15" s="84">
        <v>156234564.99999994</v>
      </c>
      <c r="DX15" s="84">
        <v>394744338.99999911</v>
      </c>
      <c r="DY15" s="95">
        <v>392401332.00000012</v>
      </c>
      <c r="DZ15" s="88">
        <v>196856568</v>
      </c>
      <c r="EA15" s="88">
        <v>195915106</v>
      </c>
      <c r="EB15" s="88">
        <v>50809693.5</v>
      </c>
      <c r="EC15" s="88">
        <v>50556822.699999996</v>
      </c>
      <c r="ED15" s="88">
        <v>154357747.70000002</v>
      </c>
      <c r="EE15" s="88">
        <v>153292228.70000002</v>
      </c>
      <c r="EF15" s="88">
        <f t="shared" si="0"/>
        <v>402024009.20000005</v>
      </c>
      <c r="EG15" s="89">
        <f t="shared" si="0"/>
        <v>399764157.39999998</v>
      </c>
      <c r="EH15" s="88"/>
      <c r="EI15" s="88"/>
      <c r="EJ15" s="88"/>
      <c r="EK15" s="88"/>
      <c r="EL15" s="88"/>
      <c r="EM15" s="88"/>
      <c r="EN15" s="88">
        <f t="shared" si="1"/>
        <v>0</v>
      </c>
      <c r="EO15" s="89">
        <f t="shared" si="1"/>
        <v>0</v>
      </c>
    </row>
    <row r="16" spans="1:145">
      <c r="A16" s="343"/>
      <c r="B16" s="330"/>
      <c r="C16" s="33" t="s">
        <v>84</v>
      </c>
      <c r="D16" s="34">
        <v>222.02003419999974</v>
      </c>
      <c r="E16" s="34">
        <v>129.00189000000032</v>
      </c>
      <c r="F16" s="34">
        <v>128.05158659999978</v>
      </c>
      <c r="G16" s="34">
        <v>108.69096980000013</v>
      </c>
      <c r="H16" s="34">
        <v>136.24159980000005</v>
      </c>
      <c r="I16" s="34">
        <v>180.6070073999999</v>
      </c>
      <c r="J16" s="34">
        <v>209.05350080000025</v>
      </c>
      <c r="K16" s="34">
        <v>302.42731939999965</v>
      </c>
      <c r="L16" s="34">
        <v>353.09613860000019</v>
      </c>
      <c r="M16" s="34">
        <v>352.07253739999987</v>
      </c>
      <c r="N16" s="34">
        <v>342.59904319999998</v>
      </c>
      <c r="O16" s="34">
        <v>310.37541020000032</v>
      </c>
      <c r="P16" s="35">
        <v>2774.2370374000002</v>
      </c>
      <c r="Q16" s="90" t="s">
        <v>73</v>
      </c>
      <c r="R16" s="91">
        <v>2891710475.999999</v>
      </c>
      <c r="S16" s="92">
        <v>2878725833.9999986</v>
      </c>
      <c r="T16" s="79">
        <v>1476589149.9999995</v>
      </c>
      <c r="U16" s="79">
        <v>1473451945.9999993</v>
      </c>
      <c r="V16" s="79">
        <v>367399704.99999976</v>
      </c>
      <c r="W16" s="79">
        <v>365377122</v>
      </c>
      <c r="X16" s="79">
        <v>1047721620.9999999</v>
      </c>
      <c r="Y16" s="79">
        <v>1039896765.9999993</v>
      </c>
      <c r="Z16" s="93">
        <v>149223700</v>
      </c>
      <c r="AA16" s="83">
        <v>148803900</v>
      </c>
      <c r="AB16" s="83">
        <v>22991800</v>
      </c>
      <c r="AC16" s="83">
        <v>22991800</v>
      </c>
      <c r="AD16" s="83"/>
      <c r="AE16" s="83"/>
      <c r="AF16" s="83">
        <v>172215500</v>
      </c>
      <c r="AG16" s="94">
        <v>171795700</v>
      </c>
      <c r="AH16" s="83">
        <v>158704700.00000009</v>
      </c>
      <c r="AI16" s="83">
        <v>158054500</v>
      </c>
      <c r="AJ16" s="83">
        <v>28391430.000000015</v>
      </c>
      <c r="AK16" s="83">
        <v>28201600</v>
      </c>
      <c r="AL16" s="83">
        <v>125610800</v>
      </c>
      <c r="AM16" s="83">
        <v>125610800</v>
      </c>
      <c r="AN16" s="84">
        <v>312706930.00000012</v>
      </c>
      <c r="AO16" s="84">
        <v>311866900</v>
      </c>
      <c r="AP16" s="93">
        <v>151060700</v>
      </c>
      <c r="AQ16" s="83">
        <v>150634100</v>
      </c>
      <c r="AR16" s="83">
        <v>40546990</v>
      </c>
      <c r="AS16" s="83">
        <v>40280800</v>
      </c>
      <c r="AT16" s="83">
        <v>121848980</v>
      </c>
      <c r="AU16" s="83">
        <v>120780610</v>
      </c>
      <c r="AV16" s="84">
        <v>313456670</v>
      </c>
      <c r="AW16" s="95">
        <v>311695510</v>
      </c>
      <c r="AX16" s="83">
        <v>126499700</v>
      </c>
      <c r="AY16" s="83">
        <v>126321999.99999993</v>
      </c>
      <c r="AZ16" s="83">
        <v>45540440.000000007</v>
      </c>
      <c r="BA16" s="83">
        <v>45243999.99999997</v>
      </c>
      <c r="BB16" s="83">
        <v>98273500.00000003</v>
      </c>
      <c r="BC16" s="83">
        <v>97355500.00000003</v>
      </c>
      <c r="BD16" s="84">
        <v>270313640</v>
      </c>
      <c r="BE16" s="84">
        <v>268921499.99999988</v>
      </c>
      <c r="BF16" s="93">
        <v>137920399.99999991</v>
      </c>
      <c r="BG16" s="83">
        <v>137577999.99999994</v>
      </c>
      <c r="BH16" s="83">
        <v>29386200.000000071</v>
      </c>
      <c r="BI16" s="83">
        <v>29206499.999999959</v>
      </c>
      <c r="BJ16" s="83">
        <v>108655099.99999997</v>
      </c>
      <c r="BK16" s="83">
        <v>107689499.9999999</v>
      </c>
      <c r="BL16" s="84">
        <v>275961699.99999994</v>
      </c>
      <c r="BM16" s="95">
        <v>274473999.99999982</v>
      </c>
      <c r="BN16" s="83">
        <v>69214499.999999762</v>
      </c>
      <c r="BO16" s="83">
        <v>68954199.999999896</v>
      </c>
      <c r="BP16" s="83">
        <v>17234299.999999929</v>
      </c>
      <c r="BQ16" s="83">
        <v>17133099.999999963</v>
      </c>
      <c r="BR16" s="83">
        <v>59804500</v>
      </c>
      <c r="BS16" s="83">
        <v>59297699.999999955</v>
      </c>
      <c r="BT16" s="84">
        <v>146253299.9999997</v>
      </c>
      <c r="BU16" s="84">
        <v>145384999.99999982</v>
      </c>
      <c r="BV16" s="93">
        <v>51643500</v>
      </c>
      <c r="BW16" s="83">
        <v>51759899.999999948</v>
      </c>
      <c r="BX16" s="83">
        <v>6830599.9999999767</v>
      </c>
      <c r="BY16" s="83">
        <v>6796800.0000000317</v>
      </c>
      <c r="BZ16" s="83">
        <v>43626400.000000134</v>
      </c>
      <c r="CA16" s="83">
        <v>43231599.999999925</v>
      </c>
      <c r="CB16" s="84">
        <v>102100500.00000012</v>
      </c>
      <c r="CC16" s="95">
        <v>101788299.99999991</v>
      </c>
      <c r="CD16" s="83">
        <v>185100873.99999982</v>
      </c>
      <c r="CE16" s="83">
        <v>184773522.00000003</v>
      </c>
      <c r="CF16" s="83">
        <v>50507664.999999918</v>
      </c>
      <c r="CG16" s="83">
        <v>50196208.000000015</v>
      </c>
      <c r="CH16" s="83">
        <v>144767058.00000018</v>
      </c>
      <c r="CI16" s="83">
        <v>143538568.00000006</v>
      </c>
      <c r="CJ16" s="84">
        <v>380375596.99999988</v>
      </c>
      <c r="CK16" s="84">
        <v>378508298.00000012</v>
      </c>
      <c r="CL16" s="93">
        <v>182610754.99999988</v>
      </c>
      <c r="CM16" s="83">
        <v>182249001.99999994</v>
      </c>
      <c r="CN16" s="83">
        <v>54194130.000000119</v>
      </c>
      <c r="CO16" s="83">
        <v>53889927.999999985</v>
      </c>
      <c r="CP16" s="83">
        <v>150226480</v>
      </c>
      <c r="CQ16" s="83">
        <v>149029431.99999991</v>
      </c>
      <c r="CR16" s="84">
        <v>387031365</v>
      </c>
      <c r="CS16" s="95">
        <v>385168361.99999988</v>
      </c>
      <c r="CT16" s="83">
        <v>88371788.999999881</v>
      </c>
      <c r="CU16" s="83">
        <v>88240303.999999791</v>
      </c>
      <c r="CV16" s="83">
        <v>24243526.999999769</v>
      </c>
      <c r="CW16" s="83">
        <v>24123730.000000004</v>
      </c>
      <c r="CX16" s="83">
        <v>56484308.999999657</v>
      </c>
      <c r="CY16" s="83">
        <v>56031145.999999687</v>
      </c>
      <c r="CZ16" s="84">
        <v>169099624.99999928</v>
      </c>
      <c r="DA16" s="84">
        <v>168395179.99999946</v>
      </c>
      <c r="DB16" s="93">
        <v>176238532</v>
      </c>
      <c r="DC16" s="83">
        <v>176082517.99999997</v>
      </c>
      <c r="DD16" s="83">
        <v>47532623</v>
      </c>
      <c r="DE16" s="83">
        <v>47312656.00000003</v>
      </c>
      <c r="DF16" s="83">
        <v>138424494</v>
      </c>
      <c r="DG16" s="83">
        <v>137331910</v>
      </c>
      <c r="DH16" s="84">
        <v>362195649</v>
      </c>
      <c r="DI16" s="95">
        <v>360727084</v>
      </c>
      <c r="DJ16" s="84">
        <v>189007042.00000012</v>
      </c>
      <c r="DK16" s="84">
        <v>188443670</v>
      </c>
      <c r="DL16" s="84">
        <v>46793722.000000067</v>
      </c>
      <c r="DM16" s="84">
        <v>46595068.999999985</v>
      </c>
      <c r="DN16" s="84">
        <v>151583346.99999961</v>
      </c>
      <c r="DO16" s="84">
        <v>150380104.99999982</v>
      </c>
      <c r="DP16" s="84">
        <v>387384110.99999976</v>
      </c>
      <c r="DQ16" s="84">
        <v>385418843.99999982</v>
      </c>
      <c r="DR16" s="96">
        <v>192900180.00000086</v>
      </c>
      <c r="DS16" s="84">
        <v>192006991.9999997</v>
      </c>
      <c r="DT16" s="84">
        <v>56895757.999999911</v>
      </c>
      <c r="DU16" s="84">
        <v>56593430</v>
      </c>
      <c r="DV16" s="84">
        <v>157488527.99999994</v>
      </c>
      <c r="DW16" s="84">
        <v>156245842.99999994</v>
      </c>
      <c r="DX16" s="84">
        <v>407284466.00000072</v>
      </c>
      <c r="DY16" s="95">
        <v>404846264.99999964</v>
      </c>
      <c r="DZ16" s="88">
        <v>168382186.5</v>
      </c>
      <c r="EA16" s="88">
        <v>167577315</v>
      </c>
      <c r="EB16" s="88">
        <v>38933324</v>
      </c>
      <c r="EC16" s="88">
        <v>38743403</v>
      </c>
      <c r="ED16" s="88">
        <v>124998186.2</v>
      </c>
      <c r="EE16" s="88">
        <v>124136529.2</v>
      </c>
      <c r="EF16" s="88">
        <f t="shared" si="0"/>
        <v>332313696.69999999</v>
      </c>
      <c r="EG16" s="89">
        <f t="shared" si="0"/>
        <v>330457247.19999999</v>
      </c>
      <c r="EH16" s="88"/>
      <c r="EI16" s="88"/>
      <c r="EJ16" s="88"/>
      <c r="EK16" s="88"/>
      <c r="EL16" s="88"/>
      <c r="EM16" s="88"/>
      <c r="EN16" s="88">
        <f t="shared" si="1"/>
        <v>0</v>
      </c>
      <c r="EO16" s="89">
        <f t="shared" si="1"/>
        <v>0</v>
      </c>
    </row>
    <row r="17" spans="1:145">
      <c r="A17" s="343"/>
      <c r="B17" s="330"/>
      <c r="C17" s="33" t="s">
        <v>88</v>
      </c>
      <c r="D17" s="34">
        <v>220.97202720000001</v>
      </c>
      <c r="E17" s="34">
        <v>128.35058459999991</v>
      </c>
      <c r="F17" s="34">
        <v>127.42016420000004</v>
      </c>
      <c r="G17" s="34">
        <v>108.10701279999982</v>
      </c>
      <c r="H17" s="34">
        <v>135.50954400000006</v>
      </c>
      <c r="I17" s="34">
        <v>179.75978699999996</v>
      </c>
      <c r="J17" s="34">
        <v>208.06661380000014</v>
      </c>
      <c r="K17" s="34">
        <v>301.02845519999994</v>
      </c>
      <c r="L17" s="34">
        <v>351.43011539999981</v>
      </c>
      <c r="M17" s="34">
        <v>350.36519940000017</v>
      </c>
      <c r="N17" s="34">
        <v>340.9111469999998</v>
      </c>
      <c r="O17" s="34">
        <v>308.85707000000008</v>
      </c>
      <c r="P17" s="35">
        <v>2760.7777205999992</v>
      </c>
      <c r="Q17" s="90" t="s">
        <v>74</v>
      </c>
      <c r="R17" s="91">
        <v>2454406650.0000019</v>
      </c>
      <c r="S17" s="92">
        <v>2443396853.7000008</v>
      </c>
      <c r="T17" s="79">
        <v>1244265722.0000021</v>
      </c>
      <c r="U17" s="79">
        <v>1241445806</v>
      </c>
      <c r="V17" s="79">
        <v>299896757.99999994</v>
      </c>
      <c r="W17" s="79">
        <v>298184275.70000023</v>
      </c>
      <c r="X17" s="79">
        <v>910244170</v>
      </c>
      <c r="Y17" s="79">
        <v>903766772.00000036</v>
      </c>
      <c r="Z17" s="93">
        <v>77005900.00000003</v>
      </c>
      <c r="AA17" s="83">
        <v>76812500</v>
      </c>
      <c r="AB17" s="83">
        <v>11327300</v>
      </c>
      <c r="AC17" s="83">
        <v>11327300</v>
      </c>
      <c r="AD17" s="83"/>
      <c r="AE17" s="83"/>
      <c r="AF17" s="83">
        <v>88333200.00000003</v>
      </c>
      <c r="AG17" s="94">
        <v>88139800</v>
      </c>
      <c r="AH17" s="83">
        <v>176105199.99999994</v>
      </c>
      <c r="AI17" s="83">
        <v>175423664</v>
      </c>
      <c r="AJ17" s="83">
        <v>34461909.999999993</v>
      </c>
      <c r="AK17" s="83">
        <v>34216118.699999996</v>
      </c>
      <c r="AL17" s="83">
        <v>145122200</v>
      </c>
      <c r="AM17" s="83">
        <v>145122200</v>
      </c>
      <c r="AN17" s="84">
        <v>355689309.99999994</v>
      </c>
      <c r="AO17" s="84">
        <v>354761982.69999999</v>
      </c>
      <c r="AP17" s="93">
        <v>146019300</v>
      </c>
      <c r="AQ17" s="83">
        <v>145556200</v>
      </c>
      <c r="AR17" s="83">
        <v>35038040</v>
      </c>
      <c r="AS17" s="83">
        <v>34804300</v>
      </c>
      <c r="AT17" s="83">
        <v>111804340</v>
      </c>
      <c r="AU17" s="83">
        <v>110843170</v>
      </c>
      <c r="AV17" s="84">
        <v>292861680</v>
      </c>
      <c r="AW17" s="95">
        <v>291203670</v>
      </c>
      <c r="AX17" s="83">
        <v>60752500.000000037</v>
      </c>
      <c r="AY17" s="83">
        <v>60601500.000000045</v>
      </c>
      <c r="AZ17" s="83">
        <v>26213860.00000006</v>
      </c>
      <c r="BA17" s="83">
        <v>26041100.000000022</v>
      </c>
      <c r="BB17" s="83">
        <v>51891899.999999985</v>
      </c>
      <c r="BC17" s="83">
        <v>51378700.000000015</v>
      </c>
      <c r="BD17" s="84">
        <v>138858260.00000006</v>
      </c>
      <c r="BE17" s="84">
        <v>138021300.00000006</v>
      </c>
      <c r="BF17" s="93">
        <v>92884300.000000045</v>
      </c>
      <c r="BG17" s="83">
        <v>92648800</v>
      </c>
      <c r="BH17" s="83">
        <v>23657800.000000045</v>
      </c>
      <c r="BI17" s="83">
        <v>23511700</v>
      </c>
      <c r="BJ17" s="83">
        <v>73272799.999999925</v>
      </c>
      <c r="BK17" s="83">
        <v>72640900</v>
      </c>
      <c r="BL17" s="84">
        <v>189814900</v>
      </c>
      <c r="BM17" s="95">
        <v>188801400</v>
      </c>
      <c r="BN17" s="83">
        <v>59488500</v>
      </c>
      <c r="BO17" s="83">
        <v>59319200.000000015</v>
      </c>
      <c r="BP17" s="83">
        <v>17038914.999999978</v>
      </c>
      <c r="BQ17" s="83">
        <v>16938172.000000067</v>
      </c>
      <c r="BR17" s="83">
        <v>38710599.999999858</v>
      </c>
      <c r="BS17" s="83">
        <v>38372600.000000149</v>
      </c>
      <c r="BT17" s="84">
        <v>115238014.99999982</v>
      </c>
      <c r="BU17" s="84">
        <v>114629972.00000024</v>
      </c>
      <c r="BV17" s="93">
        <v>47109500.000000231</v>
      </c>
      <c r="BW17" s="83">
        <v>47073500.000000045</v>
      </c>
      <c r="BX17" s="83">
        <v>11530799.999999929</v>
      </c>
      <c r="BY17" s="83">
        <v>11466199.999999939</v>
      </c>
      <c r="BZ17" s="83">
        <v>32681399.999999907</v>
      </c>
      <c r="CA17" s="83">
        <v>32381100.000000142</v>
      </c>
      <c r="CB17" s="84">
        <v>91321700.000000075</v>
      </c>
      <c r="CC17" s="95">
        <v>90920800.000000119</v>
      </c>
      <c r="CD17" s="83">
        <v>195297553.0000003</v>
      </c>
      <c r="CE17" s="83">
        <v>194888839.99999994</v>
      </c>
      <c r="CF17" s="83">
        <v>46910890.000000134</v>
      </c>
      <c r="CG17" s="83">
        <v>46633431.999999985</v>
      </c>
      <c r="CH17" s="83">
        <v>155644894.00000009</v>
      </c>
      <c r="CI17" s="83">
        <v>154329945.00000012</v>
      </c>
      <c r="CJ17" s="84">
        <v>397853337.00000048</v>
      </c>
      <c r="CK17" s="84">
        <v>395852217.00000006</v>
      </c>
      <c r="CL17" s="93">
        <v>189607956.00000072</v>
      </c>
      <c r="CM17" s="83">
        <v>189293087.99999994</v>
      </c>
      <c r="CN17" s="83">
        <v>41483336.999999821</v>
      </c>
      <c r="CO17" s="83">
        <v>41256631.000000164</v>
      </c>
      <c r="CP17" s="83">
        <v>154083533.0000003</v>
      </c>
      <c r="CQ17" s="83">
        <v>152848585</v>
      </c>
      <c r="CR17" s="84">
        <v>385174826.00000083</v>
      </c>
      <c r="CS17" s="95">
        <v>383398304.00000012</v>
      </c>
      <c r="CT17" s="83">
        <v>114598782</v>
      </c>
      <c r="CU17" s="83">
        <v>114494670</v>
      </c>
      <c r="CV17" s="83">
        <v>27942358</v>
      </c>
      <c r="CW17" s="83">
        <v>27808314</v>
      </c>
      <c r="CX17" s="83">
        <v>83636537</v>
      </c>
      <c r="CY17" s="83">
        <v>82956030</v>
      </c>
      <c r="CZ17" s="84">
        <v>226177677</v>
      </c>
      <c r="DA17" s="84">
        <v>225259014</v>
      </c>
      <c r="DB17" s="93">
        <v>85396231.000000611</v>
      </c>
      <c r="DC17" s="83">
        <v>85333843.999999911</v>
      </c>
      <c r="DD17" s="83">
        <v>24291547.999999952</v>
      </c>
      <c r="DE17" s="83">
        <v>24181008.000000052</v>
      </c>
      <c r="DF17" s="83">
        <v>63395966.000000015</v>
      </c>
      <c r="DG17" s="83">
        <v>62893541.999999993</v>
      </c>
      <c r="DH17" s="84">
        <v>173083745.0000006</v>
      </c>
      <c r="DI17" s="95">
        <v>172408393.99999997</v>
      </c>
      <c r="DJ17" s="83">
        <v>202913428.99999952</v>
      </c>
      <c r="DK17" s="83">
        <v>202295368.00000003</v>
      </c>
      <c r="DL17" s="83">
        <v>43477064.99999994</v>
      </c>
      <c r="DM17" s="83">
        <v>43301191.999999993</v>
      </c>
      <c r="DN17" s="83">
        <v>154713837.00000077</v>
      </c>
      <c r="DO17" s="83">
        <v>153475928.00000018</v>
      </c>
      <c r="DP17" s="84">
        <v>401104331.00000024</v>
      </c>
      <c r="DQ17" s="84">
        <v>399072488.00000024</v>
      </c>
      <c r="DR17" s="93">
        <v>181473851.99999973</v>
      </c>
      <c r="DS17" s="83">
        <v>180633850.00000018</v>
      </c>
      <c r="DT17" s="83">
        <v>42598993.999999948</v>
      </c>
      <c r="DU17" s="83">
        <v>42365979.999999985</v>
      </c>
      <c r="DV17" s="83">
        <v>142263626.00000015</v>
      </c>
      <c r="DW17" s="83">
        <v>141147319.99999994</v>
      </c>
      <c r="DX17" s="84">
        <v>366336471.99999982</v>
      </c>
      <c r="DY17" s="95">
        <v>364147150.00000012</v>
      </c>
      <c r="DZ17" s="87">
        <v>153629552.30000001</v>
      </c>
      <c r="EA17" s="87">
        <v>152893436</v>
      </c>
      <c r="EB17" s="87">
        <v>26922136.399999999</v>
      </c>
      <c r="EC17" s="87">
        <v>26788366.199999999</v>
      </c>
      <c r="ED17" s="87">
        <v>115041653.2</v>
      </c>
      <c r="EE17" s="87">
        <v>114235163</v>
      </c>
      <c r="EF17" s="88">
        <f t="shared" si="0"/>
        <v>295593341.90000004</v>
      </c>
      <c r="EG17" s="89">
        <f t="shared" si="0"/>
        <v>293916965.19999999</v>
      </c>
      <c r="EH17" s="87"/>
      <c r="EI17" s="87"/>
      <c r="EJ17" s="87"/>
      <c r="EK17" s="87"/>
      <c r="EL17" s="87"/>
      <c r="EM17" s="87"/>
      <c r="EN17" s="88">
        <f t="shared" si="1"/>
        <v>0</v>
      </c>
      <c r="EO17" s="89">
        <f t="shared" si="1"/>
        <v>0</v>
      </c>
    </row>
    <row r="18" spans="1:145">
      <c r="A18" s="344"/>
      <c r="B18" s="337"/>
      <c r="C18" s="36" t="s">
        <v>91</v>
      </c>
      <c r="D18" s="37">
        <v>112.77200000000001</v>
      </c>
      <c r="E18" s="37">
        <v>87.468000000000004</v>
      </c>
      <c r="F18" s="37">
        <v>96.322000000000003</v>
      </c>
      <c r="G18" s="37">
        <v>96.753999999999991</v>
      </c>
      <c r="H18" s="37">
        <v>119.154</v>
      </c>
      <c r="I18" s="37">
        <v>168.214</v>
      </c>
      <c r="J18" s="37">
        <v>178.30799999999999</v>
      </c>
      <c r="K18" s="37">
        <v>198.43599999999998</v>
      </c>
      <c r="L18" s="37">
        <v>260.89400000000001</v>
      </c>
      <c r="M18" s="37">
        <v>306.29599999999999</v>
      </c>
      <c r="N18" s="37">
        <v>242.38800000000001</v>
      </c>
      <c r="O18" s="37">
        <v>184.15799999999999</v>
      </c>
      <c r="P18" s="38">
        <v>2051.1639999999998</v>
      </c>
      <c r="Q18" s="97" t="s">
        <v>92</v>
      </c>
      <c r="R18" s="98">
        <v>24982143398</v>
      </c>
      <c r="S18" s="99">
        <v>24862968752.700001</v>
      </c>
      <c r="T18" s="100">
        <v>12506822888</v>
      </c>
      <c r="U18" s="100">
        <v>12479158595.999998</v>
      </c>
      <c r="V18" s="100">
        <v>3253122294</v>
      </c>
      <c r="W18" s="100">
        <v>3234498283.7000003</v>
      </c>
      <c r="X18" s="100">
        <v>9222198216</v>
      </c>
      <c r="Y18" s="100">
        <v>9149311873</v>
      </c>
      <c r="Z18" s="101">
        <v>893977000</v>
      </c>
      <c r="AA18" s="102">
        <v>892725600</v>
      </c>
      <c r="AB18" s="102">
        <v>82062500</v>
      </c>
      <c r="AC18" s="102">
        <v>82062500</v>
      </c>
      <c r="AD18" s="102">
        <v>0</v>
      </c>
      <c r="AE18" s="102">
        <v>0</v>
      </c>
      <c r="AF18" s="102">
        <v>976039500</v>
      </c>
      <c r="AG18" s="103">
        <v>974788100</v>
      </c>
      <c r="AH18" s="102">
        <v>1032045800</v>
      </c>
      <c r="AI18" s="102">
        <v>1028732364</v>
      </c>
      <c r="AJ18" s="102">
        <v>217124950</v>
      </c>
      <c r="AK18" s="102">
        <v>215749718.69999999</v>
      </c>
      <c r="AL18" s="102">
        <v>632334900</v>
      </c>
      <c r="AM18" s="102">
        <v>632334900</v>
      </c>
      <c r="AN18" s="104">
        <v>1881505650</v>
      </c>
      <c r="AO18" s="104">
        <v>1876816982.7</v>
      </c>
      <c r="AP18" s="101">
        <v>1344739247</v>
      </c>
      <c r="AQ18" s="102">
        <v>1338621827</v>
      </c>
      <c r="AR18" s="102">
        <v>341436424</v>
      </c>
      <c r="AS18" s="102">
        <v>339183286</v>
      </c>
      <c r="AT18" s="102">
        <v>1107063032</v>
      </c>
      <c r="AU18" s="102">
        <v>1097445277</v>
      </c>
      <c r="AV18" s="104">
        <v>2793238703</v>
      </c>
      <c r="AW18" s="105">
        <v>2775250390</v>
      </c>
      <c r="AX18" s="102">
        <v>1150916999.9999998</v>
      </c>
      <c r="AY18" s="102">
        <v>1147607703.9999998</v>
      </c>
      <c r="AZ18" s="102">
        <v>344017150.00000006</v>
      </c>
      <c r="BA18" s="102">
        <v>341797300</v>
      </c>
      <c r="BB18" s="102">
        <v>972415510</v>
      </c>
      <c r="BC18" s="102">
        <v>963481057.99999964</v>
      </c>
      <c r="BD18" s="104">
        <v>2467349660</v>
      </c>
      <c r="BE18" s="104">
        <v>2452886061.9999995</v>
      </c>
      <c r="BF18" s="101">
        <v>1035968020.0000001</v>
      </c>
      <c r="BG18" s="102">
        <v>1032865093</v>
      </c>
      <c r="BH18" s="102">
        <v>292874287.00000006</v>
      </c>
      <c r="BI18" s="102">
        <v>291048407.00000006</v>
      </c>
      <c r="BJ18" s="102">
        <v>896856277.99999988</v>
      </c>
      <c r="BK18" s="102">
        <v>888898584.99999988</v>
      </c>
      <c r="BL18" s="104">
        <v>2225698585</v>
      </c>
      <c r="BM18" s="105">
        <v>2212812085</v>
      </c>
      <c r="BN18" s="102">
        <v>1144509799.9999998</v>
      </c>
      <c r="BO18" s="102">
        <v>1141889499.9999998</v>
      </c>
      <c r="BP18" s="102">
        <v>321605312</v>
      </c>
      <c r="BQ18" s="102">
        <v>319676385.00000006</v>
      </c>
      <c r="BR18" s="102">
        <v>936557899.99999988</v>
      </c>
      <c r="BS18" s="102">
        <v>928320200.00000095</v>
      </c>
      <c r="BT18" s="104">
        <v>2402673011.9999995</v>
      </c>
      <c r="BU18" s="104">
        <v>2389886085.000001</v>
      </c>
      <c r="BV18" s="101">
        <v>735936933.00000024</v>
      </c>
      <c r="BW18" s="102">
        <v>735433976.00000036</v>
      </c>
      <c r="BX18" s="102">
        <v>197928654</v>
      </c>
      <c r="BY18" s="102">
        <v>196730314.99999997</v>
      </c>
      <c r="BZ18" s="102">
        <v>617627854</v>
      </c>
      <c r="CA18" s="102">
        <v>612489801</v>
      </c>
      <c r="CB18" s="104">
        <v>1551493441.0000002</v>
      </c>
      <c r="CC18" s="105">
        <v>1544654092.0000005</v>
      </c>
      <c r="CD18" s="102">
        <v>1022744976.9999998</v>
      </c>
      <c r="CE18" s="102">
        <v>1022088047.9999998</v>
      </c>
      <c r="CF18" s="102">
        <v>294451869.00000012</v>
      </c>
      <c r="CG18" s="102">
        <v>292718020</v>
      </c>
      <c r="CH18" s="102">
        <v>853804169.00000036</v>
      </c>
      <c r="CI18" s="102">
        <v>846634625.00000012</v>
      </c>
      <c r="CJ18" s="104">
        <v>2171001015.0000005</v>
      </c>
      <c r="CK18" s="104">
        <v>2161440693</v>
      </c>
      <c r="CL18" s="101">
        <v>1743295097.0000002</v>
      </c>
      <c r="CM18" s="102">
        <v>1739780775</v>
      </c>
      <c r="CN18" s="102">
        <v>474124293.9999997</v>
      </c>
      <c r="CO18" s="102">
        <v>471475071.00000018</v>
      </c>
      <c r="CP18" s="102">
        <v>1374046575.0000002</v>
      </c>
      <c r="CQ18" s="102">
        <v>1362807168</v>
      </c>
      <c r="CR18" s="104">
        <v>3591465966</v>
      </c>
      <c r="CS18" s="105">
        <v>3574063014</v>
      </c>
      <c r="CT18" s="102">
        <v>1219220093.9999995</v>
      </c>
      <c r="CU18" s="102">
        <v>1217133932</v>
      </c>
      <c r="CV18" s="102">
        <v>377921036.00000012</v>
      </c>
      <c r="CW18" s="102">
        <v>375938857.99999988</v>
      </c>
      <c r="CX18" s="102">
        <v>916693847.9999994</v>
      </c>
      <c r="CY18" s="102">
        <v>909424647.99999928</v>
      </c>
      <c r="CZ18" s="104">
        <v>2513834977.999999</v>
      </c>
      <c r="DA18" s="104">
        <v>2502497437.999999</v>
      </c>
      <c r="DB18" s="101">
        <v>1183468920.0000002</v>
      </c>
      <c r="DC18" s="102">
        <v>1182279776.9999998</v>
      </c>
      <c r="DD18" s="102">
        <v>309575818</v>
      </c>
      <c r="DE18" s="102">
        <v>308118423</v>
      </c>
      <c r="DF18" s="102">
        <v>914798150.00000024</v>
      </c>
      <c r="DG18" s="102">
        <v>907475611.00000024</v>
      </c>
      <c r="DH18" s="104">
        <v>2407842888.0000005</v>
      </c>
      <c r="DI18" s="105">
        <v>2397873811</v>
      </c>
      <c r="DJ18" s="102">
        <v>1327981745</v>
      </c>
      <c r="DK18" s="102">
        <v>1324164930</v>
      </c>
      <c r="DL18" s="102">
        <v>320899196.00000066</v>
      </c>
      <c r="DM18" s="102">
        <v>319516361.00000006</v>
      </c>
      <c r="DN18" s="102">
        <v>1063968208.0000002</v>
      </c>
      <c r="DO18" s="102">
        <v>1055549199.9999998</v>
      </c>
      <c r="DP18" s="104">
        <v>2712849149.000001</v>
      </c>
      <c r="DQ18" s="104">
        <v>2699230491</v>
      </c>
      <c r="DR18" s="101">
        <v>1285696600.0000012</v>
      </c>
      <c r="DS18" s="102">
        <v>1280620482</v>
      </c>
      <c r="DT18" s="102">
        <v>339820873.99999976</v>
      </c>
      <c r="DU18" s="102">
        <v>338071128</v>
      </c>
      <c r="DV18" s="102">
        <v>1019674731.9999996</v>
      </c>
      <c r="DW18" s="102">
        <v>1011532239</v>
      </c>
      <c r="DX18" s="104">
        <v>2645192206.0000005</v>
      </c>
      <c r="DY18" s="105">
        <v>2630223849</v>
      </c>
      <c r="DZ18" s="106">
        <f>SUM(DZ6:DZ17)</f>
        <v>1631521910.5</v>
      </c>
      <c r="EA18" s="106">
        <f t="shared" ref="EA18:EE18" si="2">SUM(EA6:EA17)</f>
        <v>1623384475</v>
      </c>
      <c r="EB18" s="106">
        <f t="shared" si="2"/>
        <v>389621625.39999998</v>
      </c>
      <c r="EC18" s="106">
        <f t="shared" si="2"/>
        <v>387588865.5</v>
      </c>
      <c r="ED18" s="106">
        <f t="shared" si="2"/>
        <v>1278525094.5</v>
      </c>
      <c r="EE18" s="106">
        <f t="shared" si="2"/>
        <v>1269041785.6000001</v>
      </c>
      <c r="EF18" s="88">
        <f t="shared" si="0"/>
        <v>3299668630.4000001</v>
      </c>
      <c r="EG18" s="89">
        <f t="shared" si="0"/>
        <v>3280015126.1000004</v>
      </c>
      <c r="EH18" s="106">
        <f>SUM(EH6:EH17)</f>
        <v>346268330</v>
      </c>
      <c r="EI18" s="106">
        <f t="shared" ref="EI18:EM18" si="3">SUM(EI6:EI17)</f>
        <v>344627185</v>
      </c>
      <c r="EJ18" s="106">
        <f t="shared" si="3"/>
        <v>113265389.80000001</v>
      </c>
      <c r="EK18" s="106">
        <f t="shared" si="3"/>
        <v>112679937.59999999</v>
      </c>
      <c r="EL18" s="106">
        <f t="shared" si="3"/>
        <v>251959763.29999995</v>
      </c>
      <c r="EM18" s="106">
        <f t="shared" si="3"/>
        <v>250005639.90000001</v>
      </c>
      <c r="EN18" s="88">
        <f t="shared" si="1"/>
        <v>711493483.0999999</v>
      </c>
      <c r="EO18" s="89">
        <f t="shared" si="1"/>
        <v>707312762.5</v>
      </c>
    </row>
    <row r="19" spans="1:145" ht="24">
      <c r="A19" s="39" t="s">
        <v>93</v>
      </c>
      <c r="B19" s="40" t="s">
        <v>80</v>
      </c>
      <c r="C19" s="41" t="s">
        <v>81</v>
      </c>
      <c r="D19" s="42">
        <v>17.627222222222219</v>
      </c>
      <c r="E19" s="42">
        <v>16.360333333333333</v>
      </c>
      <c r="F19" s="42">
        <v>19.157888888888888</v>
      </c>
      <c r="G19" s="42">
        <v>19.283888888888885</v>
      </c>
      <c r="H19" s="42">
        <v>20.689222222222224</v>
      </c>
      <c r="I19" s="42">
        <v>18.545000000000002</v>
      </c>
      <c r="J19" s="42">
        <v>23.803555555555558</v>
      </c>
      <c r="K19" s="42">
        <v>29.662333333333336</v>
      </c>
      <c r="L19" s="42">
        <v>34.186333333333337</v>
      </c>
      <c r="M19" s="42">
        <v>30.549777777777781</v>
      </c>
      <c r="N19" s="42">
        <v>27.262222222222221</v>
      </c>
      <c r="O19" s="42">
        <v>19.866</v>
      </c>
      <c r="P19" s="43">
        <v>276.99377777777778</v>
      </c>
      <c r="DR19" s="107"/>
    </row>
    <row r="20" spans="1:145">
      <c r="A20" s="39"/>
      <c r="B20" s="40"/>
      <c r="C20" s="41" t="s">
        <v>84</v>
      </c>
      <c r="D20" s="44">
        <v>23.590942999999974</v>
      </c>
      <c r="E20" s="44">
        <v>21.060321300000041</v>
      </c>
      <c r="F20" s="44">
        <v>25.850617099999994</v>
      </c>
      <c r="G20" s="44">
        <v>19.021099300000024</v>
      </c>
      <c r="H20" s="44">
        <v>18.017892399999948</v>
      </c>
      <c r="I20" s="44">
        <v>19.617169600000047</v>
      </c>
      <c r="J20" s="44">
        <v>25.843711700000068</v>
      </c>
      <c r="K20" s="44">
        <v>31.494711999999964</v>
      </c>
      <c r="L20" s="44">
        <v>31.227907899999973</v>
      </c>
      <c r="M20" s="44">
        <v>43.167021500000054</v>
      </c>
      <c r="N20" s="44">
        <v>37.915896499999974</v>
      </c>
      <c r="O20" s="44">
        <v>30.514556699999979</v>
      </c>
      <c r="P20" s="45">
        <v>327.32184899999999</v>
      </c>
      <c r="R20" s="71">
        <f>R17/R16</f>
        <v>0.84877330229653414</v>
      </c>
      <c r="DJ20" s="108"/>
      <c r="DK20" s="108"/>
      <c r="DL20" s="108"/>
      <c r="DM20" s="108"/>
      <c r="DN20" s="108"/>
      <c r="DO20" s="108"/>
      <c r="DP20" s="108"/>
    </row>
    <row r="21" spans="1:145">
      <c r="A21" s="39"/>
      <c r="B21" s="40"/>
      <c r="C21" s="41" t="s">
        <v>88</v>
      </c>
      <c r="D21" s="44">
        <v>23.458276299999973</v>
      </c>
      <c r="E21" s="44">
        <v>20.941830700000018</v>
      </c>
      <c r="F21" s="44">
        <v>25.703474999999997</v>
      </c>
      <c r="G21" s="44">
        <v>18.91104630000001</v>
      </c>
      <c r="H21" s="44">
        <v>17.912934200000002</v>
      </c>
      <c r="I21" s="44">
        <v>19.504368999999983</v>
      </c>
      <c r="J21" s="44">
        <v>25.70348760000001</v>
      </c>
      <c r="K21" s="44">
        <v>31.326674699999973</v>
      </c>
      <c r="L21" s="44">
        <v>31.062835799999998</v>
      </c>
      <c r="M21" s="44">
        <v>42.924582200000017</v>
      </c>
      <c r="N21" s="44">
        <v>37.709142099999994</v>
      </c>
      <c r="O21" s="44">
        <v>30.350372900000018</v>
      </c>
      <c r="P21" s="45">
        <v>325.50902680000002</v>
      </c>
      <c r="R21" s="71">
        <f>O16/N16</f>
        <v>0.90594359896916465</v>
      </c>
      <c r="DJ21" s="108"/>
      <c r="DK21" s="108"/>
      <c r="DL21" s="108"/>
      <c r="DM21" s="108"/>
      <c r="DN21" s="108"/>
      <c r="DO21" s="108"/>
      <c r="DP21" s="108"/>
    </row>
    <row r="22" spans="1:145">
      <c r="A22" s="39"/>
      <c r="B22" s="40"/>
      <c r="C22" s="41" t="s">
        <v>91</v>
      </c>
      <c r="D22" s="42">
        <v>15.47913211111111</v>
      </c>
      <c r="E22" s="42">
        <v>13.927777777777779</v>
      </c>
      <c r="F22" s="42">
        <v>16.332222222222224</v>
      </c>
      <c r="G22" s="42">
        <v>16.346666666666668</v>
      </c>
      <c r="H22" s="42">
        <v>18.152222222222221</v>
      </c>
      <c r="I22" s="42">
        <v>18.178888333333333</v>
      </c>
      <c r="J22" s="42">
        <v>18.895555666666667</v>
      </c>
      <c r="K22" s="42">
        <v>24.067780222222225</v>
      </c>
      <c r="L22" s="42">
        <v>29.369998777777774</v>
      </c>
      <c r="M22" s="42">
        <v>25.978888888888889</v>
      </c>
      <c r="N22" s="42">
        <v>22.572220000000002</v>
      </c>
      <c r="O22" s="42">
        <v>17.504444222222226</v>
      </c>
      <c r="P22" s="43">
        <v>236.80579711111113</v>
      </c>
      <c r="DJ22" s="108"/>
      <c r="DK22" s="108"/>
      <c r="DL22" s="108"/>
      <c r="DM22" s="108"/>
      <c r="DN22" s="108"/>
      <c r="DO22" s="108"/>
      <c r="DP22" s="108"/>
    </row>
    <row r="23" spans="1:145">
      <c r="A23" s="39"/>
      <c r="B23" s="40" t="s">
        <v>86</v>
      </c>
      <c r="C23" s="41" t="s">
        <v>81</v>
      </c>
      <c r="D23" s="42">
        <v>64.311999999999998</v>
      </c>
      <c r="E23" s="42">
        <v>44.336888888888879</v>
      </c>
      <c r="F23" s="42">
        <v>49.839999999999996</v>
      </c>
      <c r="G23" s="42">
        <v>51.653111111111116</v>
      </c>
      <c r="H23" s="42">
        <v>65.616</v>
      </c>
      <c r="I23" s="42">
        <v>83.191555555555553</v>
      </c>
      <c r="J23" s="42">
        <v>115.25866666666668</v>
      </c>
      <c r="K23" s="42">
        <v>125.49011111111109</v>
      </c>
      <c r="L23" s="42">
        <v>153.04611111111112</v>
      </c>
      <c r="M23" s="42">
        <v>179.67188888888893</v>
      </c>
      <c r="N23" s="42">
        <v>156.68800000000002</v>
      </c>
      <c r="O23" s="42">
        <v>110.685</v>
      </c>
      <c r="P23" s="43">
        <v>1199.7893333333334</v>
      </c>
      <c r="DJ23" s="108"/>
      <c r="DK23" s="108"/>
      <c r="DL23" s="108"/>
      <c r="DM23" s="108"/>
      <c r="DN23" s="108"/>
      <c r="DO23" s="108"/>
      <c r="DP23" s="109"/>
    </row>
    <row r="24" spans="1:145">
      <c r="A24" s="39"/>
      <c r="B24" s="40"/>
      <c r="C24" s="41" t="s">
        <v>84</v>
      </c>
      <c r="D24" s="44">
        <v>82.65902689999993</v>
      </c>
      <c r="E24" s="44">
        <v>47.156589000000103</v>
      </c>
      <c r="F24" s="44">
        <v>51.445406499999876</v>
      </c>
      <c r="G24" s="44">
        <v>46.975483300000157</v>
      </c>
      <c r="H24" s="44">
        <v>60.53996099999997</v>
      </c>
      <c r="I24" s="44">
        <v>80.47228680000002</v>
      </c>
      <c r="J24" s="44">
        <v>113.57172200000002</v>
      </c>
      <c r="K24" s="44">
        <v>136.31500969999991</v>
      </c>
      <c r="L24" s="44">
        <v>141.93072010000006</v>
      </c>
      <c r="M24" s="44">
        <v>161.00472579999987</v>
      </c>
      <c r="N24" s="44">
        <v>139.95072720000005</v>
      </c>
      <c r="O24" s="44">
        <v>122.95226030000012</v>
      </c>
      <c r="P24" s="45">
        <v>1184.9739185999999</v>
      </c>
      <c r="DJ24" s="109"/>
      <c r="DK24" s="109"/>
      <c r="DL24" s="109"/>
      <c r="DM24" s="109"/>
      <c r="DN24" s="109"/>
      <c r="DO24" s="109"/>
      <c r="DP24" s="109"/>
    </row>
    <row r="25" spans="1:145">
      <c r="A25" s="39"/>
      <c r="B25" s="40"/>
      <c r="C25" s="41" t="s">
        <v>88</v>
      </c>
      <c r="D25" s="44">
        <v>82.470910200000034</v>
      </c>
      <c r="E25" s="44">
        <v>47.02935619999996</v>
      </c>
      <c r="F25" s="44">
        <v>51.334581200000038</v>
      </c>
      <c r="G25" s="44">
        <v>46.784012399999952</v>
      </c>
      <c r="H25" s="44">
        <v>60.338407199999985</v>
      </c>
      <c r="I25" s="44">
        <v>80.336905400000035</v>
      </c>
      <c r="J25" s="44">
        <v>113.36936520000002</v>
      </c>
      <c r="K25" s="44">
        <v>136.07095379999993</v>
      </c>
      <c r="L25" s="44">
        <v>141.64944079999998</v>
      </c>
      <c r="M25" s="44">
        <v>160.70321250000001</v>
      </c>
      <c r="N25" s="44">
        <v>139.64101079999992</v>
      </c>
      <c r="O25" s="44">
        <v>122.658266</v>
      </c>
      <c r="P25" s="45">
        <v>1182.3864216999998</v>
      </c>
    </row>
    <row r="26" spans="1:145">
      <c r="A26" s="39"/>
      <c r="B26" s="40"/>
      <c r="C26" s="41" t="s">
        <v>91</v>
      </c>
      <c r="D26" s="42">
        <v>54.445791888888884</v>
      </c>
      <c r="E26" s="42">
        <v>37.058888888888887</v>
      </c>
      <c r="F26" s="42">
        <v>41.514444444444443</v>
      </c>
      <c r="G26" s="42">
        <v>42.732222222222227</v>
      </c>
      <c r="H26" s="42">
        <v>55.707777777777764</v>
      </c>
      <c r="I26" s="42">
        <v>74.846666666666678</v>
      </c>
      <c r="J26" s="42">
        <v>86.997759666666667</v>
      </c>
      <c r="K26" s="42">
        <v>99.303306111111112</v>
      </c>
      <c r="L26" s="42">
        <v>125.07777677777777</v>
      </c>
      <c r="M26" s="42">
        <v>146.72333255555557</v>
      </c>
      <c r="N26" s="42">
        <v>128.06888811111111</v>
      </c>
      <c r="O26" s="42">
        <v>90.511111222222212</v>
      </c>
      <c r="P26" s="43">
        <v>982.98796633333325</v>
      </c>
    </row>
    <row r="27" spans="1:145">
      <c r="A27" s="39"/>
      <c r="B27" s="40" t="s">
        <v>87</v>
      </c>
      <c r="C27" s="41" t="s">
        <v>81</v>
      </c>
      <c r="D27" s="42">
        <v>48.894111111111116</v>
      </c>
      <c r="E27" s="42">
        <v>35.521777777777771</v>
      </c>
      <c r="F27" s="42">
        <v>38.792333333333332</v>
      </c>
      <c r="G27" s="42">
        <v>41.312666666666665</v>
      </c>
      <c r="H27" s="42">
        <v>55.11377777777777</v>
      </c>
      <c r="I27" s="42">
        <v>73.307666666666663</v>
      </c>
      <c r="J27" s="42">
        <v>97.36655555555555</v>
      </c>
      <c r="K27" s="42">
        <v>105.18199999999999</v>
      </c>
      <c r="L27" s="42">
        <v>132.88688888888888</v>
      </c>
      <c r="M27" s="42">
        <v>147.16988888888889</v>
      </c>
      <c r="N27" s="42">
        <v>114.35788888888889</v>
      </c>
      <c r="O27" s="42">
        <v>76.552222222222227</v>
      </c>
      <c r="P27" s="43">
        <v>966.45777777777766</v>
      </c>
    </row>
    <row r="28" spans="1:145">
      <c r="A28" s="39"/>
      <c r="B28" s="40"/>
      <c r="C28" s="41" t="s">
        <v>84</v>
      </c>
      <c r="D28" s="44">
        <v>62.537409199999971</v>
      </c>
      <c r="E28" s="44">
        <v>39.072404700000035</v>
      </c>
      <c r="F28" s="44">
        <v>38.56626170000002</v>
      </c>
      <c r="G28" s="44">
        <v>36.451828299999946</v>
      </c>
      <c r="H28" s="44">
        <v>49.585645200000023</v>
      </c>
      <c r="I28" s="44">
        <v>68.829129199999969</v>
      </c>
      <c r="J28" s="44">
        <v>94.11547400000002</v>
      </c>
      <c r="K28" s="44">
        <v>111.05690819999998</v>
      </c>
      <c r="L28" s="44">
        <v>119.01044900000004</v>
      </c>
      <c r="M28" s="44">
        <v>131.45593199999999</v>
      </c>
      <c r="N28" s="44">
        <v>110.93337159999994</v>
      </c>
      <c r="O28" s="44">
        <v>95.029509300000115</v>
      </c>
      <c r="P28" s="45">
        <v>956.64432239999996</v>
      </c>
    </row>
    <row r="29" spans="1:145">
      <c r="A29" s="39"/>
      <c r="B29" s="40"/>
      <c r="C29" s="41" t="s">
        <v>88</v>
      </c>
      <c r="D29" s="44">
        <v>62.014437099999995</v>
      </c>
      <c r="E29" s="44">
        <v>38.737125399999982</v>
      </c>
      <c r="F29" s="44">
        <v>38.222875899999963</v>
      </c>
      <c r="G29" s="44">
        <v>36.121577699999946</v>
      </c>
      <c r="H29" s="44">
        <v>49.173421900000086</v>
      </c>
      <c r="I29" s="44">
        <v>68.252144300000026</v>
      </c>
      <c r="J29" s="44">
        <v>93.332820700000042</v>
      </c>
      <c r="K29" s="44">
        <v>110.14105839999998</v>
      </c>
      <c r="L29" s="44">
        <v>118.04144069999992</v>
      </c>
      <c r="M29" s="44">
        <v>130.36881600000004</v>
      </c>
      <c r="N29" s="44">
        <v>110.01313039999994</v>
      </c>
      <c r="O29" s="44">
        <v>94.242465000000067</v>
      </c>
      <c r="P29" s="45">
        <v>948.66131349999989</v>
      </c>
    </row>
    <row r="30" spans="1:145">
      <c r="A30" s="39"/>
      <c r="B30" s="40"/>
      <c r="C30" s="41" t="s">
        <v>91</v>
      </c>
      <c r="D30" s="42">
        <v>40.915470333333332</v>
      </c>
      <c r="E30" s="42">
        <v>29.601111111111109</v>
      </c>
      <c r="F30" s="42">
        <v>32.11333333333333</v>
      </c>
      <c r="G30" s="42">
        <v>33.836666666666666</v>
      </c>
      <c r="H30" s="42">
        <v>46.108888888888892</v>
      </c>
      <c r="I30" s="42">
        <v>63.605555555555547</v>
      </c>
      <c r="J30" s="42">
        <v>75.027776666666668</v>
      </c>
      <c r="K30" s="42">
        <v>83.391111111111115</v>
      </c>
      <c r="L30" s="42">
        <v>107.783333</v>
      </c>
      <c r="M30" s="42">
        <v>119.48777733333334</v>
      </c>
      <c r="N30" s="42">
        <v>92.648887777777773</v>
      </c>
      <c r="O30" s="42">
        <v>62.202221666666674</v>
      </c>
      <c r="P30" s="43">
        <v>786.72213344444447</v>
      </c>
    </row>
    <row r="31" spans="1:145">
      <c r="A31" s="39"/>
      <c r="B31" s="40" t="s">
        <v>92</v>
      </c>
      <c r="C31" s="41" t="s">
        <v>81</v>
      </c>
      <c r="D31" s="42">
        <v>130.83333333333334</v>
      </c>
      <c r="E31" s="42">
        <v>96.218999999999994</v>
      </c>
      <c r="F31" s="42">
        <v>107.79022222222223</v>
      </c>
      <c r="G31" s="42">
        <v>112.24966666666667</v>
      </c>
      <c r="H31" s="42">
        <v>141.41899999999998</v>
      </c>
      <c r="I31" s="42">
        <v>175.0442222222222</v>
      </c>
      <c r="J31" s="42">
        <v>236.42877777777781</v>
      </c>
      <c r="K31" s="42">
        <v>260.33444444444444</v>
      </c>
      <c r="L31" s="42">
        <v>320.11933333333332</v>
      </c>
      <c r="M31" s="42">
        <v>357.3915555555555</v>
      </c>
      <c r="N31" s="42">
        <v>298.30811111111115</v>
      </c>
      <c r="O31" s="42">
        <v>207.10322222222223</v>
      </c>
      <c r="P31" s="43">
        <v>2443.2408888888885</v>
      </c>
    </row>
    <row r="32" spans="1:145">
      <c r="A32" s="39"/>
      <c r="B32" s="40"/>
      <c r="C32" s="41" t="s">
        <v>84</v>
      </c>
      <c r="D32" s="42">
        <v>168.78737909999987</v>
      </c>
      <c r="E32" s="42">
        <v>107.28931500000017</v>
      </c>
      <c r="F32" s="42">
        <v>115.8622852999999</v>
      </c>
      <c r="G32" s="42">
        <v>102.44841090000011</v>
      </c>
      <c r="H32" s="42">
        <v>128.14349859999996</v>
      </c>
      <c r="I32" s="42">
        <v>168.91858560000003</v>
      </c>
      <c r="J32" s="42">
        <v>233.53090770000009</v>
      </c>
      <c r="K32" s="42">
        <v>278.86662989999985</v>
      </c>
      <c r="L32" s="42">
        <v>292.16907700000007</v>
      </c>
      <c r="M32" s="42">
        <v>335.6276792999999</v>
      </c>
      <c r="N32" s="42">
        <v>288.79999529999998</v>
      </c>
      <c r="O32" s="42">
        <v>248.49632630000013</v>
      </c>
      <c r="P32" s="43">
        <v>2468.9400900000001</v>
      </c>
      <c r="R32" s="71">
        <f>O32/N32</f>
        <v>0.86044435714712131</v>
      </c>
    </row>
    <row r="33" spans="1:22">
      <c r="A33" s="39"/>
      <c r="B33" s="40"/>
      <c r="C33" s="41" t="s">
        <v>88</v>
      </c>
      <c r="D33" s="42">
        <v>167.94362360000002</v>
      </c>
      <c r="E33" s="42">
        <v>106.70831229999995</v>
      </c>
      <c r="F33" s="42">
        <v>115.26093209999999</v>
      </c>
      <c r="G33" s="42">
        <v>101.81663639999991</v>
      </c>
      <c r="H33" s="42">
        <v>127.42476330000007</v>
      </c>
      <c r="I33" s="42">
        <v>168.09341870000003</v>
      </c>
      <c r="J33" s="42">
        <v>232.40567350000009</v>
      </c>
      <c r="K33" s="42">
        <v>277.5386868999999</v>
      </c>
      <c r="L33" s="42">
        <v>290.75371729999995</v>
      </c>
      <c r="M33" s="42">
        <v>333.99661070000013</v>
      </c>
      <c r="N33" s="42">
        <v>287.36328329999981</v>
      </c>
      <c r="O33" s="42">
        <v>247.25110390000003</v>
      </c>
      <c r="P33" s="43">
        <v>2456.5567619999997</v>
      </c>
    </row>
    <row r="34" spans="1:22">
      <c r="A34" s="39"/>
      <c r="B34" s="40"/>
      <c r="C34" s="41" t="s">
        <v>91</v>
      </c>
      <c r="D34" s="42">
        <v>110.84039433333332</v>
      </c>
      <c r="E34" s="42">
        <v>80.587777777777788</v>
      </c>
      <c r="F34" s="42">
        <v>89.96</v>
      </c>
      <c r="G34" s="42">
        <v>92.915555555555557</v>
      </c>
      <c r="H34" s="42">
        <v>119.9688888888889</v>
      </c>
      <c r="I34" s="42">
        <v>156.63111055555555</v>
      </c>
      <c r="J34" s="42">
        <v>180.92109199999996</v>
      </c>
      <c r="K34" s="42">
        <v>206.76219744444444</v>
      </c>
      <c r="L34" s="42">
        <v>262.23110855555552</v>
      </c>
      <c r="M34" s="42">
        <v>292.18999877777782</v>
      </c>
      <c r="N34" s="42">
        <v>243.28999588888888</v>
      </c>
      <c r="O34" s="42">
        <v>170.2177771111111</v>
      </c>
      <c r="P34" s="43">
        <v>2006.5158968888886</v>
      </c>
    </row>
    <row r="35" spans="1:22" ht="24">
      <c r="A35" s="338" t="s">
        <v>94</v>
      </c>
      <c r="B35" s="339" t="s">
        <v>80</v>
      </c>
      <c r="C35" s="4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</row>
    <row r="36" spans="1:22">
      <c r="A36" s="338"/>
      <c r="B36" s="339"/>
      <c r="C36" s="46" t="s">
        <v>84</v>
      </c>
      <c r="D36" s="49">
        <f>(D105+D121+D137+D153+D169+D185+D201+D217+D233+D249+D265+D281+D298)/13</f>
        <v>23.223616553846135</v>
      </c>
      <c r="E36" s="49">
        <f t="shared" ref="E36:O37" si="4">(E105+E121+E137+E153+E169+E185+E201+E217+E233+E249+E265+E281+E298)/13</f>
        <v>20.201413661538496</v>
      </c>
      <c r="F36" s="49">
        <f t="shared" si="4"/>
        <v>26.549955315384612</v>
      </c>
      <c r="G36" s="49">
        <f t="shared" si="4"/>
        <v>19.273399807692329</v>
      </c>
      <c r="H36" s="49">
        <f t="shared" si="4"/>
        <v>17.837763376923036</v>
      </c>
      <c r="I36" s="49">
        <f t="shared" si="4"/>
        <v>19.310216561538496</v>
      </c>
      <c r="J36" s="49">
        <f t="shared" si="4"/>
        <v>25.733873061538514</v>
      </c>
      <c r="K36" s="49">
        <f t="shared" si="4"/>
        <v>30.558121723076894</v>
      </c>
      <c r="L36" s="49">
        <f t="shared" si="4"/>
        <v>31.633282592307676</v>
      </c>
      <c r="M36" s="49">
        <f t="shared" si="4"/>
        <v>42.047828653846196</v>
      </c>
      <c r="N36" s="49">
        <f t="shared" si="4"/>
        <v>37.463900692307675</v>
      </c>
      <c r="O36" s="49">
        <f t="shared" si="4"/>
        <v>30.889819492307677</v>
      </c>
      <c r="P36" s="50">
        <f>SUM(D36:O36)</f>
        <v>324.72319149230771</v>
      </c>
    </row>
    <row r="37" spans="1:22">
      <c r="A37" s="338"/>
      <c r="B37" s="339"/>
      <c r="C37" s="46" t="s">
        <v>88</v>
      </c>
      <c r="D37" s="49">
        <f>(D106+D122+D138+D154+D170+D186+D202+D218+D234+D250+D266+D282+D299)/13</f>
        <v>23.088843161538438</v>
      </c>
      <c r="E37" s="49">
        <f t="shared" si="4"/>
        <v>20.085582315384627</v>
      </c>
      <c r="F37" s="49">
        <f t="shared" si="4"/>
        <v>26.395075884615384</v>
      </c>
      <c r="G37" s="49">
        <f t="shared" si="4"/>
        <v>19.161082353846158</v>
      </c>
      <c r="H37" s="49">
        <f t="shared" si="4"/>
        <v>17.735208415384619</v>
      </c>
      <c r="I37" s="49">
        <f t="shared" si="4"/>
        <v>19.1956274153846</v>
      </c>
      <c r="J37" s="49">
        <f t="shared" si="4"/>
        <v>25.595047861538472</v>
      </c>
      <c r="K37" s="49">
        <f t="shared" si="4"/>
        <v>30.391923515384597</v>
      </c>
      <c r="L37" s="49">
        <f t="shared" si="4"/>
        <v>31.463274815384622</v>
      </c>
      <c r="M37" s="49">
        <f t="shared" si="4"/>
        <v>41.810057361538483</v>
      </c>
      <c r="N37" s="49">
        <f t="shared" si="4"/>
        <v>37.255171076923077</v>
      </c>
      <c r="O37" s="49">
        <f t="shared" si="4"/>
        <v>30.716347223076944</v>
      </c>
      <c r="P37" s="50">
        <f>SUM(D37:O37)</f>
        <v>322.89324140000002</v>
      </c>
    </row>
    <row r="38" spans="1:22">
      <c r="A38" s="338"/>
      <c r="B38" s="339"/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8"/>
    </row>
    <row r="39" spans="1:22">
      <c r="A39" s="338"/>
      <c r="B39" s="339" t="s">
        <v>86</v>
      </c>
      <c r="C39" s="4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8"/>
    </row>
    <row r="40" spans="1:22">
      <c r="A40" s="338"/>
      <c r="B40" s="339"/>
      <c r="C40" s="46" t="s">
        <v>84</v>
      </c>
      <c r="D40" s="49">
        <f>(D109+D125+D141+D157+D173+D173+D189+D205+D221+D237+D253+D269+D285+D303)/13</f>
        <v>86.369616446153799</v>
      </c>
      <c r="E40" s="49">
        <f t="shared" ref="E40:O41" si="5">(E109+E125+E141+E157+E173+E173+E189+E205+E221+E237+E253+E269+E285+E303)/13</f>
        <v>49.78979852307701</v>
      </c>
      <c r="F40" s="49">
        <f t="shared" si="5"/>
        <v>57.890209123076843</v>
      </c>
      <c r="G40" s="49">
        <f t="shared" si="5"/>
        <v>51.339422607692413</v>
      </c>
      <c r="H40" s="49">
        <f t="shared" si="5"/>
        <v>64.461896230769199</v>
      </c>
      <c r="I40" s="49">
        <f t="shared" si="5"/>
        <v>91.558659738461543</v>
      </c>
      <c r="J40" s="49">
        <f t="shared" si="5"/>
        <v>132.85451885384617</v>
      </c>
      <c r="K40" s="49">
        <f t="shared" si="5"/>
        <v>155.63593603846147</v>
      </c>
      <c r="L40" s="49">
        <f t="shared" si="5"/>
        <v>158.58640987692314</v>
      </c>
      <c r="M40" s="49">
        <f t="shared" si="5"/>
        <v>173.892104076923</v>
      </c>
      <c r="N40" s="49">
        <f t="shared" si="5"/>
        <v>149.75918142307694</v>
      </c>
      <c r="O40" s="49">
        <f t="shared" si="5"/>
        <v>135.75116579230777</v>
      </c>
      <c r="P40" s="50">
        <f>SUM(D40:O40)</f>
        <v>1307.8889187307695</v>
      </c>
    </row>
    <row r="41" spans="1:22">
      <c r="A41" s="338"/>
      <c r="B41" s="339"/>
      <c r="C41" s="46" t="s">
        <v>88</v>
      </c>
      <c r="D41" s="49">
        <f>(D110+D126+D142+D158+D174+D174+D190+D206+D222+D238+D254+D270+D286+D304)/13</f>
        <v>86.096508153846173</v>
      </c>
      <c r="E41" s="49">
        <f t="shared" si="5"/>
        <v>49.639914384615359</v>
      </c>
      <c r="F41" s="49">
        <f t="shared" si="5"/>
        <v>57.742040615384632</v>
      </c>
      <c r="G41" s="49">
        <f t="shared" si="5"/>
        <v>51.131256230769203</v>
      </c>
      <c r="H41" s="49">
        <f t="shared" si="5"/>
        <v>64.236823923076898</v>
      </c>
      <c r="I41" s="49">
        <f t="shared" si="5"/>
        <v>91.332586769230801</v>
      </c>
      <c r="J41" s="49">
        <f t="shared" si="5"/>
        <v>132.52719569230771</v>
      </c>
      <c r="K41" s="49">
        <f t="shared" si="5"/>
        <v>155.25598438461535</v>
      </c>
      <c r="L41" s="49">
        <f t="shared" si="5"/>
        <v>158.18690276923078</v>
      </c>
      <c r="M41" s="49">
        <f t="shared" si="5"/>
        <v>173.47286399999999</v>
      </c>
      <c r="N41" s="49">
        <f t="shared" si="5"/>
        <v>149.3561709999999</v>
      </c>
      <c r="O41" s="49">
        <f t="shared" si="5"/>
        <v>135.36732000000003</v>
      </c>
      <c r="P41" s="50">
        <f>SUM(D41:O41)</f>
        <v>1304.3455679230767</v>
      </c>
    </row>
    <row r="42" spans="1:22" ht="16.5">
      <c r="A42" s="338"/>
      <c r="B42" s="339"/>
      <c r="C42" s="46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8"/>
      <c r="V42" s="110" t="s">
        <v>95</v>
      </c>
    </row>
    <row r="43" spans="1:22">
      <c r="A43" s="338"/>
      <c r="B43" s="339" t="s">
        <v>87</v>
      </c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8"/>
      <c r="S43" s="71" t="s">
        <v>96</v>
      </c>
      <c r="T43" s="71" t="s">
        <v>97</v>
      </c>
    </row>
    <row r="44" spans="1:22">
      <c r="A44" s="338"/>
      <c r="B44" s="339"/>
      <c r="C44" s="46" t="s">
        <v>84</v>
      </c>
      <c r="D44" s="49">
        <f>(D113+D129+D145+D161+D177+D193+D209+D225+D241+D257+D273+D289+D308)/13</f>
        <v>58.411024799999979</v>
      </c>
      <c r="E44" s="49">
        <f t="shared" ref="E44:O45" si="6">(E113+E129+E145+E161+E177+E193+E209+E225+E241+E257+E273+E289+E308)/13</f>
        <v>36.946560153846178</v>
      </c>
      <c r="F44" s="49">
        <f t="shared" si="6"/>
        <v>37.110364276923093</v>
      </c>
      <c r="G44" s="49">
        <f t="shared" si="6"/>
        <v>36.021744492307654</v>
      </c>
      <c r="H44" s="49">
        <f t="shared" si="6"/>
        <v>47.790345976923085</v>
      </c>
      <c r="I44" s="49">
        <f t="shared" si="6"/>
        <v>70.458286646153823</v>
      </c>
      <c r="J44" s="49">
        <f t="shared" si="6"/>
        <v>97.545232769230779</v>
      </c>
      <c r="K44" s="49">
        <f t="shared" si="6"/>
        <v>114.04706769230766</v>
      </c>
      <c r="L44" s="49">
        <f t="shared" si="6"/>
        <v>120.95153137692313</v>
      </c>
      <c r="M44" s="49">
        <f t="shared" si="6"/>
        <v>133.04947889999997</v>
      </c>
      <c r="N44" s="49">
        <f t="shared" si="6"/>
        <v>113.98397555384612</v>
      </c>
      <c r="O44" s="49">
        <f t="shared" si="6"/>
        <v>101.71256047692314</v>
      </c>
      <c r="P44" s="50">
        <f>SUM(D44:O44)</f>
        <v>968.02817311538456</v>
      </c>
      <c r="R44" s="71" t="s">
        <v>80</v>
      </c>
      <c r="T44" s="111">
        <f>20*0.25939+10*0.5</f>
        <v>10.187799999999999</v>
      </c>
    </row>
    <row r="45" spans="1:22">
      <c r="A45" s="338"/>
      <c r="B45" s="339"/>
      <c r="C45" s="46" t="s">
        <v>88</v>
      </c>
      <c r="D45" s="49">
        <f>(D114+D130+D146+D162+D178+D194+D210+D226+D242+D258+D274+D290+D309)/13</f>
        <v>57.923274415384626</v>
      </c>
      <c r="E45" s="49">
        <f t="shared" si="6"/>
        <v>36.62790843076921</v>
      </c>
      <c r="F45" s="49">
        <f t="shared" si="6"/>
        <v>36.77671279999997</v>
      </c>
      <c r="G45" s="49">
        <f t="shared" si="6"/>
        <v>35.700536723076887</v>
      </c>
      <c r="H45" s="49">
        <f t="shared" si="6"/>
        <v>47.392232038461593</v>
      </c>
      <c r="I45" s="49">
        <f t="shared" si="6"/>
        <v>69.87368229230772</v>
      </c>
      <c r="J45" s="49">
        <f t="shared" si="6"/>
        <v>96.796017976923096</v>
      </c>
      <c r="K45" s="49">
        <f t="shared" si="6"/>
        <v>113.17016113846154</v>
      </c>
      <c r="L45" s="49">
        <f t="shared" si="6"/>
        <v>120.03129308461533</v>
      </c>
      <c r="M45" s="49">
        <f t="shared" si="6"/>
        <v>132.02746351538465</v>
      </c>
      <c r="N45" s="49">
        <f t="shared" si="6"/>
        <v>113.12763409230762</v>
      </c>
      <c r="O45" s="49">
        <f t="shared" si="6"/>
        <v>100.97116792307699</v>
      </c>
      <c r="P45" s="50">
        <f>SUM(D45:O45)</f>
        <v>960.41808443076923</v>
      </c>
      <c r="R45" s="71" t="s">
        <v>86</v>
      </c>
      <c r="T45" s="71">
        <f>30*1.256</f>
        <v>37.68</v>
      </c>
    </row>
    <row r="46" spans="1:22">
      <c r="A46" s="338"/>
      <c r="B46" s="339"/>
      <c r="C46" s="4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  <c r="R46" s="71" t="s">
        <v>98</v>
      </c>
      <c r="T46" s="71">
        <f>30*0.906</f>
        <v>27.18</v>
      </c>
    </row>
    <row r="47" spans="1:22">
      <c r="A47" s="338"/>
      <c r="B47" s="339" t="s">
        <v>92</v>
      </c>
      <c r="C47" s="46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  <c r="S47" s="71">
        <v>77</v>
      </c>
      <c r="T47" s="71">
        <f>SUM(T44:T46)</f>
        <v>75.047799999999995</v>
      </c>
    </row>
    <row r="48" spans="1:22">
      <c r="A48" s="338"/>
      <c r="B48" s="339"/>
      <c r="C48" s="46" t="s">
        <v>84</v>
      </c>
      <c r="D48" s="47">
        <f>D36+D40+D44</f>
        <v>168.00425779999992</v>
      </c>
      <c r="E48" s="47">
        <f t="shared" ref="E48:P49" si="7">E36+E40+E44</f>
        <v>106.93777233846168</v>
      </c>
      <c r="F48" s="47">
        <f t="shared" si="7"/>
        <v>121.55052871538454</v>
      </c>
      <c r="G48" s="47">
        <f t="shared" si="7"/>
        <v>106.6345669076924</v>
      </c>
      <c r="H48" s="47">
        <f t="shared" si="7"/>
        <v>130.09000558461531</v>
      </c>
      <c r="I48" s="47">
        <f t="shared" si="7"/>
        <v>181.32716294615386</v>
      </c>
      <c r="J48" s="47">
        <f t="shared" si="7"/>
        <v>256.13362468461548</v>
      </c>
      <c r="K48" s="47">
        <f t="shared" si="7"/>
        <v>300.24112545384605</v>
      </c>
      <c r="L48" s="47">
        <f t="shared" si="7"/>
        <v>311.17122384615391</v>
      </c>
      <c r="M48" s="47">
        <f t="shared" si="7"/>
        <v>348.98941163076915</v>
      </c>
      <c r="N48" s="47">
        <f t="shared" si="7"/>
        <v>301.20705766923072</v>
      </c>
      <c r="O48" s="47">
        <f t="shared" si="7"/>
        <v>268.35354576153861</v>
      </c>
      <c r="P48" s="47">
        <f t="shared" si="7"/>
        <v>2600.6402833384618</v>
      </c>
    </row>
    <row r="49" spans="1:16">
      <c r="A49" s="338"/>
      <c r="B49" s="339"/>
      <c r="C49" s="46" t="s">
        <v>88</v>
      </c>
      <c r="D49" s="47">
        <f>D37+D41+D45</f>
        <v>167.10862573076923</v>
      </c>
      <c r="E49" s="47">
        <f t="shared" si="7"/>
        <v>106.35340513076919</v>
      </c>
      <c r="F49" s="47">
        <f t="shared" si="7"/>
        <v>120.91382929999999</v>
      </c>
      <c r="G49" s="47">
        <f t="shared" si="7"/>
        <v>105.99287530769226</v>
      </c>
      <c r="H49" s="47">
        <f t="shared" si="7"/>
        <v>129.3642643769231</v>
      </c>
      <c r="I49" s="47">
        <f t="shared" si="7"/>
        <v>180.40189647692313</v>
      </c>
      <c r="J49" s="47">
        <f t="shared" si="7"/>
        <v>254.91826153076926</v>
      </c>
      <c r="K49" s="47">
        <f t="shared" si="7"/>
        <v>298.81806903846149</v>
      </c>
      <c r="L49" s="47">
        <f t="shared" si="7"/>
        <v>309.68147066923075</v>
      </c>
      <c r="M49" s="47">
        <f t="shared" si="7"/>
        <v>347.31038487692308</v>
      </c>
      <c r="N49" s="47">
        <f t="shared" si="7"/>
        <v>299.73897616923063</v>
      </c>
      <c r="O49" s="47">
        <f t="shared" si="7"/>
        <v>267.05483514615401</v>
      </c>
      <c r="P49" s="47">
        <f t="shared" si="7"/>
        <v>2587.6568937538459</v>
      </c>
    </row>
    <row r="50" spans="1:16">
      <c r="A50" s="338"/>
      <c r="B50" s="339"/>
      <c r="C50" s="46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</row>
    <row r="51" spans="1:16">
      <c r="A51" s="39"/>
      <c r="B51" s="40"/>
      <c r="C51" s="4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3"/>
    </row>
    <row r="52" spans="1:16" ht="36">
      <c r="A52" s="334" t="s">
        <v>99</v>
      </c>
      <c r="B52" s="333" t="s">
        <v>80</v>
      </c>
      <c r="C52" s="51" t="s">
        <v>100</v>
      </c>
      <c r="D52" s="52">
        <v>20</v>
      </c>
      <c r="E52" s="52">
        <v>17.600000000000001</v>
      </c>
      <c r="F52" s="52">
        <v>16.8</v>
      </c>
      <c r="G52" s="52">
        <v>16.100000000000001</v>
      </c>
      <c r="H52" s="52">
        <v>16.2</v>
      </c>
      <c r="I52" s="52">
        <v>17.600000000000001</v>
      </c>
      <c r="J52" s="52">
        <v>33.700000000000003</v>
      </c>
      <c r="K52" s="52">
        <v>40.200000000000003</v>
      </c>
      <c r="L52" s="52">
        <v>44.7</v>
      </c>
      <c r="M52" s="52">
        <v>53.6</v>
      </c>
      <c r="N52" s="52">
        <v>42.9</v>
      </c>
      <c r="O52" s="52">
        <v>28</v>
      </c>
      <c r="P52" s="53">
        <v>347.4</v>
      </c>
    </row>
    <row r="53" spans="1:16">
      <c r="A53" s="335"/>
      <c r="B53" s="330"/>
      <c r="C53" s="33" t="s">
        <v>101</v>
      </c>
      <c r="D53" s="54">
        <v>19.788</v>
      </c>
      <c r="E53" s="54">
        <v>17.413440000000001</v>
      </c>
      <c r="F53" s="54">
        <v>16.621919999999999</v>
      </c>
      <c r="G53" s="54">
        <v>15.92934</v>
      </c>
      <c r="H53" s="54">
        <v>16.028279999999999</v>
      </c>
      <c r="I53" s="54">
        <v>17.413440000000001</v>
      </c>
      <c r="J53" s="54">
        <v>33.342779999999998</v>
      </c>
      <c r="K53" s="54">
        <v>39.773879999999998</v>
      </c>
      <c r="L53" s="54">
        <v>44.226179999999999</v>
      </c>
      <c r="M53" s="54">
        <v>53.031839999999995</v>
      </c>
      <c r="N53" s="54">
        <v>42.445259999999998</v>
      </c>
      <c r="O53" s="54">
        <v>27.703199999999999</v>
      </c>
      <c r="P53" s="35">
        <v>343.71755999999999</v>
      </c>
    </row>
    <row r="54" spans="1:16">
      <c r="A54" s="335"/>
      <c r="B54" s="330" t="s">
        <v>86</v>
      </c>
      <c r="C54" s="33" t="s">
        <v>100</v>
      </c>
      <c r="D54" s="34">
        <v>76.3</v>
      </c>
      <c r="E54" s="34">
        <v>48.3</v>
      </c>
      <c r="F54" s="34">
        <v>37.9</v>
      </c>
      <c r="G54" s="34">
        <v>38.299999999999997</v>
      </c>
      <c r="H54" s="34">
        <v>55.2</v>
      </c>
      <c r="I54" s="34">
        <v>75.2</v>
      </c>
      <c r="J54" s="34">
        <v>121.7</v>
      </c>
      <c r="K54" s="34">
        <v>150.6</v>
      </c>
      <c r="L54" s="34">
        <v>170.5</v>
      </c>
      <c r="M54" s="34">
        <v>190.4</v>
      </c>
      <c r="N54" s="34">
        <v>162.30000000000001</v>
      </c>
      <c r="O54" s="34">
        <v>123.7</v>
      </c>
      <c r="P54" s="35">
        <v>1250.4000000000001</v>
      </c>
    </row>
    <row r="55" spans="1:16">
      <c r="A55" s="335"/>
      <c r="B55" s="330"/>
      <c r="C55" s="33" t="s">
        <v>101</v>
      </c>
      <c r="D55" s="34">
        <v>75.598039999999997</v>
      </c>
      <c r="E55" s="34">
        <v>47.855640000000001</v>
      </c>
      <c r="F55" s="34">
        <v>37.551319999999997</v>
      </c>
      <c r="G55" s="34">
        <v>37.94764</v>
      </c>
      <c r="H55" s="34">
        <v>54.692160000000001</v>
      </c>
      <c r="I55" s="34">
        <v>74.508160000000004</v>
      </c>
      <c r="J55" s="34">
        <v>120.58036</v>
      </c>
      <c r="K55" s="34">
        <v>149.21448000000001</v>
      </c>
      <c r="L55" s="34">
        <v>168.9314</v>
      </c>
      <c r="M55" s="34">
        <v>188.64832000000001</v>
      </c>
      <c r="N55" s="34">
        <v>160.80684000000002</v>
      </c>
      <c r="O55" s="34">
        <v>122.56196</v>
      </c>
      <c r="P55" s="35">
        <v>1238.8963200000001</v>
      </c>
    </row>
    <row r="56" spans="1:16">
      <c r="A56" s="335"/>
      <c r="B56" s="330" t="s">
        <v>87</v>
      </c>
      <c r="C56" s="33" t="s">
        <v>100</v>
      </c>
      <c r="D56" s="34">
        <v>62.1</v>
      </c>
      <c r="E56" s="34">
        <v>42.9</v>
      </c>
      <c r="F56" s="34">
        <v>37</v>
      </c>
      <c r="G56" s="34">
        <v>36</v>
      </c>
      <c r="H56" s="34">
        <v>46.7</v>
      </c>
      <c r="I56" s="34">
        <v>64.099999999999994</v>
      </c>
      <c r="J56" s="34">
        <v>96.7</v>
      </c>
      <c r="K56" s="34">
        <v>125.7</v>
      </c>
      <c r="L56" s="34">
        <v>136.19999999999999</v>
      </c>
      <c r="M56" s="34">
        <v>148.1</v>
      </c>
      <c r="N56" s="34">
        <v>125.6</v>
      </c>
      <c r="O56" s="34">
        <v>94.4</v>
      </c>
      <c r="P56" s="35">
        <v>1015.4999999999999</v>
      </c>
    </row>
    <row r="57" spans="1:16">
      <c r="A57" s="335"/>
      <c r="B57" s="330"/>
      <c r="C57" s="33" t="s">
        <v>101</v>
      </c>
      <c r="D57" s="34">
        <v>61.5411</v>
      </c>
      <c r="E57" s="34">
        <v>42.5139</v>
      </c>
      <c r="F57" s="34">
        <v>36.667000000000002</v>
      </c>
      <c r="G57" s="34">
        <v>35.676000000000002</v>
      </c>
      <c r="H57" s="34">
        <v>46.279700000000005</v>
      </c>
      <c r="I57" s="34">
        <v>63.523099999999992</v>
      </c>
      <c r="J57" s="34">
        <v>95.829700000000003</v>
      </c>
      <c r="K57" s="34">
        <v>124.56870000000001</v>
      </c>
      <c r="L57" s="34">
        <v>134.9742</v>
      </c>
      <c r="M57" s="34">
        <v>146.7671</v>
      </c>
      <c r="N57" s="34">
        <v>124.4696</v>
      </c>
      <c r="O57" s="34">
        <v>93.55040000000001</v>
      </c>
      <c r="P57" s="35">
        <v>1006.3605</v>
      </c>
    </row>
    <row r="58" spans="1:16">
      <c r="A58" s="335"/>
      <c r="B58" s="330" t="s">
        <v>92</v>
      </c>
      <c r="C58" s="33" t="s">
        <v>100</v>
      </c>
      <c r="D58" s="34">
        <v>158.4</v>
      </c>
      <c r="E58" s="34">
        <v>108.80000000000001</v>
      </c>
      <c r="F58" s="34">
        <v>91.7</v>
      </c>
      <c r="G58" s="34">
        <v>90.4</v>
      </c>
      <c r="H58" s="34">
        <v>118.10000000000001</v>
      </c>
      <c r="I58" s="34">
        <v>156.9</v>
      </c>
      <c r="J58" s="34">
        <v>252.10000000000002</v>
      </c>
      <c r="K58" s="34">
        <v>316.5</v>
      </c>
      <c r="L58" s="34">
        <v>351.4</v>
      </c>
      <c r="M58" s="34">
        <v>392.1</v>
      </c>
      <c r="N58" s="34">
        <v>330.8</v>
      </c>
      <c r="O58" s="34">
        <v>246.1</v>
      </c>
      <c r="P58" s="35">
        <v>2613.3000000000002</v>
      </c>
    </row>
    <row r="59" spans="1:16">
      <c r="A59" s="336"/>
      <c r="B59" s="337"/>
      <c r="C59" s="36" t="s">
        <v>101</v>
      </c>
      <c r="D59" s="37">
        <v>156.92714000000001</v>
      </c>
      <c r="E59" s="37">
        <v>107.78298000000001</v>
      </c>
      <c r="F59" s="37">
        <v>90.840239999999994</v>
      </c>
      <c r="G59" s="37">
        <v>89.552980000000005</v>
      </c>
      <c r="H59" s="37">
        <v>117.00014</v>
      </c>
      <c r="I59" s="37">
        <v>155.44470000000001</v>
      </c>
      <c r="J59" s="37">
        <v>249.75283999999999</v>
      </c>
      <c r="K59" s="37">
        <v>313.55705999999998</v>
      </c>
      <c r="L59" s="37">
        <v>348.13177999999999</v>
      </c>
      <c r="M59" s="37">
        <v>388.44726000000003</v>
      </c>
      <c r="N59" s="37">
        <v>327.7217</v>
      </c>
      <c r="O59" s="37">
        <v>243.81556</v>
      </c>
      <c r="P59" s="37">
        <v>2588.9743800000001</v>
      </c>
    </row>
    <row r="60" spans="1:16">
      <c r="A60" s="334" t="s">
        <v>102</v>
      </c>
      <c r="B60" s="55" t="s">
        <v>80</v>
      </c>
      <c r="C60" s="33" t="s">
        <v>100</v>
      </c>
      <c r="D60" s="56">
        <v>31.657791338450874</v>
      </c>
      <c r="E60" s="56">
        <v>23.722112380594339</v>
      </c>
      <c r="F60" s="56">
        <v>20.592695906979202</v>
      </c>
      <c r="G60" s="56">
        <v>18.862406468464091</v>
      </c>
      <c r="H60" s="56">
        <v>20.635100540773202</v>
      </c>
      <c r="I60" s="56">
        <v>25.882990145620852</v>
      </c>
      <c r="J60" s="56">
        <v>23.021417027228608</v>
      </c>
      <c r="K60" s="56">
        <v>32.615226663952782</v>
      </c>
      <c r="L60" s="56">
        <v>37.210709112855085</v>
      </c>
      <c r="M60" s="56">
        <v>42.982400113715705</v>
      </c>
      <c r="N60" s="56">
        <v>47.188338395307092</v>
      </c>
      <c r="O60" s="56">
        <v>34.228811906058212</v>
      </c>
      <c r="P60" s="56">
        <v>358.6</v>
      </c>
    </row>
    <row r="61" spans="1:16" ht="25.5">
      <c r="A61" s="335"/>
      <c r="B61" s="57" t="s">
        <v>86</v>
      </c>
      <c r="C61" s="33" t="s">
        <v>100</v>
      </c>
      <c r="D61" s="56">
        <v>109.2998081817355</v>
      </c>
      <c r="E61" s="56">
        <v>65.205516036420732</v>
      </c>
      <c r="F61" s="56">
        <v>58.666587670878769</v>
      </c>
      <c r="G61" s="56">
        <v>57.443347270367212</v>
      </c>
      <c r="H61" s="56">
        <v>83.338412634629606</v>
      </c>
      <c r="I61" s="56">
        <v>116.71589104981499</v>
      </c>
      <c r="J61" s="56">
        <v>133.42636319872031</v>
      </c>
      <c r="K61" s="56">
        <v>159.62788280909132</v>
      </c>
      <c r="L61" s="56">
        <v>170.9919114018426</v>
      </c>
      <c r="M61" s="56">
        <v>192.36603903457885</v>
      </c>
      <c r="N61" s="56">
        <v>170.83717234937779</v>
      </c>
      <c r="O61" s="56">
        <v>140.70977261046104</v>
      </c>
      <c r="P61" s="56">
        <v>1458.6287042479189</v>
      </c>
    </row>
    <row r="62" spans="1:16">
      <c r="A62" s="335"/>
      <c r="B62" s="57" t="s">
        <v>87</v>
      </c>
      <c r="C62" s="33" t="s">
        <v>100</v>
      </c>
      <c r="D62" s="56">
        <v>68.379321473471663</v>
      </c>
      <c r="E62" s="56">
        <v>45.935240286995899</v>
      </c>
      <c r="F62" s="56">
        <v>43.819980018579834</v>
      </c>
      <c r="G62" s="56">
        <v>43.562409106971188</v>
      </c>
      <c r="H62" s="56">
        <v>58.389654149067866</v>
      </c>
      <c r="I62" s="56">
        <v>75.811150194420861</v>
      </c>
      <c r="J62" s="56">
        <v>93.949320123973749</v>
      </c>
      <c r="K62" s="56">
        <v>119.3315595947829</v>
      </c>
      <c r="L62" s="56">
        <v>134.2403577636662</v>
      </c>
      <c r="M62" s="56">
        <v>147.49325067850512</v>
      </c>
      <c r="N62" s="56">
        <v>127.29696190918312</v>
      </c>
      <c r="O62" s="56">
        <v>101.99079470038163</v>
      </c>
      <c r="P62" s="56">
        <v>1060.2</v>
      </c>
    </row>
    <row r="63" spans="1:16">
      <c r="A63" s="336"/>
      <c r="B63" s="58" t="s">
        <v>92</v>
      </c>
      <c r="C63" s="33" t="s">
        <v>100</v>
      </c>
      <c r="D63" s="59">
        <v>209.33692099365803</v>
      </c>
      <c r="E63" s="59">
        <v>134.86286870401096</v>
      </c>
      <c r="F63" s="59">
        <v>123.07926359643781</v>
      </c>
      <c r="G63" s="59">
        <v>119.86816284580249</v>
      </c>
      <c r="H63" s="59">
        <v>162.36316732447068</v>
      </c>
      <c r="I63" s="59">
        <v>218.4100313898567</v>
      </c>
      <c r="J63" s="59">
        <v>250.39710034992265</v>
      </c>
      <c r="K63" s="59">
        <v>311.57466906782702</v>
      </c>
      <c r="L63" s="59">
        <v>342.44297827836385</v>
      </c>
      <c r="M63" s="59">
        <v>382.84168982679967</v>
      </c>
      <c r="N63" s="59">
        <v>345.32247265386803</v>
      </c>
      <c r="O63" s="59">
        <v>276.92937921690088</v>
      </c>
      <c r="P63" s="59">
        <v>2877.4287042479186</v>
      </c>
    </row>
    <row r="64" spans="1:16">
      <c r="A64" s="331">
        <v>0.5</v>
      </c>
      <c r="B64" s="333" t="s">
        <v>80</v>
      </c>
      <c r="C64" s="51" t="s">
        <v>100</v>
      </c>
      <c r="D64" s="52">
        <v>20</v>
      </c>
      <c r="E64" s="52">
        <v>17.600000000000001</v>
      </c>
      <c r="F64" s="52">
        <v>16.8</v>
      </c>
      <c r="G64" s="52">
        <v>16.100000000000001</v>
      </c>
      <c r="H64" s="52">
        <v>16.2</v>
      </c>
      <c r="I64" s="52">
        <v>17.600000000000001</v>
      </c>
      <c r="J64" s="52">
        <v>33.700000000000003</v>
      </c>
      <c r="K64" s="52">
        <v>40.200000000000003</v>
      </c>
      <c r="L64" s="52">
        <v>44.7</v>
      </c>
      <c r="M64" s="52">
        <v>53.6</v>
      </c>
      <c r="N64" s="52">
        <v>42.9</v>
      </c>
      <c r="O64" s="52">
        <v>28</v>
      </c>
      <c r="P64" s="53">
        <v>347.4</v>
      </c>
    </row>
    <row r="65" spans="1:16">
      <c r="A65" s="329"/>
      <c r="B65" s="330"/>
      <c r="C65" s="33" t="s">
        <v>101</v>
      </c>
      <c r="D65" s="54">
        <v>19.788</v>
      </c>
      <c r="E65" s="54">
        <v>17.413440000000001</v>
      </c>
      <c r="F65" s="54">
        <v>16.621919999999999</v>
      </c>
      <c r="G65" s="54">
        <v>15.92934</v>
      </c>
      <c r="H65" s="54">
        <v>16.028279999999999</v>
      </c>
      <c r="I65" s="54">
        <v>17.413440000000001</v>
      </c>
      <c r="J65" s="54">
        <v>33.342779999999998</v>
      </c>
      <c r="K65" s="54">
        <v>39.773879999999998</v>
      </c>
      <c r="L65" s="54">
        <v>44.226179999999999</v>
      </c>
      <c r="M65" s="54">
        <v>53.031839999999995</v>
      </c>
      <c r="N65" s="54">
        <v>42.445259999999998</v>
      </c>
      <c r="O65" s="54">
        <v>27.703199999999999</v>
      </c>
      <c r="P65" s="35">
        <v>343.71755999999999</v>
      </c>
    </row>
    <row r="66" spans="1:16">
      <c r="A66" s="329"/>
      <c r="B66" s="330" t="s">
        <v>86</v>
      </c>
      <c r="C66" s="33" t="s">
        <v>100</v>
      </c>
      <c r="D66" s="34">
        <v>76.3</v>
      </c>
      <c r="E66" s="34">
        <v>48.3</v>
      </c>
      <c r="F66" s="34">
        <v>37.9</v>
      </c>
      <c r="G66" s="34">
        <v>38.299999999999997</v>
      </c>
      <c r="H66" s="34">
        <v>55.2</v>
      </c>
      <c r="I66" s="34">
        <v>75.2</v>
      </c>
      <c r="J66" s="34">
        <v>121.7</v>
      </c>
      <c r="K66" s="34">
        <v>150.6</v>
      </c>
      <c r="L66" s="34">
        <v>170.5</v>
      </c>
      <c r="M66" s="34">
        <v>190.4</v>
      </c>
      <c r="N66" s="34">
        <v>162.30000000000001</v>
      </c>
      <c r="O66" s="34">
        <v>123.7</v>
      </c>
      <c r="P66" s="35">
        <v>1250.4000000000001</v>
      </c>
    </row>
    <row r="67" spans="1:16">
      <c r="A67" s="329"/>
      <c r="B67" s="330"/>
      <c r="C67" s="33" t="s">
        <v>101</v>
      </c>
      <c r="D67" s="34">
        <v>75.598039999999997</v>
      </c>
      <c r="E67" s="34">
        <v>47.855640000000001</v>
      </c>
      <c r="F67" s="34">
        <v>37.551319999999997</v>
      </c>
      <c r="G67" s="34">
        <v>37.94764</v>
      </c>
      <c r="H67" s="34">
        <v>54.692160000000001</v>
      </c>
      <c r="I67" s="34">
        <v>74.508160000000004</v>
      </c>
      <c r="J67" s="34">
        <v>120.58036</v>
      </c>
      <c r="K67" s="34">
        <v>149.21448000000001</v>
      </c>
      <c r="L67" s="34">
        <v>168.9314</v>
      </c>
      <c r="M67" s="34">
        <v>188.64832000000001</v>
      </c>
      <c r="N67" s="34">
        <v>160.80684000000002</v>
      </c>
      <c r="O67" s="34">
        <v>122.56196</v>
      </c>
      <c r="P67" s="35">
        <v>1238.8963200000001</v>
      </c>
    </row>
    <row r="68" spans="1:16">
      <c r="A68" s="329"/>
      <c r="B68" s="330" t="s">
        <v>87</v>
      </c>
      <c r="C68" s="33" t="s">
        <v>100</v>
      </c>
      <c r="D68" s="34">
        <v>62.1</v>
      </c>
      <c r="E68" s="34">
        <v>42.9</v>
      </c>
      <c r="F68" s="34">
        <v>37</v>
      </c>
      <c r="G68" s="34">
        <v>36</v>
      </c>
      <c r="H68" s="34">
        <v>46.7</v>
      </c>
      <c r="I68" s="34">
        <v>64.099999999999994</v>
      </c>
      <c r="J68" s="34">
        <v>96.7</v>
      </c>
      <c r="K68" s="34">
        <v>125.7</v>
      </c>
      <c r="L68" s="34">
        <v>136</v>
      </c>
      <c r="M68" s="34">
        <v>148.1</v>
      </c>
      <c r="N68" s="34">
        <v>125.8</v>
      </c>
      <c r="O68" s="34">
        <v>94.4</v>
      </c>
      <c r="P68" s="35">
        <v>1015.4999999999999</v>
      </c>
    </row>
    <row r="69" spans="1:16">
      <c r="A69" s="329"/>
      <c r="B69" s="330"/>
      <c r="C69" s="33" t="s">
        <v>101</v>
      </c>
      <c r="D69" s="34">
        <v>61.5411</v>
      </c>
      <c r="E69" s="34">
        <v>42.5139</v>
      </c>
      <c r="F69" s="34">
        <v>36.667000000000002</v>
      </c>
      <c r="G69" s="34">
        <v>35.676000000000002</v>
      </c>
      <c r="H69" s="34">
        <v>46.279700000000005</v>
      </c>
      <c r="I69" s="34">
        <v>63.523099999999992</v>
      </c>
      <c r="J69" s="34">
        <v>95.829700000000003</v>
      </c>
      <c r="K69" s="34">
        <v>124.56870000000001</v>
      </c>
      <c r="L69" s="34">
        <v>134.77600000000001</v>
      </c>
      <c r="M69" s="34">
        <v>146.7671</v>
      </c>
      <c r="N69" s="34">
        <v>124.6678</v>
      </c>
      <c r="O69" s="34">
        <v>93.55040000000001</v>
      </c>
      <c r="P69" s="35">
        <v>1006.3604999999999</v>
      </c>
    </row>
    <row r="70" spans="1:16">
      <c r="A70" s="329"/>
      <c r="B70" s="330" t="s">
        <v>92</v>
      </c>
      <c r="C70" s="33" t="s">
        <v>100</v>
      </c>
      <c r="D70" s="34">
        <v>158.4</v>
      </c>
      <c r="E70" s="34">
        <v>108.80000000000001</v>
      </c>
      <c r="F70" s="34">
        <v>91.7</v>
      </c>
      <c r="G70" s="34">
        <v>90.4</v>
      </c>
      <c r="H70" s="34">
        <v>118.10000000000001</v>
      </c>
      <c r="I70" s="34">
        <v>156.9</v>
      </c>
      <c r="J70" s="34">
        <v>252.10000000000002</v>
      </c>
      <c r="K70" s="34">
        <v>316.5</v>
      </c>
      <c r="L70" s="34">
        <v>351.2</v>
      </c>
      <c r="M70" s="34">
        <v>392.1</v>
      </c>
      <c r="N70" s="34">
        <v>331</v>
      </c>
      <c r="O70" s="34">
        <v>246.1</v>
      </c>
      <c r="P70" s="35">
        <v>2613.3000000000002</v>
      </c>
    </row>
    <row r="71" spans="1:16">
      <c r="A71" s="332"/>
      <c r="B71" s="337"/>
      <c r="C71" s="36" t="s">
        <v>101</v>
      </c>
      <c r="D71" s="37">
        <v>156.92714000000001</v>
      </c>
      <c r="E71" s="37">
        <v>107.78298000000001</v>
      </c>
      <c r="F71" s="37">
        <v>90.840239999999994</v>
      </c>
      <c r="G71" s="37">
        <v>89.552980000000005</v>
      </c>
      <c r="H71" s="37">
        <v>117.00014</v>
      </c>
      <c r="I71" s="37">
        <v>155.44470000000001</v>
      </c>
      <c r="J71" s="37">
        <v>249.75283999999999</v>
      </c>
      <c r="K71" s="37">
        <v>313.55705999999998</v>
      </c>
      <c r="L71" s="37">
        <v>347.93358000000001</v>
      </c>
      <c r="M71" s="37">
        <v>388.44726000000003</v>
      </c>
      <c r="N71" s="37">
        <v>327.91989999999998</v>
      </c>
      <c r="O71" s="37">
        <v>243.81556</v>
      </c>
      <c r="P71" s="38">
        <v>2588.9743799999997</v>
      </c>
    </row>
    <row r="72" spans="1:16">
      <c r="A72" s="329">
        <v>0.65</v>
      </c>
      <c r="B72" s="330" t="s">
        <v>80</v>
      </c>
      <c r="C72" s="33" t="s">
        <v>100</v>
      </c>
      <c r="D72" s="54">
        <v>18.815000000000001</v>
      </c>
      <c r="E72" s="54">
        <v>17.558</v>
      </c>
      <c r="F72" s="54">
        <v>21.725999999999999</v>
      </c>
      <c r="G72" s="54">
        <v>19.521000000000001</v>
      </c>
      <c r="H72" s="54">
        <v>26.102</v>
      </c>
      <c r="I72" s="54">
        <v>20.195</v>
      </c>
      <c r="J72" s="54">
        <v>23.768000000000001</v>
      </c>
      <c r="K72" s="54">
        <v>24.776</v>
      </c>
      <c r="L72" s="54">
        <v>30.957999999999998</v>
      </c>
      <c r="M72" s="54">
        <v>32.456000000000003</v>
      </c>
      <c r="N72" s="54">
        <v>32.811999999999998</v>
      </c>
      <c r="O72" s="54">
        <v>23.97</v>
      </c>
      <c r="P72" s="35">
        <v>292.65700000000004</v>
      </c>
    </row>
    <row r="73" spans="1:16">
      <c r="A73" s="329"/>
      <c r="B73" s="330"/>
      <c r="C73" s="33" t="s">
        <v>101</v>
      </c>
      <c r="D73" s="54">
        <v>18.615561</v>
      </c>
      <c r="E73" s="54">
        <v>17.371885199999998</v>
      </c>
      <c r="F73" s="54">
        <v>21.495704399999997</v>
      </c>
      <c r="G73" s="54">
        <v>19.314077399999999</v>
      </c>
      <c r="H73" s="54">
        <v>25.825318799999998</v>
      </c>
      <c r="I73" s="54">
        <v>19.980933</v>
      </c>
      <c r="J73" s="54">
        <v>23.516059200000001</v>
      </c>
      <c r="K73" s="54">
        <v>24.5133744</v>
      </c>
      <c r="L73" s="54">
        <v>30.629845199999998</v>
      </c>
      <c r="M73" s="54">
        <v>32.1119664</v>
      </c>
      <c r="N73" s="54">
        <v>32.464192799999999</v>
      </c>
      <c r="O73" s="54">
        <v>23.715917999999999</v>
      </c>
      <c r="P73" s="35">
        <v>289.55483579999998</v>
      </c>
    </row>
    <row r="74" spans="1:16">
      <c r="A74" s="329"/>
      <c r="B74" s="330" t="s">
        <v>86</v>
      </c>
      <c r="C74" s="33" t="s">
        <v>100</v>
      </c>
      <c r="D74" s="34">
        <v>58.484000000000002</v>
      </c>
      <c r="E74" s="34">
        <v>38.119999999999997</v>
      </c>
      <c r="F74" s="34">
        <v>45.805999999999997</v>
      </c>
      <c r="G74" s="34">
        <v>42.091999999999999</v>
      </c>
      <c r="H74" s="34">
        <v>71.085999999999999</v>
      </c>
      <c r="I74" s="34">
        <v>83.242000000000004</v>
      </c>
      <c r="J74" s="34">
        <v>112.801</v>
      </c>
      <c r="K74" s="34">
        <v>107.589</v>
      </c>
      <c r="L74" s="34">
        <v>132.03899999999999</v>
      </c>
      <c r="M74" s="34">
        <v>178.56700000000001</v>
      </c>
      <c r="N74" s="34">
        <v>157.74</v>
      </c>
      <c r="O74" s="34">
        <v>108.47</v>
      </c>
      <c r="P74" s="35">
        <v>1136.0360000000001</v>
      </c>
    </row>
    <row r="75" spans="1:16">
      <c r="A75" s="329"/>
      <c r="B75" s="330"/>
      <c r="C75" s="33" t="s">
        <v>101</v>
      </c>
      <c r="D75" s="34">
        <v>57.945947199999999</v>
      </c>
      <c r="E75" s="34">
        <v>37.769295999999997</v>
      </c>
      <c r="F75" s="34">
        <v>45.384584799999999</v>
      </c>
      <c r="G75" s="34">
        <v>41.704753599999997</v>
      </c>
      <c r="H75" s="34">
        <v>70.432008800000006</v>
      </c>
      <c r="I75" s="34">
        <v>82.47617360000001</v>
      </c>
      <c r="J75" s="34">
        <v>111.7632308</v>
      </c>
      <c r="K75" s="34">
        <v>106.5991812</v>
      </c>
      <c r="L75" s="34">
        <v>130.82424119999999</v>
      </c>
      <c r="M75" s="34">
        <v>176.92418360000002</v>
      </c>
      <c r="N75" s="34">
        <v>156.288792</v>
      </c>
      <c r="O75" s="34">
        <v>107.472076</v>
      </c>
      <c r="P75" s="35">
        <v>1125.5844688</v>
      </c>
    </row>
    <row r="76" spans="1:16">
      <c r="A76" s="329"/>
      <c r="B76" s="330" t="s">
        <v>87</v>
      </c>
      <c r="C76" s="33" t="s">
        <v>100</v>
      </c>
      <c r="D76" s="34">
        <v>46.146000000000001</v>
      </c>
      <c r="E76" s="34">
        <v>31.814</v>
      </c>
      <c r="F76" s="34">
        <v>36.704000000000001</v>
      </c>
      <c r="G76" s="34">
        <v>37.725999999999999</v>
      </c>
      <c r="H76" s="34">
        <v>59.707999999999998</v>
      </c>
      <c r="I76" s="34">
        <v>76.266000000000005</v>
      </c>
      <c r="J76" s="34">
        <v>100.35</v>
      </c>
      <c r="K76" s="34">
        <v>94.025999999999996</v>
      </c>
      <c r="L76" s="34">
        <v>121.53400000000001</v>
      </c>
      <c r="M76" s="34">
        <v>151.78899999999999</v>
      </c>
      <c r="N76" s="34">
        <v>113.27200000000001</v>
      </c>
      <c r="O76" s="34">
        <v>76.703999999999994</v>
      </c>
      <c r="P76" s="35">
        <v>946.0390000000001</v>
      </c>
    </row>
    <row r="77" spans="1:16">
      <c r="A77" s="329"/>
      <c r="B77" s="330"/>
      <c r="C77" s="33" t="s">
        <v>101</v>
      </c>
      <c r="D77" s="34">
        <v>45.730685999999999</v>
      </c>
      <c r="E77" s="34">
        <v>31.527674000000001</v>
      </c>
      <c r="F77" s="34">
        <v>36.373663999999998</v>
      </c>
      <c r="G77" s="34">
        <v>37.386465999999999</v>
      </c>
      <c r="H77" s="34">
        <v>59.170628000000001</v>
      </c>
      <c r="I77" s="34">
        <v>75.579605999999998</v>
      </c>
      <c r="J77" s="34">
        <v>99.446849999999998</v>
      </c>
      <c r="K77" s="34">
        <v>93.179766000000001</v>
      </c>
      <c r="L77" s="34">
        <v>120.44019400000001</v>
      </c>
      <c r="M77" s="34">
        <v>150.42289899999997</v>
      </c>
      <c r="N77" s="34">
        <v>112.25255200000001</v>
      </c>
      <c r="O77" s="34">
        <v>76.013663999999991</v>
      </c>
      <c r="P77" s="35">
        <v>937.52464899999995</v>
      </c>
    </row>
    <row r="78" spans="1:16">
      <c r="A78" s="329"/>
      <c r="B78" s="330" t="s">
        <v>92</v>
      </c>
      <c r="C78" s="33" t="s">
        <v>100</v>
      </c>
      <c r="D78" s="34">
        <v>123.44500000000001</v>
      </c>
      <c r="E78" s="34">
        <v>87.49199999999999</v>
      </c>
      <c r="F78" s="34">
        <v>104.23599999999999</v>
      </c>
      <c r="G78" s="34">
        <v>99.338999999999999</v>
      </c>
      <c r="H78" s="34">
        <v>156.89600000000002</v>
      </c>
      <c r="I78" s="34">
        <v>179.70300000000003</v>
      </c>
      <c r="J78" s="34">
        <v>236.91900000000001</v>
      </c>
      <c r="K78" s="34">
        <v>226.39100000000002</v>
      </c>
      <c r="L78" s="34">
        <v>284.53100000000001</v>
      </c>
      <c r="M78" s="34">
        <v>362.81200000000001</v>
      </c>
      <c r="N78" s="34">
        <v>303.82400000000001</v>
      </c>
      <c r="O78" s="34">
        <v>209.14400000000001</v>
      </c>
      <c r="P78" s="35">
        <v>2374.732</v>
      </c>
    </row>
    <row r="79" spans="1:16">
      <c r="A79" s="329"/>
      <c r="B79" s="330"/>
      <c r="C79" s="33" t="s">
        <v>101</v>
      </c>
      <c r="D79" s="34">
        <v>122.29219419999998</v>
      </c>
      <c r="E79" s="34">
        <v>86.668855199999996</v>
      </c>
      <c r="F79" s="34">
        <v>103.25395319999998</v>
      </c>
      <c r="G79" s="34">
        <v>98.40529699999999</v>
      </c>
      <c r="H79" s="34">
        <v>155.42795559999999</v>
      </c>
      <c r="I79" s="34">
        <v>178.03671259999999</v>
      </c>
      <c r="J79" s="34">
        <v>234.72613999999999</v>
      </c>
      <c r="K79" s="34">
        <v>224.29232160000001</v>
      </c>
      <c r="L79" s="34">
        <v>281.89428040000001</v>
      </c>
      <c r="M79" s="34">
        <v>359.45904899999999</v>
      </c>
      <c r="N79" s="34">
        <v>301.00553680000002</v>
      </c>
      <c r="O79" s="34">
        <v>207.20165800000001</v>
      </c>
      <c r="P79" s="35">
        <v>2352.6639535999998</v>
      </c>
    </row>
    <row r="80" spans="1:16">
      <c r="A80" s="331">
        <v>0.9</v>
      </c>
      <c r="B80" s="333" t="s">
        <v>80</v>
      </c>
      <c r="C80" s="51" t="s">
        <v>100</v>
      </c>
      <c r="D80" s="52">
        <v>21.349</v>
      </c>
      <c r="E80" s="52">
        <v>18.614000000000001</v>
      </c>
      <c r="F80" s="52">
        <v>19.449000000000002</v>
      </c>
      <c r="G80" s="52">
        <v>14.958</v>
      </c>
      <c r="H80" s="52">
        <v>16.898</v>
      </c>
      <c r="I80" s="52">
        <v>20.233000000000001</v>
      </c>
      <c r="J80" s="52">
        <v>17.315999999999999</v>
      </c>
      <c r="K80" s="52">
        <v>19.545000000000002</v>
      </c>
      <c r="L80" s="52">
        <v>25.141999999999999</v>
      </c>
      <c r="M80" s="52">
        <v>32.430999999999997</v>
      </c>
      <c r="N80" s="52">
        <v>30.634</v>
      </c>
      <c r="O80" s="52">
        <v>21.571999999999999</v>
      </c>
      <c r="P80" s="53">
        <v>258.14100000000002</v>
      </c>
    </row>
    <row r="81" spans="1:16">
      <c r="A81" s="329"/>
      <c r="B81" s="330"/>
      <c r="C81" s="33" t="s">
        <v>101</v>
      </c>
      <c r="D81" s="54">
        <v>21.122700599999998</v>
      </c>
      <c r="E81" s="54">
        <v>18.4166916</v>
      </c>
      <c r="F81" s="54">
        <v>19.242840600000001</v>
      </c>
      <c r="G81" s="54">
        <v>14.799445199999999</v>
      </c>
      <c r="H81" s="54">
        <v>16.718881199999998</v>
      </c>
      <c r="I81" s="54">
        <v>20.018530200000001</v>
      </c>
      <c r="J81" s="54">
        <v>17.1324504</v>
      </c>
      <c r="K81" s="54">
        <v>19.337823</v>
      </c>
      <c r="L81" s="54">
        <v>24.875494799999998</v>
      </c>
      <c r="M81" s="54">
        <v>32.087231399999993</v>
      </c>
      <c r="N81" s="54">
        <v>30.3092796</v>
      </c>
      <c r="O81" s="54">
        <v>21.343336799999999</v>
      </c>
      <c r="P81" s="35">
        <v>255.40470540000001</v>
      </c>
    </row>
    <row r="82" spans="1:16">
      <c r="A82" s="329"/>
      <c r="B82" s="330" t="s">
        <v>86</v>
      </c>
      <c r="C82" s="33" t="s">
        <v>100</v>
      </c>
      <c r="D82" s="34">
        <v>51.62</v>
      </c>
      <c r="E82" s="34">
        <v>37.61</v>
      </c>
      <c r="F82" s="34">
        <v>33.83</v>
      </c>
      <c r="G82" s="34">
        <v>25.7</v>
      </c>
      <c r="H82" s="34">
        <v>40.28</v>
      </c>
      <c r="I82" s="34">
        <v>61.11</v>
      </c>
      <c r="J82" s="34">
        <v>72.86</v>
      </c>
      <c r="K82" s="34">
        <v>105.42</v>
      </c>
      <c r="L82" s="34">
        <v>146</v>
      </c>
      <c r="M82" s="34">
        <v>138.47</v>
      </c>
      <c r="N82" s="34">
        <v>90.05</v>
      </c>
      <c r="O82" s="34">
        <v>95.28</v>
      </c>
      <c r="P82" s="35">
        <v>898.23</v>
      </c>
    </row>
    <row r="83" spans="1:16">
      <c r="A83" s="329"/>
      <c r="B83" s="330"/>
      <c r="C83" s="33" t="s">
        <v>101</v>
      </c>
      <c r="D83" s="34">
        <v>51.145095999999995</v>
      </c>
      <c r="E83" s="34">
        <v>37.263987999999998</v>
      </c>
      <c r="F83" s="34">
        <v>33.518763999999997</v>
      </c>
      <c r="G83" s="34">
        <v>25.463560000000001</v>
      </c>
      <c r="H83" s="34">
        <v>39.909424000000001</v>
      </c>
      <c r="I83" s="34">
        <v>60.547787999999997</v>
      </c>
      <c r="J83" s="34">
        <v>72.189688000000004</v>
      </c>
      <c r="K83" s="34">
        <v>104.450136</v>
      </c>
      <c r="L83" s="34">
        <v>144.6568</v>
      </c>
      <c r="M83" s="34">
        <v>137.19607600000001</v>
      </c>
      <c r="N83" s="34">
        <v>89.221540000000005</v>
      </c>
      <c r="O83" s="34">
        <v>94.403424000000001</v>
      </c>
      <c r="P83" s="35">
        <v>889.96628399999997</v>
      </c>
    </row>
    <row r="84" spans="1:16">
      <c r="A84" s="329"/>
      <c r="B84" s="330" t="s">
        <v>87</v>
      </c>
      <c r="C84" s="33" t="s">
        <v>100</v>
      </c>
      <c r="D84" s="34">
        <v>52.357450000000014</v>
      </c>
      <c r="E84" s="34">
        <v>43.83484</v>
      </c>
      <c r="F84" s="34">
        <v>45.232410000000009</v>
      </c>
      <c r="G84" s="34">
        <v>40.448100000000011</v>
      </c>
      <c r="H84" s="34">
        <v>48.373330000000003</v>
      </c>
      <c r="I84" s="34">
        <v>53.9223</v>
      </c>
      <c r="J84" s="34">
        <v>64.238894976744177</v>
      </c>
      <c r="K84" s="34">
        <v>77.028011302325581</v>
      </c>
      <c r="L84" s="34">
        <v>98.893151162790701</v>
      </c>
      <c r="M84" s="34">
        <v>93.534166046511615</v>
      </c>
      <c r="N84" s="34">
        <v>69.427524418604648</v>
      </c>
      <c r="O84" s="34">
        <v>75.312110116279101</v>
      </c>
      <c r="P84" s="35">
        <v>762.60228802325582</v>
      </c>
    </row>
    <row r="85" spans="1:16">
      <c r="A85" s="329"/>
      <c r="B85" s="330"/>
      <c r="C85" s="33" t="s">
        <v>101</v>
      </c>
      <c r="D85" s="34">
        <v>51.886232950000014</v>
      </c>
      <c r="E85" s="34">
        <v>43.44032644</v>
      </c>
      <c r="F85" s="34">
        <v>44.825318310000007</v>
      </c>
      <c r="G85" s="34">
        <v>40.084067100000013</v>
      </c>
      <c r="H85" s="34">
        <v>47.937970030000002</v>
      </c>
      <c r="I85" s="34">
        <v>53.436999299999997</v>
      </c>
      <c r="J85" s="34">
        <v>63.66074492195348</v>
      </c>
      <c r="K85" s="34">
        <v>76.334759200604651</v>
      </c>
      <c r="L85" s="34">
        <v>98.003112802325589</v>
      </c>
      <c r="M85" s="34">
        <v>92.692358552093012</v>
      </c>
      <c r="N85" s="34">
        <v>68.802676698837203</v>
      </c>
      <c r="O85" s="34">
        <v>74.634301125232582</v>
      </c>
      <c r="P85" s="35">
        <v>755.73886743104651</v>
      </c>
    </row>
    <row r="86" spans="1:16">
      <c r="A86" s="329"/>
      <c r="B86" s="330" t="s">
        <v>92</v>
      </c>
      <c r="C86" s="33" t="s">
        <v>100</v>
      </c>
      <c r="D86" s="34">
        <v>125.32645000000001</v>
      </c>
      <c r="E86" s="34">
        <v>100.05884</v>
      </c>
      <c r="F86" s="34">
        <v>98.511410000000012</v>
      </c>
      <c r="G86" s="34">
        <v>81.106100000000012</v>
      </c>
      <c r="H86" s="34">
        <v>105.55133000000001</v>
      </c>
      <c r="I86" s="34">
        <v>135.2653</v>
      </c>
      <c r="J86" s="34">
        <v>154.41489497674416</v>
      </c>
      <c r="K86" s="34">
        <v>201.99301130232558</v>
      </c>
      <c r="L86" s="34">
        <v>270.03515116279073</v>
      </c>
      <c r="M86" s="34">
        <v>264.43516604651165</v>
      </c>
      <c r="N86" s="34">
        <v>190.11152441860463</v>
      </c>
      <c r="O86" s="34">
        <v>192.16411011627912</v>
      </c>
      <c r="P86" s="35">
        <v>1918.9732880232557</v>
      </c>
    </row>
    <row r="87" spans="1:16">
      <c r="A87" s="332"/>
      <c r="B87" s="330"/>
      <c r="C87" s="33" t="s">
        <v>101</v>
      </c>
      <c r="D87" s="34">
        <v>124.15402955000002</v>
      </c>
      <c r="E87" s="34">
        <v>99.121006039999997</v>
      </c>
      <c r="F87" s="34">
        <v>97.586922909999998</v>
      </c>
      <c r="G87" s="34">
        <v>80.347072300000008</v>
      </c>
      <c r="H87" s="34">
        <v>104.56627523</v>
      </c>
      <c r="I87" s="34">
        <v>134.00331749999998</v>
      </c>
      <c r="J87" s="34">
        <v>152.98288332195347</v>
      </c>
      <c r="K87" s="34">
        <v>200.12271820060465</v>
      </c>
      <c r="L87" s="34">
        <v>267.53540760232556</v>
      </c>
      <c r="M87" s="34">
        <v>261.97566595209304</v>
      </c>
      <c r="N87" s="34">
        <v>188.33349629883719</v>
      </c>
      <c r="O87" s="34">
        <v>190.38106192523259</v>
      </c>
      <c r="P87" s="35">
        <v>1901.1098568310465</v>
      </c>
    </row>
    <row r="88" spans="1:16">
      <c r="A88" s="326" t="s">
        <v>103</v>
      </c>
      <c r="B88" s="328" t="s">
        <v>80</v>
      </c>
      <c r="C88" s="60" t="s">
        <v>81</v>
      </c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2"/>
    </row>
    <row r="89" spans="1:16">
      <c r="A89" s="326"/>
      <c r="B89" s="326"/>
      <c r="C89" s="41" t="s">
        <v>84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18.038399999999999</v>
      </c>
      <c r="M89" s="63">
        <v>29.704999999999998</v>
      </c>
      <c r="N89" s="63">
        <v>22.991800000000001</v>
      </c>
      <c r="O89" s="63">
        <v>11.327299999999999</v>
      </c>
      <c r="P89" s="43">
        <v>82.062499999999986</v>
      </c>
    </row>
    <row r="90" spans="1:16">
      <c r="A90" s="326"/>
      <c r="B90" s="326"/>
      <c r="C90" s="41" t="s">
        <v>88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18.038399999999999</v>
      </c>
      <c r="M90" s="63">
        <v>29.704999999999998</v>
      </c>
      <c r="N90" s="63">
        <v>22.991800000000001</v>
      </c>
      <c r="O90" s="63">
        <v>11.327299999999999</v>
      </c>
      <c r="P90" s="43">
        <v>82.062499999999986</v>
      </c>
    </row>
    <row r="91" spans="1:16">
      <c r="A91" s="326"/>
      <c r="B91" s="327"/>
      <c r="C91" s="64" t="s">
        <v>91</v>
      </c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6"/>
    </row>
    <row r="92" spans="1:16">
      <c r="A92" s="326"/>
      <c r="B92" s="328" t="s">
        <v>86</v>
      </c>
      <c r="C92" s="60" t="s">
        <v>81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2">
        <v>0</v>
      </c>
    </row>
    <row r="93" spans="1:16">
      <c r="A93" s="326"/>
      <c r="B93" s="326"/>
      <c r="C93" s="41" t="s">
        <v>84</v>
      </c>
      <c r="D93" s="42">
        <v>0</v>
      </c>
      <c r="E93" s="42">
        <v>0</v>
      </c>
      <c r="F93" s="42">
        <v>0.61580000000000001</v>
      </c>
      <c r="G93" s="42">
        <v>46.090299999999999</v>
      </c>
      <c r="H93" s="42">
        <v>95.1952</v>
      </c>
      <c r="I93" s="42">
        <v>88.128399999999999</v>
      </c>
      <c r="J93" s="42">
        <v>80.478499999999997</v>
      </c>
      <c r="K93" s="42">
        <v>99.1738</v>
      </c>
      <c r="L93" s="42">
        <v>94.657899999999998</v>
      </c>
      <c r="M93" s="42">
        <v>163.4075</v>
      </c>
      <c r="N93" s="42">
        <v>149.22370000000001</v>
      </c>
      <c r="O93" s="42">
        <v>77.005900000000025</v>
      </c>
      <c r="P93" s="43">
        <v>893.97699999999998</v>
      </c>
    </row>
    <row r="94" spans="1:16">
      <c r="A94" s="326"/>
      <c r="B94" s="326"/>
      <c r="C94" s="41" t="s">
        <v>88</v>
      </c>
      <c r="D94" s="42">
        <v>0</v>
      </c>
      <c r="E94" s="42">
        <v>0</v>
      </c>
      <c r="F94" s="42">
        <v>0.61580000000000001</v>
      </c>
      <c r="G94" s="42">
        <v>46.090299999999999</v>
      </c>
      <c r="H94" s="42">
        <v>95.1952</v>
      </c>
      <c r="I94" s="42">
        <v>88.128399999999999</v>
      </c>
      <c r="J94" s="42">
        <v>80.478499999999997</v>
      </c>
      <c r="K94" s="42">
        <v>99.1738</v>
      </c>
      <c r="L94" s="42">
        <v>94.657899999999998</v>
      </c>
      <c r="M94" s="42">
        <v>162.76929999999999</v>
      </c>
      <c r="N94" s="42">
        <v>148.8039</v>
      </c>
      <c r="O94" s="42">
        <v>76.8125</v>
      </c>
      <c r="P94" s="43">
        <v>892.72559999999999</v>
      </c>
    </row>
    <row r="95" spans="1:16">
      <c r="A95" s="326"/>
      <c r="B95" s="327"/>
      <c r="C95" s="64" t="s">
        <v>91</v>
      </c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6">
        <v>0</v>
      </c>
    </row>
    <row r="96" spans="1:16">
      <c r="A96" s="326"/>
      <c r="B96" s="328" t="s">
        <v>87</v>
      </c>
      <c r="C96" s="60" t="s">
        <v>81</v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2"/>
    </row>
    <row r="97" spans="1:16">
      <c r="A97" s="326"/>
      <c r="B97" s="326"/>
      <c r="C97" s="41" t="s">
        <v>84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2">
        <v>0</v>
      </c>
      <c r="O97" s="42">
        <v>0</v>
      </c>
      <c r="P97" s="43">
        <v>0</v>
      </c>
    </row>
    <row r="98" spans="1:16">
      <c r="A98" s="326"/>
      <c r="B98" s="326"/>
      <c r="C98" s="41" t="s">
        <v>88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0</v>
      </c>
      <c r="L98" s="42">
        <v>0</v>
      </c>
      <c r="M98" s="42">
        <v>0</v>
      </c>
      <c r="N98" s="42">
        <v>0</v>
      </c>
      <c r="O98" s="42">
        <v>0</v>
      </c>
      <c r="P98" s="43">
        <v>0</v>
      </c>
    </row>
    <row r="99" spans="1:16">
      <c r="A99" s="326"/>
      <c r="B99" s="327"/>
      <c r="C99" s="64" t="s">
        <v>91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6"/>
    </row>
    <row r="100" spans="1:16">
      <c r="A100" s="326"/>
      <c r="B100" s="328" t="s">
        <v>92</v>
      </c>
      <c r="C100" s="60" t="s">
        <v>81</v>
      </c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2"/>
    </row>
    <row r="101" spans="1:16">
      <c r="A101" s="326"/>
      <c r="B101" s="326"/>
      <c r="C101" s="41" t="s">
        <v>84</v>
      </c>
      <c r="D101" s="42">
        <v>0</v>
      </c>
      <c r="E101" s="42">
        <v>0</v>
      </c>
      <c r="F101" s="42">
        <v>0.61580000000000001</v>
      </c>
      <c r="G101" s="42">
        <v>46.090299999999999</v>
      </c>
      <c r="H101" s="42">
        <v>95.1952</v>
      </c>
      <c r="I101" s="42">
        <v>88.128399999999999</v>
      </c>
      <c r="J101" s="42">
        <v>80.478499999999997</v>
      </c>
      <c r="K101" s="42">
        <v>99.1738</v>
      </c>
      <c r="L101" s="42">
        <v>112.69629999999999</v>
      </c>
      <c r="M101" s="42">
        <v>193.11250000000001</v>
      </c>
      <c r="N101" s="42">
        <v>172.21550000000002</v>
      </c>
      <c r="O101" s="42">
        <v>88.333200000000019</v>
      </c>
      <c r="P101" s="43">
        <v>976.03950000000009</v>
      </c>
    </row>
    <row r="102" spans="1:16">
      <c r="A102" s="326"/>
      <c r="B102" s="326"/>
      <c r="C102" s="41" t="s">
        <v>88</v>
      </c>
      <c r="D102" s="42">
        <v>0</v>
      </c>
      <c r="E102" s="42">
        <v>0</v>
      </c>
      <c r="F102" s="42">
        <v>0.61580000000000001</v>
      </c>
      <c r="G102" s="42">
        <v>46.090299999999999</v>
      </c>
      <c r="H102" s="42">
        <v>95.1952</v>
      </c>
      <c r="I102" s="42">
        <v>88.128399999999999</v>
      </c>
      <c r="J102" s="42">
        <v>80.478499999999997</v>
      </c>
      <c r="K102" s="42">
        <v>99.1738</v>
      </c>
      <c r="L102" s="42">
        <v>112.69629999999999</v>
      </c>
      <c r="M102" s="42">
        <v>192.47429999999997</v>
      </c>
      <c r="N102" s="42">
        <v>171.79570000000001</v>
      </c>
      <c r="O102" s="42">
        <v>88.139799999999994</v>
      </c>
      <c r="P102" s="43">
        <v>974.78809999999999</v>
      </c>
    </row>
    <row r="103" spans="1:16">
      <c r="A103" s="326"/>
      <c r="B103" s="327"/>
      <c r="C103" s="64" t="s">
        <v>91</v>
      </c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6"/>
    </row>
    <row r="104" spans="1:16">
      <c r="A104" s="328" t="s">
        <v>104</v>
      </c>
      <c r="B104" s="326" t="s">
        <v>80</v>
      </c>
      <c r="C104" s="41" t="s">
        <v>81</v>
      </c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43"/>
    </row>
    <row r="105" spans="1:16">
      <c r="A105" s="326"/>
      <c r="B105" s="326"/>
      <c r="C105" s="41" t="s">
        <v>84</v>
      </c>
      <c r="D105" s="63">
        <v>11.79087</v>
      </c>
      <c r="E105" s="63">
        <v>12.670629999999999</v>
      </c>
      <c r="F105" s="63">
        <v>24.795159999999999</v>
      </c>
      <c r="G105" s="63">
        <v>15.11448</v>
      </c>
      <c r="H105" s="63">
        <v>14.246289999999998</v>
      </c>
      <c r="I105" s="63">
        <v>11.782910000000003</v>
      </c>
      <c r="J105" s="63">
        <v>16.331299999999995</v>
      </c>
      <c r="K105" s="63">
        <v>16.156330000000004</v>
      </c>
      <c r="L105" s="63">
        <v>25.082820000000002</v>
      </c>
      <c r="M105" s="63">
        <v>6.3008199999999954</v>
      </c>
      <c r="N105" s="63">
        <v>28.391430000000014</v>
      </c>
      <c r="O105" s="63">
        <v>34.461909999999996</v>
      </c>
      <c r="P105" s="43">
        <v>217.12494999999998</v>
      </c>
    </row>
    <row r="106" spans="1:16">
      <c r="A106" s="326"/>
      <c r="B106" s="326"/>
      <c r="C106" s="41" t="s">
        <v>88</v>
      </c>
      <c r="D106" s="63">
        <v>11.715</v>
      </c>
      <c r="E106" s="63">
        <v>12.5855</v>
      </c>
      <c r="F106" s="63">
        <v>24.628000000000007</v>
      </c>
      <c r="G106" s="63">
        <v>15.017699999999996</v>
      </c>
      <c r="H106" s="63">
        <v>14.1713</v>
      </c>
      <c r="I106" s="63">
        <v>11.725799999999994</v>
      </c>
      <c r="J106" s="63">
        <v>16.240700000000004</v>
      </c>
      <c r="K106" s="63">
        <v>16.057099999999995</v>
      </c>
      <c r="L106" s="63">
        <v>24.928200000000007</v>
      </c>
      <c r="M106" s="63">
        <v>6.2626999999999988</v>
      </c>
      <c r="N106" s="63">
        <v>28.201599999999999</v>
      </c>
      <c r="O106" s="63">
        <v>34.216118699999996</v>
      </c>
      <c r="P106" s="43">
        <v>215.74971869999996</v>
      </c>
    </row>
    <row r="107" spans="1:16">
      <c r="A107" s="326"/>
      <c r="B107" s="327"/>
      <c r="C107" s="64" t="s">
        <v>91</v>
      </c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6"/>
    </row>
    <row r="108" spans="1:16">
      <c r="A108" s="326"/>
      <c r="B108" s="328" t="s">
        <v>86</v>
      </c>
      <c r="C108" s="60" t="s">
        <v>81</v>
      </c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2"/>
    </row>
    <row r="109" spans="1:16">
      <c r="A109" s="326"/>
      <c r="B109" s="326"/>
      <c r="C109" s="41" t="s">
        <v>84</v>
      </c>
      <c r="D109" s="42">
        <v>48.846099999999993</v>
      </c>
      <c r="E109" s="42">
        <v>27.393000000000008</v>
      </c>
      <c r="F109" s="42">
        <v>43.242500000000014</v>
      </c>
      <c r="G109" s="42">
        <v>32.473099999999988</v>
      </c>
      <c r="H109" s="42">
        <v>33.218899999999984</v>
      </c>
      <c r="I109" s="42">
        <v>55.729100000000003</v>
      </c>
      <c r="J109" s="42">
        <v>95.428900000000041</v>
      </c>
      <c r="K109" s="42">
        <v>113.00689999999999</v>
      </c>
      <c r="L109" s="42">
        <v>137.87360000000001</v>
      </c>
      <c r="M109" s="42">
        <v>110.02379999999997</v>
      </c>
      <c r="N109" s="42">
        <v>158.70470000000009</v>
      </c>
      <c r="O109" s="42">
        <v>176.10519999999994</v>
      </c>
      <c r="P109" s="43">
        <v>1032.0457999999999</v>
      </c>
    </row>
    <row r="110" spans="1:16">
      <c r="A110" s="326"/>
      <c r="B110" s="326"/>
      <c r="C110" s="41" t="s">
        <v>88</v>
      </c>
      <c r="D110" s="42">
        <v>48.679800000000014</v>
      </c>
      <c r="E110" s="42">
        <v>27.294300000000028</v>
      </c>
      <c r="F110" s="42">
        <v>42.987699999999954</v>
      </c>
      <c r="G110" s="42">
        <v>32.560300000000055</v>
      </c>
      <c r="H110" s="42">
        <v>33.106599999999986</v>
      </c>
      <c r="I110" s="42">
        <v>55.500599999999991</v>
      </c>
      <c r="J110" s="42">
        <v>95.174399999999977</v>
      </c>
      <c r="K110" s="42">
        <v>112.72270000000003</v>
      </c>
      <c r="L110" s="42">
        <v>137.58899999999997</v>
      </c>
      <c r="M110" s="42">
        <v>109.63880000000002</v>
      </c>
      <c r="N110" s="42">
        <v>158.05449999999999</v>
      </c>
      <c r="O110" s="42">
        <v>175.423664</v>
      </c>
      <c r="P110" s="43">
        <v>1028.732364</v>
      </c>
    </row>
    <row r="111" spans="1:16">
      <c r="A111" s="326"/>
      <c r="B111" s="327"/>
      <c r="C111" s="64" t="s">
        <v>91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6"/>
    </row>
    <row r="112" spans="1:16">
      <c r="A112" s="326"/>
      <c r="B112" s="328" t="s">
        <v>87</v>
      </c>
      <c r="C112" s="60" t="s">
        <v>81</v>
      </c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2"/>
    </row>
    <row r="113" spans="1:16">
      <c r="A113" s="326"/>
      <c r="B113" s="326"/>
      <c r="C113" s="41" t="s">
        <v>84</v>
      </c>
      <c r="D113" s="42">
        <v>0</v>
      </c>
      <c r="E113" s="42">
        <v>0</v>
      </c>
      <c r="F113" s="42">
        <v>0</v>
      </c>
      <c r="G113" s="42">
        <v>0</v>
      </c>
      <c r="H113" s="42">
        <v>0</v>
      </c>
      <c r="I113" s="42">
        <v>8.0709999999999997</v>
      </c>
      <c r="J113" s="42">
        <v>78.832599999999999</v>
      </c>
      <c r="K113" s="42">
        <v>80.513800000000018</v>
      </c>
      <c r="L113" s="42">
        <v>87.267799999999994</v>
      </c>
      <c r="M113" s="42">
        <v>106.91669999999999</v>
      </c>
      <c r="N113" s="42">
        <v>125.6108</v>
      </c>
      <c r="O113" s="42">
        <v>145.12219999999999</v>
      </c>
      <c r="P113" s="43">
        <v>632.33489999999995</v>
      </c>
    </row>
    <row r="114" spans="1:16">
      <c r="A114" s="326"/>
      <c r="B114" s="326"/>
      <c r="C114" s="41" t="s">
        <v>88</v>
      </c>
      <c r="D114" s="42">
        <v>0</v>
      </c>
      <c r="E114" s="42">
        <v>0</v>
      </c>
      <c r="F114" s="42">
        <v>0</v>
      </c>
      <c r="G114" s="42">
        <v>0</v>
      </c>
      <c r="H114" s="42">
        <v>0</v>
      </c>
      <c r="I114" s="42">
        <v>8.0709999999999997</v>
      </c>
      <c r="J114" s="42">
        <v>78.832599999999999</v>
      </c>
      <c r="K114" s="42">
        <v>80.513800000000018</v>
      </c>
      <c r="L114" s="42">
        <v>87.267799999999994</v>
      </c>
      <c r="M114" s="42">
        <v>106.91669999999999</v>
      </c>
      <c r="N114" s="42">
        <v>125.6108</v>
      </c>
      <c r="O114" s="42">
        <v>145.12219999999999</v>
      </c>
      <c r="P114" s="43">
        <v>632.33489999999995</v>
      </c>
    </row>
    <row r="115" spans="1:16">
      <c r="A115" s="326"/>
      <c r="B115" s="327"/>
      <c r="C115" s="64" t="s">
        <v>91</v>
      </c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6"/>
    </row>
    <row r="116" spans="1:16">
      <c r="A116" s="326"/>
      <c r="B116" s="328" t="s">
        <v>92</v>
      </c>
      <c r="C116" s="60" t="s">
        <v>81</v>
      </c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2"/>
    </row>
    <row r="117" spans="1:16">
      <c r="A117" s="326"/>
      <c r="B117" s="326"/>
      <c r="C117" s="41" t="s">
        <v>84</v>
      </c>
      <c r="D117" s="42">
        <v>60.636969999999991</v>
      </c>
      <c r="E117" s="42">
        <v>40.063630000000003</v>
      </c>
      <c r="F117" s="42">
        <v>68.037660000000017</v>
      </c>
      <c r="G117" s="42">
        <v>47.587579999999988</v>
      </c>
      <c r="H117" s="42">
        <v>47.465189999999978</v>
      </c>
      <c r="I117" s="42">
        <v>75.583010000000002</v>
      </c>
      <c r="J117" s="42">
        <v>190.59280000000004</v>
      </c>
      <c r="K117" s="42">
        <v>209.67703</v>
      </c>
      <c r="L117" s="42">
        <v>250.22422</v>
      </c>
      <c r="M117" s="42">
        <v>223.24131999999997</v>
      </c>
      <c r="N117" s="42">
        <v>312.70693000000011</v>
      </c>
      <c r="O117" s="42">
        <v>355.68930999999992</v>
      </c>
      <c r="P117" s="43">
        <v>1881.5056500000001</v>
      </c>
    </row>
    <row r="118" spans="1:16">
      <c r="A118" s="326"/>
      <c r="B118" s="326"/>
      <c r="C118" s="41" t="s">
        <v>88</v>
      </c>
      <c r="D118" s="42">
        <v>60.394800000000018</v>
      </c>
      <c r="E118" s="42">
        <v>39.879800000000031</v>
      </c>
      <c r="F118" s="42">
        <v>67.615699999999961</v>
      </c>
      <c r="G118" s="42">
        <v>47.578000000000053</v>
      </c>
      <c r="H118" s="42">
        <v>47.277899999999988</v>
      </c>
      <c r="I118" s="42">
        <v>75.297399999999982</v>
      </c>
      <c r="J118" s="42">
        <v>190.24769999999998</v>
      </c>
      <c r="K118" s="42">
        <v>209.29360000000003</v>
      </c>
      <c r="L118" s="42">
        <v>249.78499999999997</v>
      </c>
      <c r="M118" s="42">
        <v>222.81819999999999</v>
      </c>
      <c r="N118" s="42">
        <v>311.86689999999999</v>
      </c>
      <c r="O118" s="42">
        <v>354.76198269999998</v>
      </c>
      <c r="P118" s="43">
        <v>1876.8169827000002</v>
      </c>
    </row>
    <row r="119" spans="1:16">
      <c r="A119" s="327"/>
      <c r="B119" s="327"/>
      <c r="C119" s="64" t="s">
        <v>91</v>
      </c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6"/>
    </row>
    <row r="120" spans="1:16">
      <c r="A120" s="317" t="s">
        <v>105</v>
      </c>
      <c r="B120" s="318" t="s">
        <v>80</v>
      </c>
      <c r="C120" s="33" t="s">
        <v>81</v>
      </c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35"/>
    </row>
    <row r="121" spans="1:16">
      <c r="A121" s="318"/>
      <c r="B121" s="318"/>
      <c r="C121" s="33" t="s">
        <v>84</v>
      </c>
      <c r="D121" s="54">
        <v>20.360220000000009</v>
      </c>
      <c r="E121" s="54">
        <v>13.233499999999999</v>
      </c>
      <c r="F121" s="54">
        <v>32.383919999999989</v>
      </c>
      <c r="G121" s="54">
        <v>22.10473</v>
      </c>
      <c r="H121" s="54">
        <v>13.201589999999999</v>
      </c>
      <c r="I121" s="54">
        <v>23.40821</v>
      </c>
      <c r="J121" s="54">
        <v>26.187750000000001</v>
      </c>
      <c r="K121" s="54">
        <v>32.645659999999999</v>
      </c>
      <c r="L121" s="54">
        <v>24.484770000000001</v>
      </c>
      <c r="M121" s="54">
        <v>57.841043999999997</v>
      </c>
      <c r="N121" s="54">
        <v>40.546990000000001</v>
      </c>
      <c r="O121" s="54">
        <v>35.038040000000002</v>
      </c>
      <c r="P121" s="35">
        <v>341.43642399999999</v>
      </c>
    </row>
    <row r="122" spans="1:16">
      <c r="A122" s="318"/>
      <c r="B122" s="318"/>
      <c r="C122" s="33" t="s">
        <v>88</v>
      </c>
      <c r="D122" s="54">
        <v>20.189000000000014</v>
      </c>
      <c r="E122" s="54">
        <v>13.135499999999997</v>
      </c>
      <c r="F122" s="54">
        <v>32.165799999999983</v>
      </c>
      <c r="G122" s="54">
        <v>21.958400000000001</v>
      </c>
      <c r="H122" s="54">
        <v>13.116199999999999</v>
      </c>
      <c r="I122" s="54">
        <v>23.259699999999999</v>
      </c>
      <c r="J122" s="54">
        <v>26.044384999999998</v>
      </c>
      <c r="K122" s="54">
        <v>32.436799999999998</v>
      </c>
      <c r="L122" s="54">
        <v>24.327000000000002</v>
      </c>
      <c r="M122" s="54">
        <v>57.465401</v>
      </c>
      <c r="N122" s="54">
        <v>40.280799999999999</v>
      </c>
      <c r="O122" s="54">
        <v>34.804299999999998</v>
      </c>
      <c r="P122" s="35">
        <v>339.18328600000001</v>
      </c>
    </row>
    <row r="123" spans="1:16">
      <c r="A123" s="318"/>
      <c r="B123" s="319"/>
      <c r="C123" s="36" t="s">
        <v>91</v>
      </c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38"/>
    </row>
    <row r="124" spans="1:16">
      <c r="A124" s="318"/>
      <c r="B124" s="317" t="s">
        <v>86</v>
      </c>
      <c r="C124" s="51" t="s">
        <v>81</v>
      </c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53"/>
    </row>
    <row r="125" spans="1:16">
      <c r="A125" s="318"/>
      <c r="B125" s="318"/>
      <c r="C125" s="33" t="s">
        <v>84</v>
      </c>
      <c r="D125" s="34">
        <v>67.007400000000018</v>
      </c>
      <c r="E125" s="34">
        <v>33.693700000000078</v>
      </c>
      <c r="F125" s="34">
        <v>61.754800000000046</v>
      </c>
      <c r="G125" s="34">
        <v>58.139919999999996</v>
      </c>
      <c r="H125" s="34">
        <v>41.222000000000001</v>
      </c>
      <c r="I125" s="34">
        <v>134.8409</v>
      </c>
      <c r="J125" s="34">
        <v>138.4777</v>
      </c>
      <c r="K125" s="34">
        <v>165.65899999999999</v>
      </c>
      <c r="L125" s="34">
        <v>159.86539999999999</v>
      </c>
      <c r="M125" s="34">
        <v>186.99842699999999</v>
      </c>
      <c r="N125" s="34">
        <v>151.0607</v>
      </c>
      <c r="O125" s="34">
        <v>146.01929999999999</v>
      </c>
      <c r="P125" s="35">
        <v>1344.739247</v>
      </c>
    </row>
    <row r="126" spans="1:16">
      <c r="A126" s="318"/>
      <c r="B126" s="318"/>
      <c r="C126" s="33" t="s">
        <v>88</v>
      </c>
      <c r="D126" s="34">
        <v>66.611025999999967</v>
      </c>
      <c r="E126" s="34">
        <v>33.573300000000003</v>
      </c>
      <c r="F126" s="34">
        <v>61.364899999999999</v>
      </c>
      <c r="G126" s="34">
        <v>57.700800000000001</v>
      </c>
      <c r="H126" s="34">
        <v>41.0473</v>
      </c>
      <c r="I126" s="34">
        <v>134.20859999999999</v>
      </c>
      <c r="J126" s="34">
        <v>137.78270000000001</v>
      </c>
      <c r="K126" s="34">
        <v>164.80250000000001</v>
      </c>
      <c r="L126" s="34">
        <v>159.10079999999999</v>
      </c>
      <c r="M126" s="34">
        <v>186.23960099999999</v>
      </c>
      <c r="N126" s="34">
        <v>150.63409999999999</v>
      </c>
      <c r="O126" s="34">
        <v>145.55619999999999</v>
      </c>
      <c r="P126" s="35">
        <v>1338.6218269999999</v>
      </c>
    </row>
    <row r="127" spans="1:16">
      <c r="A127" s="318"/>
      <c r="B127" s="319"/>
      <c r="C127" s="36" t="s">
        <v>91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8"/>
    </row>
    <row r="128" spans="1:16">
      <c r="A128" s="318"/>
      <c r="B128" s="317" t="s">
        <v>87</v>
      </c>
      <c r="C128" s="51" t="s">
        <v>81</v>
      </c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53"/>
    </row>
    <row r="129" spans="1:16">
      <c r="A129" s="318"/>
      <c r="B129" s="318"/>
      <c r="C129" s="33" t="s">
        <v>84</v>
      </c>
      <c r="D129" s="34">
        <v>45.438943999999999</v>
      </c>
      <c r="E129" s="34">
        <v>38.327629999999999</v>
      </c>
      <c r="F129" s="34">
        <v>40.162329999999997</v>
      </c>
      <c r="G129" s="34">
        <v>47.265079999999998</v>
      </c>
      <c r="H129" s="34">
        <v>44.839829999999999</v>
      </c>
      <c r="I129" s="34">
        <v>120.19458</v>
      </c>
      <c r="J129" s="34">
        <v>109.09842</v>
      </c>
      <c r="K129" s="34">
        <v>134.28808000000001</v>
      </c>
      <c r="L129" s="34">
        <v>139.98535999999999</v>
      </c>
      <c r="M129" s="34">
        <v>153.80945800000001</v>
      </c>
      <c r="N129" s="34">
        <v>121.84898</v>
      </c>
      <c r="O129" s="34">
        <v>111.80434</v>
      </c>
      <c r="P129" s="35">
        <v>1107.063032</v>
      </c>
    </row>
    <row r="130" spans="1:16">
      <c r="A130" s="318"/>
      <c r="B130" s="318"/>
      <c r="C130" s="33" t="s">
        <v>88</v>
      </c>
      <c r="D130" s="34">
        <v>45.041160000000012</v>
      </c>
      <c r="E130" s="34">
        <v>37.992100000000008</v>
      </c>
      <c r="F130" s="34">
        <v>39.810700000000026</v>
      </c>
      <c r="G130" s="34">
        <v>46.846899999999998</v>
      </c>
      <c r="H130" s="34">
        <v>44.469499999999996</v>
      </c>
      <c r="I130" s="34">
        <v>119.1165</v>
      </c>
      <c r="J130" s="34">
        <v>108.1591</v>
      </c>
      <c r="K130" s="34">
        <v>133.14150000000001</v>
      </c>
      <c r="L130" s="34">
        <v>138.7841</v>
      </c>
      <c r="M130" s="34">
        <v>152.459937</v>
      </c>
      <c r="N130" s="34">
        <v>120.78061</v>
      </c>
      <c r="O130" s="34">
        <v>110.84317</v>
      </c>
      <c r="P130" s="35">
        <v>1097.445277</v>
      </c>
    </row>
    <row r="131" spans="1:16">
      <c r="A131" s="318"/>
      <c r="B131" s="319"/>
      <c r="C131" s="36" t="s">
        <v>91</v>
      </c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8"/>
    </row>
    <row r="132" spans="1:16">
      <c r="A132" s="318"/>
      <c r="B132" s="317" t="s">
        <v>92</v>
      </c>
      <c r="C132" s="51" t="s">
        <v>81</v>
      </c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53"/>
    </row>
    <row r="133" spans="1:16">
      <c r="A133" s="318"/>
      <c r="B133" s="318"/>
      <c r="C133" s="33" t="s">
        <v>84</v>
      </c>
      <c r="D133" s="34">
        <v>132.80656400000004</v>
      </c>
      <c r="E133" s="34">
        <v>85.254830000000084</v>
      </c>
      <c r="F133" s="34">
        <v>134.30105000000003</v>
      </c>
      <c r="G133" s="34">
        <v>127.50972999999999</v>
      </c>
      <c r="H133" s="34">
        <v>99.263419999999996</v>
      </c>
      <c r="I133" s="34">
        <v>278.44369</v>
      </c>
      <c r="J133" s="34">
        <v>273.76387</v>
      </c>
      <c r="K133" s="34">
        <v>332.59273999999999</v>
      </c>
      <c r="L133" s="34">
        <v>324.33552999999995</v>
      </c>
      <c r="M133" s="34">
        <v>398.64892900000001</v>
      </c>
      <c r="N133" s="34">
        <v>313.45666999999997</v>
      </c>
      <c r="O133" s="34">
        <v>292.86167999999998</v>
      </c>
      <c r="P133" s="35">
        <v>2793.238703</v>
      </c>
    </row>
    <row r="134" spans="1:16">
      <c r="A134" s="318"/>
      <c r="B134" s="318"/>
      <c r="C134" s="33" t="s">
        <v>88</v>
      </c>
      <c r="D134" s="34">
        <v>131.84118599999999</v>
      </c>
      <c r="E134" s="34">
        <v>84.700900000000004</v>
      </c>
      <c r="F134" s="34">
        <v>133.34140000000002</v>
      </c>
      <c r="G134" s="34">
        <v>126.5061</v>
      </c>
      <c r="H134" s="34">
        <v>98.632999999999996</v>
      </c>
      <c r="I134" s="34">
        <v>276.58479999999997</v>
      </c>
      <c r="J134" s="34">
        <v>271.98618499999998</v>
      </c>
      <c r="K134" s="34">
        <v>330.38080000000002</v>
      </c>
      <c r="L134" s="34">
        <v>322.21190000000001</v>
      </c>
      <c r="M134" s="34">
        <v>396.164939</v>
      </c>
      <c r="N134" s="34">
        <v>311.69551000000001</v>
      </c>
      <c r="O134" s="34">
        <v>291.20366999999999</v>
      </c>
      <c r="P134" s="35">
        <v>2775.2503899999997</v>
      </c>
    </row>
    <row r="135" spans="1:16">
      <c r="A135" s="319"/>
      <c r="B135" s="319"/>
      <c r="C135" s="36" t="s">
        <v>91</v>
      </c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8"/>
    </row>
    <row r="136" spans="1:16">
      <c r="A136" s="326" t="s">
        <v>106</v>
      </c>
      <c r="B136" s="326" t="s">
        <v>80</v>
      </c>
      <c r="C136" s="41" t="s">
        <v>81</v>
      </c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43"/>
    </row>
    <row r="137" spans="1:16">
      <c r="A137" s="326"/>
      <c r="B137" s="326"/>
      <c r="C137" s="41" t="s">
        <v>84</v>
      </c>
      <c r="D137" s="63">
        <v>17.593199999999996</v>
      </c>
      <c r="E137" s="63">
        <v>24.945170000000036</v>
      </c>
      <c r="F137" s="63">
        <v>30.776419999999984</v>
      </c>
      <c r="G137" s="63">
        <v>18.331620000000012</v>
      </c>
      <c r="H137" s="63">
        <v>32.240810000000003</v>
      </c>
      <c r="I137" s="63">
        <v>18.239860000000004</v>
      </c>
      <c r="J137" s="63">
        <v>23.386310000000002</v>
      </c>
      <c r="K137" s="63">
        <v>24.5884</v>
      </c>
      <c r="L137" s="63">
        <v>20.333479999999973</v>
      </c>
      <c r="M137" s="63">
        <v>61.827579999999998</v>
      </c>
      <c r="N137" s="63">
        <v>45.540440000000011</v>
      </c>
      <c r="O137" s="63">
        <v>26.213860000000061</v>
      </c>
      <c r="P137" s="43">
        <v>344.01715000000007</v>
      </c>
    </row>
    <row r="138" spans="1:16">
      <c r="A138" s="326"/>
      <c r="B138" s="326"/>
      <c r="C138" s="41" t="s">
        <v>88</v>
      </c>
      <c r="D138" s="63">
        <v>17.473999999999993</v>
      </c>
      <c r="E138" s="63">
        <v>24.776800000000001</v>
      </c>
      <c r="F138" s="63">
        <v>30.569300000000023</v>
      </c>
      <c r="G138" s="63">
        <v>18.212699999999995</v>
      </c>
      <c r="H138" s="63">
        <v>32.038200000000003</v>
      </c>
      <c r="I138" s="63">
        <v>18.128900000000041</v>
      </c>
      <c r="J138" s="63">
        <v>23.242599999999978</v>
      </c>
      <c r="K138" s="63">
        <v>24.440840000000001</v>
      </c>
      <c r="L138" s="63">
        <v>20.204660000000011</v>
      </c>
      <c r="M138" s="63">
        <v>61.424200000000006</v>
      </c>
      <c r="N138" s="63">
        <v>45.243999999999971</v>
      </c>
      <c r="O138" s="63">
        <v>26.041100000000021</v>
      </c>
      <c r="P138" s="43">
        <v>341.79730000000006</v>
      </c>
    </row>
    <row r="139" spans="1:16">
      <c r="A139" s="326"/>
      <c r="B139" s="327"/>
      <c r="C139" s="64" t="s">
        <v>91</v>
      </c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6"/>
    </row>
    <row r="140" spans="1:16">
      <c r="A140" s="326"/>
      <c r="B140" s="328" t="s">
        <v>86</v>
      </c>
      <c r="C140" s="60" t="s">
        <v>81</v>
      </c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2">
        <v>0</v>
      </c>
    </row>
    <row r="141" spans="1:16">
      <c r="A141" s="326"/>
      <c r="B141" s="326"/>
      <c r="C141" s="41" t="s">
        <v>84</v>
      </c>
      <c r="D141" s="42">
        <v>72.359699999999918</v>
      </c>
      <c r="E141" s="42">
        <v>54.996000000000002</v>
      </c>
      <c r="F141" s="42">
        <v>64.928100000000001</v>
      </c>
      <c r="G141" s="42">
        <v>85.383000000000095</v>
      </c>
      <c r="H141" s="42">
        <v>107.47929999999999</v>
      </c>
      <c r="I141" s="42">
        <v>71.381799999999842</v>
      </c>
      <c r="J141" s="42">
        <v>90.200800000000001</v>
      </c>
      <c r="K141" s="42">
        <v>89.815389999999994</v>
      </c>
      <c r="L141" s="42">
        <v>129.15731</v>
      </c>
      <c r="M141" s="42">
        <v>197.96340000000001</v>
      </c>
      <c r="N141" s="42">
        <v>126.4997</v>
      </c>
      <c r="O141" s="42">
        <v>60.75250000000004</v>
      </c>
      <c r="P141" s="43">
        <v>1150.9169999999999</v>
      </c>
    </row>
    <row r="142" spans="1:16">
      <c r="A142" s="326"/>
      <c r="B142" s="326"/>
      <c r="C142" s="41" t="s">
        <v>88</v>
      </c>
      <c r="D142" s="42">
        <v>72.043399999999991</v>
      </c>
      <c r="E142" s="42">
        <v>54.739400000000003</v>
      </c>
      <c r="F142" s="42">
        <v>64.938699999999997</v>
      </c>
      <c r="G142" s="42">
        <v>84.995800000000031</v>
      </c>
      <c r="H142" s="42">
        <v>107.0634</v>
      </c>
      <c r="I142" s="42">
        <v>71.158904000000035</v>
      </c>
      <c r="J142" s="42">
        <v>89.959499999999977</v>
      </c>
      <c r="K142" s="42">
        <v>89.424899999999994</v>
      </c>
      <c r="L142" s="42">
        <v>128.78599999999992</v>
      </c>
      <c r="M142" s="42">
        <v>197.57420000000002</v>
      </c>
      <c r="N142" s="42">
        <v>126.32199999999993</v>
      </c>
      <c r="O142" s="42">
        <v>60.601500000000044</v>
      </c>
      <c r="P142" s="43">
        <v>1147.6077039999998</v>
      </c>
    </row>
    <row r="143" spans="1:16">
      <c r="A143" s="326"/>
      <c r="B143" s="327"/>
      <c r="C143" s="64" t="s">
        <v>91</v>
      </c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6"/>
    </row>
    <row r="144" spans="1:16">
      <c r="A144" s="326"/>
      <c r="B144" s="328" t="s">
        <v>87</v>
      </c>
      <c r="C144" s="60" t="s">
        <v>81</v>
      </c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2"/>
    </row>
    <row r="145" spans="1:16">
      <c r="A145" s="326"/>
      <c r="B145" s="326"/>
      <c r="C145" s="41" t="s">
        <v>84</v>
      </c>
      <c r="D145" s="42">
        <v>59.674320000000016</v>
      </c>
      <c r="E145" s="42">
        <v>45.210730000000012</v>
      </c>
      <c r="F145" s="42">
        <v>53.45089999999994</v>
      </c>
      <c r="G145" s="42">
        <v>68.856030000000075</v>
      </c>
      <c r="H145" s="42">
        <v>89.703590000000005</v>
      </c>
      <c r="I145" s="42">
        <v>59.162539999999971</v>
      </c>
      <c r="J145" s="42">
        <v>85.503100000000003</v>
      </c>
      <c r="K145" s="42">
        <v>70.413399999999996</v>
      </c>
      <c r="L145" s="42">
        <v>128.244</v>
      </c>
      <c r="M145" s="42">
        <v>162.03149999999999</v>
      </c>
      <c r="N145" s="42">
        <v>98.273500000000027</v>
      </c>
      <c r="O145" s="42">
        <v>51.891899999999985</v>
      </c>
      <c r="P145" s="43">
        <v>972.41551000000015</v>
      </c>
    </row>
    <row r="146" spans="1:16">
      <c r="A146" s="326"/>
      <c r="B146" s="326"/>
      <c r="C146" s="41" t="s">
        <v>88</v>
      </c>
      <c r="D146" s="42">
        <v>59.165199999999921</v>
      </c>
      <c r="E146" s="42">
        <v>44.819699999999997</v>
      </c>
      <c r="F146" s="42">
        <v>52.98449999999994</v>
      </c>
      <c r="G146" s="42">
        <v>68.140199999999965</v>
      </c>
      <c r="H146" s="42">
        <v>88.922799999999995</v>
      </c>
      <c r="I146" s="42">
        <v>58.664258000000117</v>
      </c>
      <c r="J146" s="42">
        <v>84.706399999999874</v>
      </c>
      <c r="K146" s="42">
        <v>69.750749999999996</v>
      </c>
      <c r="L146" s="42">
        <v>127.06356999999998</v>
      </c>
      <c r="M146" s="42">
        <v>160.52947999999992</v>
      </c>
      <c r="N146" s="42">
        <v>97.355500000000035</v>
      </c>
      <c r="O146" s="42">
        <v>51.378700000000016</v>
      </c>
      <c r="P146" s="43">
        <v>963.48105799999973</v>
      </c>
    </row>
    <row r="147" spans="1:16">
      <c r="A147" s="326"/>
      <c r="B147" s="327"/>
      <c r="C147" s="64" t="s">
        <v>91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6"/>
    </row>
    <row r="148" spans="1:16">
      <c r="A148" s="326"/>
      <c r="B148" s="328" t="s">
        <v>92</v>
      </c>
      <c r="C148" s="60" t="s">
        <v>81</v>
      </c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2"/>
    </row>
    <row r="149" spans="1:16">
      <c r="A149" s="326"/>
      <c r="B149" s="326"/>
      <c r="C149" s="41" t="s">
        <v>84</v>
      </c>
      <c r="D149" s="42">
        <v>149.62721999999994</v>
      </c>
      <c r="E149" s="42">
        <v>125.15190000000005</v>
      </c>
      <c r="F149" s="42">
        <v>149.15541999999994</v>
      </c>
      <c r="G149" s="42">
        <v>172.57065000000017</v>
      </c>
      <c r="H149" s="42">
        <v>229.4237</v>
      </c>
      <c r="I149" s="42">
        <v>148.78419999999983</v>
      </c>
      <c r="J149" s="42">
        <v>199.09021000000001</v>
      </c>
      <c r="K149" s="42">
        <v>184.81718999999998</v>
      </c>
      <c r="L149" s="42">
        <v>277.73478999999998</v>
      </c>
      <c r="M149" s="42">
        <v>421.82247999999998</v>
      </c>
      <c r="N149" s="42">
        <v>270.31364000000002</v>
      </c>
      <c r="O149" s="42">
        <v>138.85826000000009</v>
      </c>
      <c r="P149" s="43">
        <v>2467.3496599999999</v>
      </c>
    </row>
    <row r="150" spans="1:16">
      <c r="A150" s="326"/>
      <c r="B150" s="326"/>
      <c r="C150" s="41" t="s">
        <v>88</v>
      </c>
      <c r="D150" s="42">
        <v>148.68259999999989</v>
      </c>
      <c r="E150" s="42">
        <v>124.3359</v>
      </c>
      <c r="F150" s="42">
        <v>148.49249999999995</v>
      </c>
      <c r="G150" s="42">
        <v>171.34870000000001</v>
      </c>
      <c r="H150" s="42">
        <v>228.02440000000001</v>
      </c>
      <c r="I150" s="42">
        <v>147.95206200000018</v>
      </c>
      <c r="J150" s="42">
        <v>197.90849999999983</v>
      </c>
      <c r="K150" s="42">
        <v>183.61649</v>
      </c>
      <c r="L150" s="42">
        <v>276.0542299999999</v>
      </c>
      <c r="M150" s="42">
        <v>419.52787999999993</v>
      </c>
      <c r="N150" s="42">
        <v>268.92149999999992</v>
      </c>
      <c r="O150" s="42">
        <v>138.02130000000008</v>
      </c>
      <c r="P150" s="43">
        <v>2452.8860619999996</v>
      </c>
    </row>
    <row r="151" spans="1:16">
      <c r="A151" s="326"/>
      <c r="B151" s="327"/>
      <c r="C151" s="64" t="s">
        <v>91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6"/>
    </row>
    <row r="152" spans="1:16">
      <c r="A152" s="317" t="s">
        <v>107</v>
      </c>
      <c r="B152" s="318" t="s">
        <v>80</v>
      </c>
      <c r="C152" s="33" t="s">
        <v>81</v>
      </c>
      <c r="D152" s="54">
        <v>8.14</v>
      </c>
      <c r="E152" s="54">
        <v>6.5140000000000002</v>
      </c>
      <c r="F152" s="54">
        <v>5.6580000000000004</v>
      </c>
      <c r="G152" s="54">
        <v>11.487</v>
      </c>
      <c r="H152" s="54">
        <v>16.059999999999999</v>
      </c>
      <c r="I152" s="54">
        <v>11.186999999999999</v>
      </c>
      <c r="J152" s="54">
        <v>32.593000000000004</v>
      </c>
      <c r="K152" s="54">
        <v>47.814999999999998</v>
      </c>
      <c r="L152" s="54">
        <v>30.756</v>
      </c>
      <c r="M152" s="54">
        <v>28.954999999999998</v>
      </c>
      <c r="N152" s="54">
        <v>28.439</v>
      </c>
      <c r="O152" s="54">
        <v>17.661999999999999</v>
      </c>
      <c r="P152" s="35">
        <v>245.26600000000002</v>
      </c>
    </row>
    <row r="153" spans="1:16">
      <c r="A153" s="318"/>
      <c r="B153" s="318"/>
      <c r="C153" s="33" t="s">
        <v>84</v>
      </c>
      <c r="D153" s="54">
        <v>14.871199999999954</v>
      </c>
      <c r="E153" s="54">
        <v>12.562000000000058</v>
      </c>
      <c r="F153" s="54">
        <v>19.831499999999998</v>
      </c>
      <c r="G153" s="54">
        <v>15.300799999999988</v>
      </c>
      <c r="H153" s="54">
        <v>14.842599999999917</v>
      </c>
      <c r="I153" s="54">
        <v>25.203587000000027</v>
      </c>
      <c r="J153" s="54">
        <v>28.08679999999999</v>
      </c>
      <c r="K153" s="54">
        <v>28.797600000000035</v>
      </c>
      <c r="L153" s="54">
        <v>27.668199999999956</v>
      </c>
      <c r="M153" s="54">
        <v>52.665999999999997</v>
      </c>
      <c r="N153" s="54">
        <v>29.38620000000007</v>
      </c>
      <c r="O153" s="54">
        <v>23.657800000000044</v>
      </c>
      <c r="P153" s="35">
        <v>292.87428700000009</v>
      </c>
    </row>
    <row r="154" spans="1:16">
      <c r="A154" s="318"/>
      <c r="B154" s="318"/>
      <c r="C154" s="33" t="s">
        <v>88</v>
      </c>
      <c r="D154" s="54">
        <v>14.772699999999956</v>
      </c>
      <c r="E154" s="54">
        <v>12.47620000000007</v>
      </c>
      <c r="F154" s="54">
        <v>19.697500000000002</v>
      </c>
      <c r="G154" s="54">
        <v>15.203200000000001</v>
      </c>
      <c r="H154" s="54">
        <v>14.740600000000001</v>
      </c>
      <c r="I154" s="54">
        <v>25.051707</v>
      </c>
      <c r="J154" s="54">
        <v>27.924299999999999</v>
      </c>
      <c r="K154" s="54">
        <v>28.622599999999998</v>
      </c>
      <c r="L154" s="54">
        <v>27.499499999999969</v>
      </c>
      <c r="M154" s="54">
        <v>52.341900000000088</v>
      </c>
      <c r="N154" s="54">
        <v>29.206499999999959</v>
      </c>
      <c r="O154" s="54">
        <v>23.511700000000001</v>
      </c>
      <c r="P154" s="35">
        <v>291.04840700000005</v>
      </c>
    </row>
    <row r="155" spans="1:16">
      <c r="A155" s="318"/>
      <c r="B155" s="319"/>
      <c r="C155" s="36" t="s">
        <v>91</v>
      </c>
      <c r="D155" s="69">
        <v>11.882</v>
      </c>
      <c r="E155" s="69">
        <v>5.83</v>
      </c>
      <c r="F155" s="69">
        <v>5.0599999999999996</v>
      </c>
      <c r="G155" s="69">
        <v>9.14</v>
      </c>
      <c r="H155" s="69">
        <v>12.77</v>
      </c>
      <c r="I155" s="69">
        <v>16.53</v>
      </c>
      <c r="J155" s="69">
        <v>18.950001</v>
      </c>
      <c r="K155" s="69">
        <v>29.030022000000002</v>
      </c>
      <c r="L155" s="69">
        <v>26.669989000000001</v>
      </c>
      <c r="M155" s="69">
        <v>25.11</v>
      </c>
      <c r="N155" s="69">
        <v>24.659980000000001</v>
      </c>
      <c r="O155" s="69">
        <v>15.319998</v>
      </c>
      <c r="P155" s="38">
        <v>200.95199</v>
      </c>
    </row>
    <row r="156" spans="1:16">
      <c r="A156" s="318"/>
      <c r="B156" s="317" t="s">
        <v>86</v>
      </c>
      <c r="C156" s="51" t="s">
        <v>81</v>
      </c>
      <c r="D156" s="70">
        <v>46.076000000000001</v>
      </c>
      <c r="E156" s="70">
        <v>32.005000000000003</v>
      </c>
      <c r="F156" s="70">
        <v>26.215</v>
      </c>
      <c r="G156" s="70">
        <v>40.045000000000002</v>
      </c>
      <c r="H156" s="70">
        <v>58.308999999999997</v>
      </c>
      <c r="I156" s="70">
        <v>61.497</v>
      </c>
      <c r="J156" s="70">
        <v>129.69300000000001</v>
      </c>
      <c r="K156" s="70">
        <v>165.00399999999999</v>
      </c>
      <c r="L156" s="70">
        <v>146.99799999999999</v>
      </c>
      <c r="M156" s="70">
        <v>157.732</v>
      </c>
      <c r="N156" s="70">
        <v>132.42099999999999</v>
      </c>
      <c r="O156" s="70">
        <v>88.105000000000004</v>
      </c>
      <c r="P156" s="53">
        <v>1084.1000000000001</v>
      </c>
    </row>
    <row r="157" spans="1:16">
      <c r="A157" s="318"/>
      <c r="B157" s="318"/>
      <c r="C157" s="33" t="s">
        <v>84</v>
      </c>
      <c r="D157" s="34">
        <v>40.030200000000015</v>
      </c>
      <c r="E157" s="34">
        <v>19.726500000000001</v>
      </c>
      <c r="F157" s="34">
        <v>37.599799999999988</v>
      </c>
      <c r="G157" s="34">
        <v>30.851000000000059</v>
      </c>
      <c r="H157" s="34">
        <v>48.609899999999961</v>
      </c>
      <c r="I157" s="34">
        <v>101.43201999999999</v>
      </c>
      <c r="J157" s="34">
        <v>131.56860000000009</v>
      </c>
      <c r="K157" s="34">
        <v>123.13280000000005</v>
      </c>
      <c r="L157" s="34">
        <v>101.00589999999991</v>
      </c>
      <c r="M157" s="34">
        <v>171.20660000000009</v>
      </c>
      <c r="N157" s="34">
        <v>137.92039999999992</v>
      </c>
      <c r="O157" s="34">
        <v>92.884300000000039</v>
      </c>
      <c r="P157" s="35">
        <v>1035.96802</v>
      </c>
    </row>
    <row r="158" spans="1:16">
      <c r="A158" s="318"/>
      <c r="B158" s="318"/>
      <c r="C158" s="33" t="s">
        <v>88</v>
      </c>
      <c r="D158" s="34">
        <v>40.018500000000103</v>
      </c>
      <c r="E158" s="34">
        <v>19.641799999999943</v>
      </c>
      <c r="F158" s="34">
        <v>37.428199999999997</v>
      </c>
      <c r="G158" s="34">
        <v>30.665500000000002</v>
      </c>
      <c r="H158" s="34">
        <v>48.347299999999997</v>
      </c>
      <c r="I158" s="34">
        <v>101.083893</v>
      </c>
      <c r="J158" s="34">
        <v>131.23070000000001</v>
      </c>
      <c r="K158" s="34">
        <v>122.792</v>
      </c>
      <c r="L158" s="34">
        <v>100.65239999999997</v>
      </c>
      <c r="M158" s="34">
        <v>170.77800000000005</v>
      </c>
      <c r="N158" s="34">
        <v>137.57799999999995</v>
      </c>
      <c r="O158" s="34">
        <v>92.648799999999994</v>
      </c>
      <c r="P158" s="35">
        <v>1032.8650929999999</v>
      </c>
    </row>
    <row r="159" spans="1:16">
      <c r="A159" s="318"/>
      <c r="B159" s="319"/>
      <c r="C159" s="36" t="s">
        <v>91</v>
      </c>
      <c r="D159" s="37">
        <v>49.381</v>
      </c>
      <c r="E159" s="37">
        <v>28.57</v>
      </c>
      <c r="F159" s="37">
        <v>23.4</v>
      </c>
      <c r="G159" s="37">
        <v>31.78</v>
      </c>
      <c r="H159" s="37">
        <v>46.28</v>
      </c>
      <c r="I159" s="37">
        <v>47.19</v>
      </c>
      <c r="J159" s="37">
        <v>75.969836999999998</v>
      </c>
      <c r="K159" s="37">
        <v>97.409755000000004</v>
      </c>
      <c r="L159" s="37">
        <v>107.46999099999999</v>
      </c>
      <c r="M159" s="37">
        <v>115.319993</v>
      </c>
      <c r="N159" s="37">
        <v>96.809993000000006</v>
      </c>
      <c r="O159" s="37">
        <v>64.410000999999994</v>
      </c>
      <c r="P159" s="38">
        <v>783.99056999999993</v>
      </c>
    </row>
    <row r="160" spans="1:16">
      <c r="A160" s="318"/>
      <c r="B160" s="317" t="s">
        <v>87</v>
      </c>
      <c r="C160" s="51" t="s">
        <v>81</v>
      </c>
      <c r="D160" s="70">
        <v>40.72</v>
      </c>
      <c r="E160" s="70">
        <v>30.789000000000001</v>
      </c>
      <c r="F160" s="70">
        <v>26.693000000000001</v>
      </c>
      <c r="G160" s="70">
        <v>40.195</v>
      </c>
      <c r="H160" s="70">
        <v>56.613999999999997</v>
      </c>
      <c r="I160" s="70">
        <v>57.597999999999999</v>
      </c>
      <c r="J160" s="70">
        <v>103.38200000000001</v>
      </c>
      <c r="K160" s="70">
        <v>124.735</v>
      </c>
      <c r="L160" s="70">
        <v>130.86699999999999</v>
      </c>
      <c r="M160" s="70">
        <v>143.178</v>
      </c>
      <c r="N160" s="70">
        <v>115.303</v>
      </c>
      <c r="O160" s="70">
        <v>74.78</v>
      </c>
      <c r="P160" s="53">
        <v>944.85399999999993</v>
      </c>
    </row>
    <row r="161" spans="1:16">
      <c r="A161" s="318"/>
      <c r="B161" s="318"/>
      <c r="C161" s="33" t="s">
        <v>84</v>
      </c>
      <c r="D161" s="34">
        <v>29.3931</v>
      </c>
      <c r="E161" s="34">
        <v>19.736499999999999</v>
      </c>
      <c r="F161" s="34">
        <v>34.728999999999999</v>
      </c>
      <c r="G161" s="34">
        <v>29.226700000000012</v>
      </c>
      <c r="H161" s="34">
        <v>42.762400000000021</v>
      </c>
      <c r="I161" s="34">
        <v>95.330377999999982</v>
      </c>
      <c r="J161" s="34">
        <v>117.224</v>
      </c>
      <c r="K161" s="34">
        <v>109.45139999999996</v>
      </c>
      <c r="L161" s="34">
        <v>92.450600000000094</v>
      </c>
      <c r="M161" s="34">
        <v>144.62429999999995</v>
      </c>
      <c r="N161" s="34">
        <v>108.65509999999998</v>
      </c>
      <c r="O161" s="34">
        <v>73.272799999999918</v>
      </c>
      <c r="P161" s="35">
        <v>896.85627799999997</v>
      </c>
    </row>
    <row r="162" spans="1:16">
      <c r="A162" s="318"/>
      <c r="B162" s="318"/>
      <c r="C162" s="33" t="s">
        <v>88</v>
      </c>
      <c r="D162" s="34">
        <v>29.141300000000015</v>
      </c>
      <c r="E162" s="34">
        <v>19.5425</v>
      </c>
      <c r="F162" s="34">
        <v>34.411999999999999</v>
      </c>
      <c r="G162" s="34">
        <v>28.957100000000001</v>
      </c>
      <c r="H162" s="34">
        <v>42.365000000000002</v>
      </c>
      <c r="I162" s="34">
        <v>94.480085000000003</v>
      </c>
      <c r="J162" s="34">
        <v>116.1815</v>
      </c>
      <c r="K162" s="34">
        <v>108.4748</v>
      </c>
      <c r="L162" s="34">
        <v>91.665999999999855</v>
      </c>
      <c r="M162" s="34">
        <v>143.34790000000007</v>
      </c>
      <c r="N162" s="34">
        <v>107.6894999999999</v>
      </c>
      <c r="O162" s="34">
        <v>72.640900000000002</v>
      </c>
      <c r="P162" s="35">
        <v>888.8985849999998</v>
      </c>
    </row>
    <row r="163" spans="1:16">
      <c r="A163" s="318"/>
      <c r="B163" s="319"/>
      <c r="C163" s="36" t="s">
        <v>91</v>
      </c>
      <c r="D163" s="37">
        <v>40.435000000000002</v>
      </c>
      <c r="E163" s="37">
        <v>27.46</v>
      </c>
      <c r="F163" s="37">
        <v>23.81</v>
      </c>
      <c r="G163" s="37">
        <v>31.87</v>
      </c>
      <c r="H163" s="37">
        <v>44.88</v>
      </c>
      <c r="I163" s="37">
        <v>43.28</v>
      </c>
      <c r="J163" s="37">
        <v>64.58999</v>
      </c>
      <c r="K163" s="37">
        <v>76.86</v>
      </c>
      <c r="L163" s="37">
        <v>95.499997000000008</v>
      </c>
      <c r="M163" s="37">
        <v>104.489996</v>
      </c>
      <c r="N163" s="37">
        <v>84.139990000000012</v>
      </c>
      <c r="O163" s="37">
        <v>54.569995000000006</v>
      </c>
      <c r="P163" s="38">
        <v>691.88496800000007</v>
      </c>
    </row>
    <row r="164" spans="1:16">
      <c r="A164" s="318"/>
      <c r="B164" s="317" t="s">
        <v>92</v>
      </c>
      <c r="C164" s="51" t="s">
        <v>81</v>
      </c>
      <c r="D164" s="70">
        <v>94.936000000000007</v>
      </c>
      <c r="E164" s="70">
        <v>69.308000000000007</v>
      </c>
      <c r="F164" s="70">
        <v>58.566000000000003</v>
      </c>
      <c r="G164" s="70">
        <v>91.727000000000004</v>
      </c>
      <c r="H164" s="70">
        <v>130.983</v>
      </c>
      <c r="I164" s="70">
        <v>130.28199999999998</v>
      </c>
      <c r="J164" s="70">
        <v>265.66800000000001</v>
      </c>
      <c r="K164" s="70">
        <v>337.55399999999997</v>
      </c>
      <c r="L164" s="70">
        <v>308.62099999999998</v>
      </c>
      <c r="M164" s="70">
        <v>329.86500000000001</v>
      </c>
      <c r="N164" s="70">
        <v>276.16300000000001</v>
      </c>
      <c r="O164" s="70">
        <v>180.547</v>
      </c>
      <c r="P164" s="53">
        <v>2274.2199999999998</v>
      </c>
    </row>
    <row r="165" spans="1:16">
      <c r="A165" s="318"/>
      <c r="B165" s="318"/>
      <c r="C165" s="33" t="s">
        <v>84</v>
      </c>
      <c r="D165" s="34">
        <v>84.294499999999971</v>
      </c>
      <c r="E165" s="34">
        <v>52.025000000000055</v>
      </c>
      <c r="F165" s="34">
        <v>92.160299999999978</v>
      </c>
      <c r="G165" s="34">
        <v>75.378500000000059</v>
      </c>
      <c r="H165" s="34">
        <v>106.2148999999999</v>
      </c>
      <c r="I165" s="34">
        <v>221.96598499999999</v>
      </c>
      <c r="J165" s="34">
        <v>276.87940000000009</v>
      </c>
      <c r="K165" s="34">
        <v>261.38180000000006</v>
      </c>
      <c r="L165" s="34">
        <v>221.12469999999996</v>
      </c>
      <c r="M165" s="34">
        <v>368.49690000000004</v>
      </c>
      <c r="N165" s="34">
        <v>275.96169999999995</v>
      </c>
      <c r="O165" s="34">
        <v>189.81490000000002</v>
      </c>
      <c r="P165" s="35">
        <v>2225.6985850000001</v>
      </c>
    </row>
    <row r="166" spans="1:16">
      <c r="A166" s="318"/>
      <c r="B166" s="318"/>
      <c r="C166" s="33" t="s">
        <v>88</v>
      </c>
      <c r="D166" s="34">
        <v>83.932500000000076</v>
      </c>
      <c r="E166" s="34">
        <v>51.660500000000013</v>
      </c>
      <c r="F166" s="34">
        <v>91.537700000000001</v>
      </c>
      <c r="G166" s="34">
        <v>74.825800000000001</v>
      </c>
      <c r="H166" s="34">
        <v>105.4529</v>
      </c>
      <c r="I166" s="34">
        <v>220.61568500000001</v>
      </c>
      <c r="J166" s="34">
        <v>275.3365</v>
      </c>
      <c r="K166" s="34">
        <v>259.88940000000002</v>
      </c>
      <c r="L166" s="34">
        <v>219.81789999999981</v>
      </c>
      <c r="M166" s="34">
        <v>366.46780000000024</v>
      </c>
      <c r="N166" s="34">
        <v>274.47399999999982</v>
      </c>
      <c r="O166" s="34">
        <v>188.8014</v>
      </c>
      <c r="P166" s="35">
        <v>2212.8120849999996</v>
      </c>
    </row>
    <row r="167" spans="1:16">
      <c r="A167" s="319"/>
      <c r="B167" s="319"/>
      <c r="C167" s="36" t="s">
        <v>91</v>
      </c>
      <c r="D167" s="37">
        <v>101.69800000000001</v>
      </c>
      <c r="E167" s="37">
        <v>61.86</v>
      </c>
      <c r="F167" s="37">
        <v>52.269999999999996</v>
      </c>
      <c r="G167" s="37">
        <v>72.790000000000006</v>
      </c>
      <c r="H167" s="37">
        <v>103.93</v>
      </c>
      <c r="I167" s="37">
        <v>107</v>
      </c>
      <c r="J167" s="37">
        <v>159.509828</v>
      </c>
      <c r="K167" s="37">
        <v>203.29977700000001</v>
      </c>
      <c r="L167" s="37">
        <v>229.63997699999999</v>
      </c>
      <c r="M167" s="37">
        <v>244.91998899999999</v>
      </c>
      <c r="N167" s="37">
        <v>205.60996300000002</v>
      </c>
      <c r="O167" s="37">
        <v>134.299994</v>
      </c>
      <c r="P167" s="38">
        <v>1676.827528</v>
      </c>
    </row>
    <row r="168" spans="1:16">
      <c r="A168" s="326" t="s">
        <v>108</v>
      </c>
      <c r="B168" s="328" t="s">
        <v>80</v>
      </c>
      <c r="C168" s="41" t="s">
        <v>81</v>
      </c>
      <c r="D168" s="63">
        <v>16.597999999999999</v>
      </c>
      <c r="E168" s="63">
        <v>13.802</v>
      </c>
      <c r="F168" s="63">
        <v>21.459</v>
      </c>
      <c r="G168" s="63">
        <v>17.111999999999998</v>
      </c>
      <c r="H168" s="63">
        <v>22.047999999999998</v>
      </c>
      <c r="I168" s="63">
        <v>22.673999999999999</v>
      </c>
      <c r="J168" s="63">
        <v>23.626999999999999</v>
      </c>
      <c r="K168" s="63">
        <v>29.888000000000002</v>
      </c>
      <c r="L168" s="63">
        <v>30.756</v>
      </c>
      <c r="M168" s="63">
        <v>27.75</v>
      </c>
      <c r="N168" s="63">
        <v>29.645</v>
      </c>
      <c r="O168" s="63">
        <v>17.661999999999999</v>
      </c>
      <c r="P168" s="43">
        <v>273.02100000000002</v>
      </c>
    </row>
    <row r="169" spans="1:16">
      <c r="A169" s="326"/>
      <c r="B169" s="326"/>
      <c r="C169" s="41" t="s">
        <v>84</v>
      </c>
      <c r="D169" s="63">
        <v>25.792999999999999</v>
      </c>
      <c r="E169" s="63">
        <v>25.095699999999955</v>
      </c>
      <c r="F169" s="63">
        <v>29.489099999999979</v>
      </c>
      <c r="G169" s="63">
        <v>14.045010000000008</v>
      </c>
      <c r="H169" s="63">
        <v>10.383187</v>
      </c>
      <c r="I169" s="63">
        <v>19.245000000000001</v>
      </c>
      <c r="J169" s="63">
        <v>42.027600000000092</v>
      </c>
      <c r="K169" s="63">
        <v>38.610900000000022</v>
      </c>
      <c r="L169" s="63">
        <v>32.21689999999991</v>
      </c>
      <c r="M169" s="63">
        <v>50.42570000000007</v>
      </c>
      <c r="N169" s="63">
        <v>17.23429999999993</v>
      </c>
      <c r="O169" s="63">
        <v>17.038914999999978</v>
      </c>
      <c r="P169" s="43">
        <v>321.60531199999991</v>
      </c>
    </row>
    <row r="170" spans="1:16">
      <c r="A170" s="326"/>
      <c r="B170" s="326"/>
      <c r="C170" s="41" t="s">
        <v>88</v>
      </c>
      <c r="D170" s="63">
        <v>25.629100000000033</v>
      </c>
      <c r="E170" s="63">
        <v>24.9345</v>
      </c>
      <c r="F170" s="63">
        <v>29.301600000000001</v>
      </c>
      <c r="G170" s="63">
        <v>13.961499999999999</v>
      </c>
      <c r="H170" s="63">
        <v>10.314712999999999</v>
      </c>
      <c r="I170" s="63">
        <v>19.136600000000037</v>
      </c>
      <c r="J170" s="63">
        <v>41.791799999999931</v>
      </c>
      <c r="K170" s="63">
        <v>38.386499999999998</v>
      </c>
      <c r="L170" s="63">
        <v>32.026200000000074</v>
      </c>
      <c r="M170" s="63">
        <v>50.122599999999977</v>
      </c>
      <c r="N170" s="63">
        <v>17.133099999999963</v>
      </c>
      <c r="O170" s="63">
        <v>16.938172000000066</v>
      </c>
      <c r="P170" s="43">
        <v>319.6763850000001</v>
      </c>
    </row>
    <row r="171" spans="1:16">
      <c r="A171" s="326"/>
      <c r="B171" s="327"/>
      <c r="C171" s="41" t="s">
        <v>91</v>
      </c>
      <c r="D171" s="63">
        <v>15.550189</v>
      </c>
      <c r="E171" s="63">
        <v>12.93</v>
      </c>
      <c r="F171" s="63">
        <v>20.100000000000001</v>
      </c>
      <c r="G171" s="63">
        <v>16.03</v>
      </c>
      <c r="H171" s="63">
        <v>20.66</v>
      </c>
      <c r="I171" s="63">
        <v>21.239995</v>
      </c>
      <c r="J171" s="63">
        <v>22.14</v>
      </c>
      <c r="K171" s="63">
        <v>28</v>
      </c>
      <c r="L171" s="63">
        <v>28.82</v>
      </c>
      <c r="M171" s="63">
        <v>26</v>
      </c>
      <c r="N171" s="63">
        <v>27.77</v>
      </c>
      <c r="O171" s="63">
        <v>16.55</v>
      </c>
      <c r="P171" s="43">
        <v>255.79018400000004</v>
      </c>
    </row>
    <row r="172" spans="1:16">
      <c r="A172" s="326"/>
      <c r="B172" s="328" t="s">
        <v>86</v>
      </c>
      <c r="C172" s="60" t="s">
        <v>81</v>
      </c>
      <c r="D172" s="67">
        <v>76.501000000000005</v>
      </c>
      <c r="E172" s="67">
        <v>44.881</v>
      </c>
      <c r="F172" s="67">
        <v>59.040999999999997</v>
      </c>
      <c r="G172" s="67">
        <v>54.814</v>
      </c>
      <c r="H172" s="67">
        <v>80.022999999999996</v>
      </c>
      <c r="I172" s="67">
        <v>106.07599999999999</v>
      </c>
      <c r="J172" s="67">
        <v>126.869</v>
      </c>
      <c r="K172" s="67">
        <v>151.74199999999999</v>
      </c>
      <c r="L172" s="67">
        <v>177.49700000000001</v>
      </c>
      <c r="M172" s="67">
        <v>203.34299999999999</v>
      </c>
      <c r="N172" s="67">
        <v>191.48599999999999</v>
      </c>
      <c r="O172" s="67">
        <v>132.745</v>
      </c>
      <c r="P172" s="62">
        <v>1405.018</v>
      </c>
    </row>
    <row r="173" spans="1:16">
      <c r="A173" s="326"/>
      <c r="B173" s="326"/>
      <c r="C173" s="41" t="s">
        <v>84</v>
      </c>
      <c r="D173" s="42">
        <v>57.855299999999936</v>
      </c>
      <c r="E173" s="42">
        <v>47.695400000000021</v>
      </c>
      <c r="F173" s="42">
        <v>58.585300000000046</v>
      </c>
      <c r="G173" s="42">
        <v>35.451799999999935</v>
      </c>
      <c r="H173" s="42">
        <v>47.9816</v>
      </c>
      <c r="I173" s="42">
        <v>79.421700000000058</v>
      </c>
      <c r="J173" s="42">
        <v>193.58380000000005</v>
      </c>
      <c r="K173" s="42">
        <v>187.19009999999986</v>
      </c>
      <c r="L173" s="42">
        <v>151.37049999999999</v>
      </c>
      <c r="M173" s="42">
        <v>156.67130000000006</v>
      </c>
      <c r="N173" s="42">
        <v>69.214499999999759</v>
      </c>
      <c r="O173" s="42">
        <v>59.488500000000002</v>
      </c>
      <c r="P173" s="43">
        <v>1144.5097999999996</v>
      </c>
    </row>
    <row r="174" spans="1:16">
      <c r="A174" s="326"/>
      <c r="B174" s="326"/>
      <c r="C174" s="41" t="s">
        <v>88</v>
      </c>
      <c r="D174" s="42">
        <v>57.575499999999934</v>
      </c>
      <c r="E174" s="42">
        <v>47.647300000000001</v>
      </c>
      <c r="F174" s="42">
        <v>58.735799999999998</v>
      </c>
      <c r="G174" s="42">
        <v>35.229500000000002</v>
      </c>
      <c r="H174" s="42">
        <v>47.813099999999999</v>
      </c>
      <c r="I174" s="42">
        <v>79.26659999999994</v>
      </c>
      <c r="J174" s="42">
        <v>193.23080000000007</v>
      </c>
      <c r="K174" s="42">
        <v>186.79339999999991</v>
      </c>
      <c r="L174" s="42">
        <v>151.00250000000023</v>
      </c>
      <c r="M174" s="42">
        <v>156.32159999999965</v>
      </c>
      <c r="N174" s="42">
        <v>68.954199999999901</v>
      </c>
      <c r="O174" s="42">
        <v>59.319200000000016</v>
      </c>
      <c r="P174" s="43">
        <v>1141.8894999999993</v>
      </c>
    </row>
    <row r="175" spans="1:16">
      <c r="A175" s="326"/>
      <c r="B175" s="327"/>
      <c r="C175" s="64" t="s">
        <v>91</v>
      </c>
      <c r="D175" s="68">
        <v>60.711126999999998</v>
      </c>
      <c r="E175" s="68">
        <v>35.619999999999997</v>
      </c>
      <c r="F175" s="68">
        <v>46.86</v>
      </c>
      <c r="G175" s="68">
        <v>43.5</v>
      </c>
      <c r="H175" s="68">
        <v>63.51</v>
      </c>
      <c r="I175" s="68">
        <v>84.18</v>
      </c>
      <c r="J175" s="68">
        <v>100.68</v>
      </c>
      <c r="K175" s="68">
        <v>120.42</v>
      </c>
      <c r="L175" s="68">
        <v>140.86000000000001</v>
      </c>
      <c r="M175" s="68">
        <v>161.37</v>
      </c>
      <c r="N175" s="68">
        <v>151.96</v>
      </c>
      <c r="O175" s="68">
        <v>105.35</v>
      </c>
      <c r="P175" s="66">
        <v>1115.021127</v>
      </c>
    </row>
    <row r="176" spans="1:16">
      <c r="A176" s="326"/>
      <c r="B176" s="328" t="s">
        <v>87</v>
      </c>
      <c r="C176" s="60" t="s">
        <v>81</v>
      </c>
      <c r="D176" s="67">
        <v>54.13</v>
      </c>
      <c r="E176" s="67">
        <v>32.610999999999997</v>
      </c>
      <c r="F176" s="67">
        <v>40.935000000000002</v>
      </c>
      <c r="G176" s="67">
        <v>38.064999999999998</v>
      </c>
      <c r="H176" s="67">
        <v>54.845999999999997</v>
      </c>
      <c r="I176" s="67">
        <v>77.721999999999994</v>
      </c>
      <c r="J176" s="67">
        <v>88.355000000000004</v>
      </c>
      <c r="K176" s="67">
        <v>120.833</v>
      </c>
      <c r="L176" s="67">
        <v>143.874</v>
      </c>
      <c r="M176" s="67">
        <v>138.52000000000001</v>
      </c>
      <c r="N176" s="67">
        <v>131.155</v>
      </c>
      <c r="O176" s="67">
        <v>77.998000000000005</v>
      </c>
      <c r="P176" s="62">
        <v>999.04399999999998</v>
      </c>
    </row>
    <row r="177" spans="1:16">
      <c r="A177" s="326"/>
      <c r="B177" s="326"/>
      <c r="C177" s="41" t="s">
        <v>84</v>
      </c>
      <c r="D177" s="42">
        <v>42.385599999999975</v>
      </c>
      <c r="E177" s="42">
        <v>40.999900000000139</v>
      </c>
      <c r="F177" s="42">
        <v>41.354299999999931</v>
      </c>
      <c r="G177" s="42">
        <v>30.1175</v>
      </c>
      <c r="H177" s="42">
        <v>46.607299999999952</v>
      </c>
      <c r="I177" s="42">
        <v>74.887100000000089</v>
      </c>
      <c r="J177" s="42">
        <v>157.55799999999999</v>
      </c>
      <c r="K177" s="42">
        <v>156.83119999999994</v>
      </c>
      <c r="L177" s="42">
        <v>126.20710000000021</v>
      </c>
      <c r="M177" s="42">
        <v>121.09479999999982</v>
      </c>
      <c r="N177" s="42">
        <v>59.804499999999997</v>
      </c>
      <c r="O177" s="42">
        <v>38.710599999999857</v>
      </c>
      <c r="P177" s="43">
        <v>936.5578999999999</v>
      </c>
    </row>
    <row r="178" spans="1:16">
      <c r="A178" s="326"/>
      <c r="B178" s="326"/>
      <c r="C178" s="41" t="s">
        <v>88</v>
      </c>
      <c r="D178" s="42">
        <v>41.998000000000289</v>
      </c>
      <c r="E178" s="42">
        <v>40.644199999999998</v>
      </c>
      <c r="F178" s="42">
        <v>41.001800000000003</v>
      </c>
      <c r="G178" s="42">
        <v>29.77</v>
      </c>
      <c r="H178" s="42">
        <v>46.216200000000001</v>
      </c>
      <c r="I178" s="42">
        <v>74.209800000000143</v>
      </c>
      <c r="J178" s="42">
        <v>156.18730000000028</v>
      </c>
      <c r="K178" s="42">
        <v>155.4665</v>
      </c>
      <c r="L178" s="42">
        <v>125.11649999999976</v>
      </c>
      <c r="M178" s="42">
        <v>120.03960000000033</v>
      </c>
      <c r="N178" s="42">
        <v>59.297699999999956</v>
      </c>
      <c r="O178" s="42">
        <v>38.372600000000148</v>
      </c>
      <c r="P178" s="43">
        <v>928.3202000000008</v>
      </c>
    </row>
    <row r="179" spans="1:16">
      <c r="A179" s="326"/>
      <c r="B179" s="327"/>
      <c r="C179" s="64" t="s">
        <v>91</v>
      </c>
      <c r="D179" s="68">
        <v>42.914233000000003</v>
      </c>
      <c r="E179" s="68">
        <v>25.85</v>
      </c>
      <c r="F179" s="68">
        <v>32.450000000000003</v>
      </c>
      <c r="G179" s="68">
        <v>30.18</v>
      </c>
      <c r="H179" s="68">
        <v>43.48</v>
      </c>
      <c r="I179" s="68">
        <v>61.62</v>
      </c>
      <c r="J179" s="68">
        <v>70.05</v>
      </c>
      <c r="K179" s="68">
        <v>95.8</v>
      </c>
      <c r="L179" s="68">
        <v>114.06</v>
      </c>
      <c r="M179" s="68">
        <v>109.82</v>
      </c>
      <c r="N179" s="68">
        <v>103.98</v>
      </c>
      <c r="O179" s="68">
        <v>61.84</v>
      </c>
      <c r="P179" s="66">
        <v>792.04423299999996</v>
      </c>
    </row>
    <row r="180" spans="1:16">
      <c r="A180" s="326"/>
      <c r="B180" s="328" t="s">
        <v>92</v>
      </c>
      <c r="C180" s="60" t="s">
        <v>81</v>
      </c>
      <c r="D180" s="67">
        <v>147.22900000000001</v>
      </c>
      <c r="E180" s="67">
        <v>91.293999999999997</v>
      </c>
      <c r="F180" s="67">
        <v>121.435</v>
      </c>
      <c r="G180" s="67">
        <v>109.991</v>
      </c>
      <c r="H180" s="67">
        <v>156.917</v>
      </c>
      <c r="I180" s="67">
        <v>206.47199999999998</v>
      </c>
      <c r="J180" s="67">
        <v>238.851</v>
      </c>
      <c r="K180" s="67">
        <v>302.46299999999997</v>
      </c>
      <c r="L180" s="67">
        <v>352.12700000000001</v>
      </c>
      <c r="M180" s="67">
        <v>369.613</v>
      </c>
      <c r="N180" s="67">
        <v>352.286</v>
      </c>
      <c r="O180" s="67">
        <v>228.40500000000003</v>
      </c>
      <c r="P180" s="62">
        <v>2677.0830000000001</v>
      </c>
    </row>
    <row r="181" spans="1:16">
      <c r="A181" s="326"/>
      <c r="B181" s="326"/>
      <c r="C181" s="41" t="s">
        <v>84</v>
      </c>
      <c r="D181" s="42">
        <v>126.0338999999999</v>
      </c>
      <c r="E181" s="42">
        <v>113.79100000000011</v>
      </c>
      <c r="F181" s="42">
        <v>129.42869999999996</v>
      </c>
      <c r="G181" s="42">
        <v>79.614309999999932</v>
      </c>
      <c r="H181" s="42">
        <v>104.97208699999996</v>
      </c>
      <c r="I181" s="42">
        <v>173.55380000000014</v>
      </c>
      <c r="J181" s="42">
        <v>393.16940000000011</v>
      </c>
      <c r="K181" s="42">
        <v>382.63219999999978</v>
      </c>
      <c r="L181" s="42">
        <v>309.79450000000008</v>
      </c>
      <c r="M181" s="42">
        <v>328.19179999999994</v>
      </c>
      <c r="N181" s="42">
        <v>146.25329999999968</v>
      </c>
      <c r="O181" s="42">
        <v>115.23801499999983</v>
      </c>
      <c r="P181" s="43">
        <v>2402.6730119999997</v>
      </c>
    </row>
    <row r="182" spans="1:16">
      <c r="A182" s="326"/>
      <c r="B182" s="326"/>
      <c r="C182" s="41" t="s">
        <v>88</v>
      </c>
      <c r="D182" s="42">
        <v>125.20260000000026</v>
      </c>
      <c r="E182" s="42">
        <v>113.226</v>
      </c>
      <c r="F182" s="42">
        <v>129.03919999999999</v>
      </c>
      <c r="G182" s="42">
        <v>78.960999999999999</v>
      </c>
      <c r="H182" s="42">
        <v>104.34401299999999</v>
      </c>
      <c r="I182" s="42">
        <v>172.61300000000011</v>
      </c>
      <c r="J182" s="42">
        <v>391.20990000000029</v>
      </c>
      <c r="K182" s="42">
        <v>380.64639999999991</v>
      </c>
      <c r="L182" s="42">
        <v>308.14520000000005</v>
      </c>
      <c r="M182" s="42">
        <v>326.48379999999997</v>
      </c>
      <c r="N182" s="42">
        <v>145.38499999999982</v>
      </c>
      <c r="O182" s="42">
        <v>114.62997200000024</v>
      </c>
      <c r="P182" s="43">
        <v>2389.8860850000005</v>
      </c>
    </row>
    <row r="183" spans="1:16">
      <c r="A183" s="326"/>
      <c r="B183" s="327"/>
      <c r="C183" s="64" t="s">
        <v>91</v>
      </c>
      <c r="D183" s="68">
        <v>119.17554899999999</v>
      </c>
      <c r="E183" s="68">
        <v>74.400000000000006</v>
      </c>
      <c r="F183" s="68">
        <v>99.410000000000011</v>
      </c>
      <c r="G183" s="68">
        <v>89.710000000000008</v>
      </c>
      <c r="H183" s="68">
        <v>127.65</v>
      </c>
      <c r="I183" s="68">
        <v>167.039995</v>
      </c>
      <c r="J183" s="68">
        <v>192.87</v>
      </c>
      <c r="K183" s="68">
        <v>244.22000000000003</v>
      </c>
      <c r="L183" s="68">
        <v>283.74</v>
      </c>
      <c r="M183" s="68">
        <v>297.19</v>
      </c>
      <c r="N183" s="68">
        <v>283.71000000000004</v>
      </c>
      <c r="O183" s="68">
        <v>183.74</v>
      </c>
      <c r="P183" s="66">
        <v>2162.855544</v>
      </c>
    </row>
    <row r="184" spans="1:16">
      <c r="A184" s="317" t="s">
        <v>109</v>
      </c>
      <c r="B184" s="317" t="s">
        <v>80</v>
      </c>
      <c r="C184" s="51" t="s">
        <v>81</v>
      </c>
      <c r="D184" s="52">
        <v>15.029</v>
      </c>
      <c r="E184" s="52">
        <v>13.683999999999999</v>
      </c>
      <c r="F184" s="52">
        <v>17.303999999999998</v>
      </c>
      <c r="G184" s="52">
        <v>22.376000000000001</v>
      </c>
      <c r="H184" s="52">
        <v>24.093</v>
      </c>
      <c r="I184" s="52">
        <v>21.599</v>
      </c>
      <c r="J184" s="52">
        <v>26.795000000000002</v>
      </c>
      <c r="K184" s="52">
        <v>36.44</v>
      </c>
      <c r="L184" s="52">
        <v>49.945999999999998</v>
      </c>
      <c r="M184" s="52">
        <v>19.895</v>
      </c>
      <c r="N184" s="52">
        <v>26.024999999999999</v>
      </c>
      <c r="O184" s="52">
        <v>3.5219999999999998</v>
      </c>
      <c r="P184" s="53">
        <v>276.70799999999997</v>
      </c>
    </row>
    <row r="185" spans="1:16">
      <c r="A185" s="318"/>
      <c r="B185" s="318"/>
      <c r="C185" s="33" t="s">
        <v>84</v>
      </c>
      <c r="D185" s="54">
        <v>19.655700000000071</v>
      </c>
      <c r="E185" s="54">
        <v>16.195399999999907</v>
      </c>
      <c r="F185" s="54">
        <v>21.992599999999978</v>
      </c>
      <c r="G185" s="54">
        <v>19.548800000000163</v>
      </c>
      <c r="H185" s="54">
        <v>14.585599999999861</v>
      </c>
      <c r="I185" s="54">
        <v>16.866854000000092</v>
      </c>
      <c r="J185" s="54">
        <v>30.453499999999998</v>
      </c>
      <c r="K185" s="54">
        <v>23.635599999999979</v>
      </c>
      <c r="L185" s="54">
        <v>10.946999999999999</v>
      </c>
      <c r="M185" s="54">
        <v>5.6862000000000696</v>
      </c>
      <c r="N185" s="54">
        <v>6.8305999999999765</v>
      </c>
      <c r="O185" s="54">
        <v>11.53079999999993</v>
      </c>
      <c r="P185" s="35">
        <v>197.92865400000005</v>
      </c>
    </row>
    <row r="186" spans="1:16">
      <c r="A186" s="318"/>
      <c r="B186" s="318"/>
      <c r="C186" s="33" t="s">
        <v>88</v>
      </c>
      <c r="D186" s="54">
        <v>19.536700000000021</v>
      </c>
      <c r="E186" s="54">
        <v>16.09559999999993</v>
      </c>
      <c r="F186" s="54">
        <v>21.840899999999994</v>
      </c>
      <c r="G186" s="54">
        <v>19.404000000000025</v>
      </c>
      <c r="H186" s="54">
        <v>14.497499999999999</v>
      </c>
      <c r="I186" s="54">
        <v>16.76851500000004</v>
      </c>
      <c r="J186" s="54">
        <v>30.279199999999957</v>
      </c>
      <c r="K186" s="54">
        <v>23.504399999999947</v>
      </c>
      <c r="L186" s="54">
        <v>10.885900000000037</v>
      </c>
      <c r="M186" s="54">
        <v>5.6546000000000634</v>
      </c>
      <c r="N186" s="54">
        <v>6.7968000000000313</v>
      </c>
      <c r="O186" s="54">
        <v>11.466199999999938</v>
      </c>
      <c r="P186" s="35">
        <v>196.73031499999999</v>
      </c>
    </row>
    <row r="187" spans="1:16">
      <c r="A187" s="318"/>
      <c r="B187" s="319"/>
      <c r="C187" s="36" t="s">
        <v>91</v>
      </c>
      <c r="D187" s="69">
        <v>13.88</v>
      </c>
      <c r="E187" s="69">
        <v>12.63</v>
      </c>
      <c r="F187" s="69">
        <v>15.98</v>
      </c>
      <c r="G187" s="69">
        <v>20.66</v>
      </c>
      <c r="H187" s="69">
        <v>22.24</v>
      </c>
      <c r="I187" s="69">
        <v>19.940000000000001</v>
      </c>
      <c r="J187" s="69">
        <v>24.74</v>
      </c>
      <c r="K187" s="69">
        <v>33.64</v>
      </c>
      <c r="L187" s="69">
        <v>46.11</v>
      </c>
      <c r="M187" s="69">
        <v>18.37</v>
      </c>
      <c r="N187" s="69">
        <v>17.809999999999999</v>
      </c>
      <c r="O187" s="69">
        <v>9.4700000000000006</v>
      </c>
      <c r="P187" s="38">
        <v>255.47</v>
      </c>
    </row>
    <row r="188" spans="1:16">
      <c r="A188" s="318"/>
      <c r="B188" s="317" t="s">
        <v>86</v>
      </c>
      <c r="C188" s="51" t="s">
        <v>81</v>
      </c>
      <c r="D188" s="70">
        <v>71.102999999999994</v>
      </c>
      <c r="E188" s="70">
        <v>48.679000000000002</v>
      </c>
      <c r="F188" s="70">
        <v>55.808999999999997</v>
      </c>
      <c r="G188" s="70">
        <v>65.224999999999994</v>
      </c>
      <c r="H188" s="70">
        <v>74.454999999999998</v>
      </c>
      <c r="I188" s="70">
        <v>88.79</v>
      </c>
      <c r="J188" s="70">
        <v>114.996</v>
      </c>
      <c r="K188" s="70">
        <v>134.16999999999999</v>
      </c>
      <c r="L188" s="70">
        <v>178.99799999999999</v>
      </c>
      <c r="M188" s="70">
        <v>169.846</v>
      </c>
      <c r="N188" s="70">
        <v>159.28100000000001</v>
      </c>
      <c r="O188" s="70">
        <v>84.706999999999994</v>
      </c>
      <c r="P188" s="53">
        <v>1246.0589999999997</v>
      </c>
    </row>
    <row r="189" spans="1:16">
      <c r="A189" s="318"/>
      <c r="B189" s="318"/>
      <c r="C189" s="33" t="s">
        <v>84</v>
      </c>
      <c r="D189" s="34">
        <v>49.948200000000185</v>
      </c>
      <c r="E189" s="34">
        <v>28.301700000000185</v>
      </c>
      <c r="F189" s="34">
        <v>35.698799999999814</v>
      </c>
      <c r="G189" s="34">
        <v>35.858400000000138</v>
      </c>
      <c r="H189" s="34">
        <v>34.967299999999817</v>
      </c>
      <c r="I189" s="34">
        <v>56.235633</v>
      </c>
      <c r="J189" s="34">
        <v>110.37619999999995</v>
      </c>
      <c r="K189" s="34">
        <v>119.47640000000014</v>
      </c>
      <c r="L189" s="34">
        <v>95.11</v>
      </c>
      <c r="M189" s="34">
        <v>71.211299999999824</v>
      </c>
      <c r="N189" s="34">
        <v>51.643500000000003</v>
      </c>
      <c r="O189" s="34">
        <v>47.109500000000232</v>
      </c>
      <c r="P189" s="35">
        <v>735.93693300000029</v>
      </c>
    </row>
    <row r="190" spans="1:16">
      <c r="A190" s="318"/>
      <c r="B190" s="318"/>
      <c r="C190" s="33" t="s">
        <v>88</v>
      </c>
      <c r="D190" s="34">
        <v>49.864899999999906</v>
      </c>
      <c r="E190" s="34">
        <v>28.140100000000093</v>
      </c>
      <c r="F190" s="34">
        <v>35.339399999999905</v>
      </c>
      <c r="G190" s="34">
        <v>35.664800000000106</v>
      </c>
      <c r="H190" s="34">
        <v>34.816299999999934</v>
      </c>
      <c r="I190" s="34">
        <v>56.215776000000382</v>
      </c>
      <c r="J190" s="34">
        <v>110.39879999999994</v>
      </c>
      <c r="K190" s="34">
        <v>119.53649999999989</v>
      </c>
      <c r="L190" s="34">
        <v>95.198200000000199</v>
      </c>
      <c r="M190" s="34">
        <v>71.425799999999953</v>
      </c>
      <c r="N190" s="34">
        <v>51.759899999999945</v>
      </c>
      <c r="O190" s="34">
        <v>47.073500000000045</v>
      </c>
      <c r="P190" s="35">
        <v>735.43397600000026</v>
      </c>
    </row>
    <row r="191" spans="1:16">
      <c r="A191" s="318"/>
      <c r="B191" s="319"/>
      <c r="C191" s="36" t="s">
        <v>91</v>
      </c>
      <c r="D191" s="37">
        <v>60.9</v>
      </c>
      <c r="E191" s="37">
        <v>41.69</v>
      </c>
      <c r="F191" s="37">
        <v>47.8</v>
      </c>
      <c r="G191" s="37">
        <v>55.86</v>
      </c>
      <c r="H191" s="37">
        <v>63.77</v>
      </c>
      <c r="I191" s="37">
        <v>76.05</v>
      </c>
      <c r="J191" s="37">
        <v>98.49</v>
      </c>
      <c r="K191" s="37">
        <v>114.92</v>
      </c>
      <c r="L191" s="37">
        <v>153.31</v>
      </c>
      <c r="M191" s="37">
        <v>145.47</v>
      </c>
      <c r="N191" s="37">
        <v>136.41999999999999</v>
      </c>
      <c r="O191" s="37">
        <v>72.55</v>
      </c>
      <c r="P191" s="38">
        <v>1067.23</v>
      </c>
    </row>
    <row r="192" spans="1:16">
      <c r="A192" s="318"/>
      <c r="B192" s="317" t="s">
        <v>87</v>
      </c>
      <c r="C192" s="51" t="s">
        <v>81</v>
      </c>
      <c r="D192" s="70">
        <v>49.081000000000003</v>
      </c>
      <c r="E192" s="70">
        <v>34.192</v>
      </c>
      <c r="F192" s="70">
        <v>36.515000000000001</v>
      </c>
      <c r="G192" s="70">
        <v>42.374000000000002</v>
      </c>
      <c r="H192" s="70">
        <v>51.222000000000001</v>
      </c>
      <c r="I192" s="70">
        <v>68.531999999999996</v>
      </c>
      <c r="J192" s="70">
        <v>89.537000000000006</v>
      </c>
      <c r="K192" s="70">
        <v>113.792</v>
      </c>
      <c r="L192" s="70">
        <v>143.25899999999999</v>
      </c>
      <c r="M192" s="70">
        <v>127.797</v>
      </c>
      <c r="N192" s="70">
        <v>113.88500000000001</v>
      </c>
      <c r="O192" s="70">
        <v>55.268000000000001</v>
      </c>
      <c r="P192" s="53">
        <v>925.45400000000006</v>
      </c>
    </row>
    <row r="193" spans="1:16">
      <c r="A193" s="318"/>
      <c r="B193" s="318"/>
      <c r="C193" s="33" t="s">
        <v>84</v>
      </c>
      <c r="D193" s="34">
        <v>42.550300000000043</v>
      </c>
      <c r="E193" s="34">
        <v>28.215899999999905</v>
      </c>
      <c r="F193" s="34">
        <v>25.004600000000327</v>
      </c>
      <c r="G193" s="34">
        <v>36.213099999999855</v>
      </c>
      <c r="H193" s="34">
        <v>26.331800000000044</v>
      </c>
      <c r="I193" s="34">
        <v>52.941454000000142</v>
      </c>
      <c r="J193" s="34">
        <v>82.643899999999675</v>
      </c>
      <c r="K193" s="34">
        <v>94.82080000000029</v>
      </c>
      <c r="L193" s="34">
        <v>80.047099999999872</v>
      </c>
      <c r="M193" s="34">
        <v>72.551099999999863</v>
      </c>
      <c r="N193" s="34">
        <v>43.626400000000132</v>
      </c>
      <c r="O193" s="34">
        <v>32.681399999999904</v>
      </c>
      <c r="P193" s="35">
        <v>617.62785400000007</v>
      </c>
    </row>
    <row r="194" spans="1:16">
      <c r="A194" s="318"/>
      <c r="B194" s="318"/>
      <c r="C194" s="33" t="s">
        <v>88</v>
      </c>
      <c r="D194" s="34">
        <v>42.233400000000024</v>
      </c>
      <c r="E194" s="34">
        <v>27.977</v>
      </c>
      <c r="F194" s="34">
        <v>24.749599999999802</v>
      </c>
      <c r="G194" s="34">
        <v>35.854300000000045</v>
      </c>
      <c r="H194" s="34">
        <v>26.071099999999973</v>
      </c>
      <c r="I194" s="34">
        <v>52.445901000000042</v>
      </c>
      <c r="J194" s="34">
        <v>81.989300000000043</v>
      </c>
      <c r="K194" s="34">
        <v>94.07059999999997</v>
      </c>
      <c r="L194" s="34">
        <v>79.458400000000069</v>
      </c>
      <c r="M194" s="34">
        <v>72.027500000000018</v>
      </c>
      <c r="N194" s="34">
        <v>43.231599999999922</v>
      </c>
      <c r="O194" s="34">
        <v>32.381100000000139</v>
      </c>
      <c r="P194" s="35">
        <v>612.48980100000006</v>
      </c>
    </row>
    <row r="195" spans="1:16">
      <c r="A195" s="318"/>
      <c r="B195" s="319"/>
      <c r="C195" s="36" t="s">
        <v>91</v>
      </c>
      <c r="D195" s="37">
        <v>40.1</v>
      </c>
      <c r="E195" s="37">
        <v>27.94</v>
      </c>
      <c r="F195" s="37">
        <v>29.84</v>
      </c>
      <c r="G195" s="37">
        <v>34.619999999999997</v>
      </c>
      <c r="H195" s="37">
        <v>41.85</v>
      </c>
      <c r="I195" s="37">
        <v>56</v>
      </c>
      <c r="J195" s="37">
        <v>73.16</v>
      </c>
      <c r="K195" s="37">
        <v>92.98</v>
      </c>
      <c r="L195" s="37">
        <v>117.05</v>
      </c>
      <c r="M195" s="37">
        <v>104.42</v>
      </c>
      <c r="N195" s="37">
        <v>93.05</v>
      </c>
      <c r="O195" s="37">
        <v>45.16</v>
      </c>
      <c r="P195" s="38">
        <v>756.16999999999985</v>
      </c>
    </row>
    <row r="196" spans="1:16">
      <c r="A196" s="318"/>
      <c r="B196" s="317" t="s">
        <v>92</v>
      </c>
      <c r="C196" s="51" t="s">
        <v>81</v>
      </c>
      <c r="D196" s="70">
        <v>135.21299999999999</v>
      </c>
      <c r="E196" s="70">
        <v>96.555000000000007</v>
      </c>
      <c r="F196" s="70">
        <v>109.628</v>
      </c>
      <c r="G196" s="70">
        <v>129.97499999999999</v>
      </c>
      <c r="H196" s="70">
        <v>149.77000000000001</v>
      </c>
      <c r="I196" s="70">
        <v>178.92099999999999</v>
      </c>
      <c r="J196" s="70">
        <v>231.328</v>
      </c>
      <c r="K196" s="70">
        <v>284.40199999999999</v>
      </c>
      <c r="L196" s="70">
        <v>372.20299999999997</v>
      </c>
      <c r="M196" s="70">
        <v>317.53800000000001</v>
      </c>
      <c r="N196" s="70">
        <v>299.19100000000003</v>
      </c>
      <c r="O196" s="70">
        <v>143.49700000000001</v>
      </c>
      <c r="P196" s="53">
        <v>2448.221</v>
      </c>
    </row>
    <row r="197" spans="1:16">
      <c r="A197" s="318"/>
      <c r="B197" s="318"/>
      <c r="C197" s="33" t="s">
        <v>84</v>
      </c>
      <c r="D197" s="34">
        <v>112.15420000000029</v>
      </c>
      <c r="E197" s="34">
        <v>72.712999999999994</v>
      </c>
      <c r="F197" s="34">
        <v>82.696000000000112</v>
      </c>
      <c r="G197" s="34">
        <v>91.620300000000157</v>
      </c>
      <c r="H197" s="34">
        <v>75.884699999999725</v>
      </c>
      <c r="I197" s="34">
        <v>126.04394100000025</v>
      </c>
      <c r="J197" s="34">
        <v>223.47359999999964</v>
      </c>
      <c r="K197" s="34">
        <v>237.93280000000038</v>
      </c>
      <c r="L197" s="34">
        <v>186.10409999999987</v>
      </c>
      <c r="M197" s="34">
        <v>149.44859999999977</v>
      </c>
      <c r="N197" s="34">
        <v>102.10050000000011</v>
      </c>
      <c r="O197" s="34">
        <v>91.321700000000064</v>
      </c>
      <c r="P197" s="35">
        <v>1551.4934410000001</v>
      </c>
    </row>
    <row r="198" spans="1:16">
      <c r="A198" s="318"/>
      <c r="B198" s="318"/>
      <c r="C198" s="33" t="s">
        <v>88</v>
      </c>
      <c r="D198" s="34">
        <v>111.63499999999996</v>
      </c>
      <c r="E198" s="34">
        <v>72.212700000000027</v>
      </c>
      <c r="F198" s="34">
        <v>81.929899999999705</v>
      </c>
      <c r="G198" s="34">
        <v>90.923100000000176</v>
      </c>
      <c r="H198" s="34">
        <v>75.384899999999902</v>
      </c>
      <c r="I198" s="34">
        <v>125.43019200000046</v>
      </c>
      <c r="J198" s="34">
        <v>222.66729999999993</v>
      </c>
      <c r="K198" s="34">
        <v>237.11149999999981</v>
      </c>
      <c r="L198" s="34">
        <v>185.5425000000003</v>
      </c>
      <c r="M198" s="34">
        <v>149.10790000000003</v>
      </c>
      <c r="N198" s="34">
        <v>101.78829999999991</v>
      </c>
      <c r="O198" s="34">
        <v>90.920800000000128</v>
      </c>
      <c r="P198" s="35">
        <v>1544.6540920000002</v>
      </c>
    </row>
    <row r="199" spans="1:16">
      <c r="A199" s="319"/>
      <c r="B199" s="319"/>
      <c r="C199" s="36" t="s">
        <v>91</v>
      </c>
      <c r="D199" s="37">
        <v>114.88</v>
      </c>
      <c r="E199" s="37">
        <v>82.26</v>
      </c>
      <c r="F199" s="37">
        <v>93.62</v>
      </c>
      <c r="G199" s="37">
        <v>111.13999999999999</v>
      </c>
      <c r="H199" s="37">
        <v>127.86000000000001</v>
      </c>
      <c r="I199" s="37">
        <v>151.99</v>
      </c>
      <c r="J199" s="37">
        <v>196.39</v>
      </c>
      <c r="K199" s="37">
        <v>241.54000000000002</v>
      </c>
      <c r="L199" s="37">
        <v>316.47000000000003</v>
      </c>
      <c r="M199" s="37">
        <v>268.26</v>
      </c>
      <c r="N199" s="37">
        <v>247.27999999999997</v>
      </c>
      <c r="O199" s="37">
        <v>127.17999999999999</v>
      </c>
      <c r="P199" s="38">
        <v>2078.87</v>
      </c>
    </row>
    <row r="200" spans="1:16">
      <c r="A200" s="326" t="s">
        <v>110</v>
      </c>
      <c r="B200" s="326" t="s">
        <v>80</v>
      </c>
      <c r="C200" s="41" t="s">
        <v>81</v>
      </c>
      <c r="D200" s="63">
        <v>18.815000000000001</v>
      </c>
      <c r="E200" s="63">
        <v>17.558</v>
      </c>
      <c r="F200" s="63">
        <v>21.725999999999999</v>
      </c>
      <c r="G200" s="63">
        <v>19.521000000000001</v>
      </c>
      <c r="H200" s="63">
        <v>26.102</v>
      </c>
      <c r="I200" s="63">
        <v>20.195</v>
      </c>
      <c r="J200" s="63">
        <v>23.768000000000001</v>
      </c>
      <c r="K200" s="63">
        <v>24.776</v>
      </c>
      <c r="L200" s="63">
        <v>30.957999999999998</v>
      </c>
      <c r="M200" s="63">
        <v>32.456000000000003</v>
      </c>
      <c r="N200" s="63">
        <v>32.811999999999998</v>
      </c>
      <c r="O200" s="63">
        <v>23.97</v>
      </c>
      <c r="P200" s="43">
        <v>292.65700000000004</v>
      </c>
    </row>
    <row r="201" spans="1:16">
      <c r="A201" s="326"/>
      <c r="B201" s="326"/>
      <c r="C201" s="41" t="s">
        <v>84</v>
      </c>
      <c r="D201" s="63">
        <v>20.582000000000001</v>
      </c>
      <c r="E201" s="63">
        <v>14.816299999999929</v>
      </c>
      <c r="F201" s="63">
        <v>17.285700000000066</v>
      </c>
      <c r="G201" s="63">
        <v>16.085000000000001</v>
      </c>
      <c r="H201" s="63">
        <v>14.919699999999953</v>
      </c>
      <c r="I201" s="63">
        <v>13.799793000000115</v>
      </c>
      <c r="J201" s="63">
        <v>24.193314999999945</v>
      </c>
      <c r="K201" s="63">
        <v>24.424043999999991</v>
      </c>
      <c r="L201" s="63">
        <v>11.858167000000014</v>
      </c>
      <c r="M201" s="63">
        <v>39.069295000000047</v>
      </c>
      <c r="N201" s="63">
        <v>50.507664999999918</v>
      </c>
      <c r="O201" s="63">
        <v>46.910890000000137</v>
      </c>
      <c r="P201" s="43">
        <v>294.4518690000001</v>
      </c>
    </row>
    <row r="202" spans="1:16">
      <c r="A202" s="326"/>
      <c r="B202" s="326"/>
      <c r="C202" s="41" t="s">
        <v>88</v>
      </c>
      <c r="D202" s="63">
        <v>20.465199999999957</v>
      </c>
      <c r="E202" s="63">
        <v>14.733400000000023</v>
      </c>
      <c r="F202" s="63">
        <v>17.187299999999958</v>
      </c>
      <c r="G202" s="63">
        <v>15.989600000000033</v>
      </c>
      <c r="H202" s="63">
        <v>14.817300000000017</v>
      </c>
      <c r="I202" s="63">
        <v>13.715799999999991</v>
      </c>
      <c r="J202" s="63">
        <v>24.061456999999965</v>
      </c>
      <c r="K202" s="63">
        <v>24.286932999999973</v>
      </c>
      <c r="L202" s="63">
        <v>11.793583000000055</v>
      </c>
      <c r="M202" s="63">
        <v>38.837806999999998</v>
      </c>
      <c r="N202" s="63">
        <v>50.196208000000013</v>
      </c>
      <c r="O202" s="63">
        <v>46.633431999999985</v>
      </c>
      <c r="P202" s="43">
        <v>292.71801999999997</v>
      </c>
    </row>
    <row r="203" spans="1:16">
      <c r="A203" s="326"/>
      <c r="B203" s="327"/>
      <c r="C203" s="64" t="s">
        <v>91</v>
      </c>
      <c r="D203" s="65">
        <v>14.96</v>
      </c>
      <c r="E203" s="65">
        <v>13.96</v>
      </c>
      <c r="F203" s="65">
        <v>17.28</v>
      </c>
      <c r="G203" s="65">
        <v>15.52</v>
      </c>
      <c r="H203" s="65">
        <v>20.76</v>
      </c>
      <c r="I203" s="65">
        <v>16.059999999999999</v>
      </c>
      <c r="J203" s="65">
        <v>18.899999999999999</v>
      </c>
      <c r="K203" s="65">
        <v>19.7</v>
      </c>
      <c r="L203" s="65">
        <v>24.62</v>
      </c>
      <c r="M203" s="65">
        <v>25.81</v>
      </c>
      <c r="N203" s="65">
        <v>26.09</v>
      </c>
      <c r="O203" s="65">
        <v>19.059999999999999</v>
      </c>
      <c r="P203" s="66">
        <v>232.72</v>
      </c>
    </row>
    <row r="204" spans="1:16">
      <c r="A204" s="326"/>
      <c r="B204" s="328" t="s">
        <v>86</v>
      </c>
      <c r="C204" s="60" t="s">
        <v>81</v>
      </c>
      <c r="D204" s="67">
        <v>58.484000000000002</v>
      </c>
      <c r="E204" s="67">
        <v>38.119999999999997</v>
      </c>
      <c r="F204" s="67">
        <v>45.805999999999997</v>
      </c>
      <c r="G204" s="67">
        <v>42.091999999999999</v>
      </c>
      <c r="H204" s="67">
        <v>71.085999999999999</v>
      </c>
      <c r="I204" s="67">
        <v>83.242000000000004</v>
      </c>
      <c r="J204" s="67">
        <v>112.801</v>
      </c>
      <c r="K204" s="67">
        <v>107.589</v>
      </c>
      <c r="L204" s="67">
        <v>132.03899999999999</v>
      </c>
      <c r="M204" s="67">
        <v>178.56700000000001</v>
      </c>
      <c r="N204" s="67">
        <v>157.74</v>
      </c>
      <c r="O204" s="67">
        <v>108.47</v>
      </c>
      <c r="P204" s="62">
        <v>1136.0360000000001</v>
      </c>
    </row>
    <row r="205" spans="1:16">
      <c r="A205" s="326"/>
      <c r="B205" s="326"/>
      <c r="C205" s="41" t="s">
        <v>84</v>
      </c>
      <c r="D205" s="42">
        <v>44.561899999999909</v>
      </c>
      <c r="E205" s="42">
        <v>24.298100000000094</v>
      </c>
      <c r="F205" s="42">
        <v>28.284299999999813</v>
      </c>
      <c r="G205" s="42">
        <v>27.128700000000187</v>
      </c>
      <c r="H205" s="42">
        <v>34.716699999999719</v>
      </c>
      <c r="I205" s="42">
        <v>54.870967000000284</v>
      </c>
      <c r="J205" s="42">
        <v>94.48197599999979</v>
      </c>
      <c r="K205" s="42">
        <v>101.94487800000003</v>
      </c>
      <c r="L205" s="42">
        <v>75.765530000000027</v>
      </c>
      <c r="M205" s="42">
        <v>156.29349900000005</v>
      </c>
      <c r="N205" s="42">
        <v>185.10087399999983</v>
      </c>
      <c r="O205" s="42">
        <v>195.29755300000031</v>
      </c>
      <c r="P205" s="43">
        <v>1022.7449770000001</v>
      </c>
    </row>
    <row r="206" spans="1:16">
      <c r="A206" s="326"/>
      <c r="B206" s="326"/>
      <c r="C206" s="41" t="s">
        <v>88</v>
      </c>
      <c r="D206" s="42">
        <v>44.488200000000006</v>
      </c>
      <c r="E206" s="42">
        <v>24.290699999999976</v>
      </c>
      <c r="F206" s="42">
        <v>28.201200000000011</v>
      </c>
      <c r="G206" s="42">
        <v>27.111499999999872</v>
      </c>
      <c r="H206" s="42">
        <v>34.836100000000201</v>
      </c>
      <c r="I206" s="42">
        <v>55.029166999999859</v>
      </c>
      <c r="J206" s="42">
        <v>94.468094000000164</v>
      </c>
      <c r="K206" s="42">
        <v>101.98367399999967</v>
      </c>
      <c r="L206" s="42">
        <v>75.804159999999996</v>
      </c>
      <c r="M206" s="42">
        <v>156.21289099999993</v>
      </c>
      <c r="N206" s="42">
        <v>184.77352200000004</v>
      </c>
      <c r="O206" s="42">
        <v>194.88883999999993</v>
      </c>
      <c r="P206" s="43">
        <v>1022.0880479999997</v>
      </c>
    </row>
    <row r="207" spans="1:16">
      <c r="A207" s="326"/>
      <c r="B207" s="327"/>
      <c r="C207" s="64" t="s">
        <v>91</v>
      </c>
      <c r="D207" s="68">
        <v>46.41</v>
      </c>
      <c r="E207" s="68">
        <v>30.25</v>
      </c>
      <c r="F207" s="68">
        <v>36.35</v>
      </c>
      <c r="G207" s="68">
        <v>33.4</v>
      </c>
      <c r="H207" s="68">
        <v>56.41</v>
      </c>
      <c r="I207" s="68">
        <v>66.06</v>
      </c>
      <c r="J207" s="68">
        <v>89.52</v>
      </c>
      <c r="K207" s="68">
        <v>85.38</v>
      </c>
      <c r="L207" s="68">
        <v>104.79</v>
      </c>
      <c r="M207" s="68">
        <v>141.71</v>
      </c>
      <c r="N207" s="68">
        <v>125.18</v>
      </c>
      <c r="O207" s="68">
        <v>86.08</v>
      </c>
      <c r="P207" s="66">
        <v>901.54000000000008</v>
      </c>
    </row>
    <row r="208" spans="1:16">
      <c r="A208" s="326"/>
      <c r="B208" s="328" t="s">
        <v>87</v>
      </c>
      <c r="C208" s="60" t="s">
        <v>81</v>
      </c>
      <c r="D208" s="67">
        <v>46.146000000000001</v>
      </c>
      <c r="E208" s="67">
        <v>31.814</v>
      </c>
      <c r="F208" s="67">
        <v>36.704000000000001</v>
      </c>
      <c r="G208" s="67">
        <v>37.725999999999999</v>
      </c>
      <c r="H208" s="67">
        <v>59.707999999999998</v>
      </c>
      <c r="I208" s="67">
        <v>76.266000000000005</v>
      </c>
      <c r="J208" s="67">
        <v>100.35</v>
      </c>
      <c r="K208" s="67">
        <v>94.025999999999996</v>
      </c>
      <c r="L208" s="67">
        <v>121.53400000000001</v>
      </c>
      <c r="M208" s="67">
        <v>151.78899999999999</v>
      </c>
      <c r="N208" s="67">
        <v>113.27200000000001</v>
      </c>
      <c r="O208" s="67">
        <v>76.703999999999994</v>
      </c>
      <c r="P208" s="62">
        <v>946.0390000000001</v>
      </c>
    </row>
    <row r="209" spans="1:17">
      <c r="A209" s="326"/>
      <c r="B209" s="326"/>
      <c r="C209" s="41" t="s">
        <v>84</v>
      </c>
      <c r="D209" s="42">
        <v>40.519900000000142</v>
      </c>
      <c r="E209" s="42">
        <v>25.088399999999908</v>
      </c>
      <c r="F209" s="42">
        <v>19.354500000000002</v>
      </c>
      <c r="G209" s="42">
        <v>18.631800000000045</v>
      </c>
      <c r="H209" s="42">
        <v>34.095199999999956</v>
      </c>
      <c r="I209" s="42">
        <v>47.132133000000138</v>
      </c>
      <c r="J209" s="42">
        <v>78.753672000000009</v>
      </c>
      <c r="K209" s="42">
        <v>83.396789999999811</v>
      </c>
      <c r="L209" s="42">
        <v>73.828290000000024</v>
      </c>
      <c r="M209" s="42">
        <v>132.59153199999989</v>
      </c>
      <c r="N209" s="42">
        <v>144.76705800000019</v>
      </c>
      <c r="O209" s="42">
        <v>155.64489400000008</v>
      </c>
      <c r="P209" s="43">
        <v>853.80416900000023</v>
      </c>
    </row>
    <row r="210" spans="1:17">
      <c r="A210" s="326"/>
      <c r="B210" s="326"/>
      <c r="C210" s="41" t="s">
        <v>88</v>
      </c>
      <c r="D210" s="42">
        <v>40.169999999999966</v>
      </c>
      <c r="E210" s="42">
        <v>24.870999999999896</v>
      </c>
      <c r="F210" s="42">
        <v>19.120700000000028</v>
      </c>
      <c r="G210" s="42">
        <v>18.47159999999991</v>
      </c>
      <c r="H210" s="42">
        <v>33.840300000000163</v>
      </c>
      <c r="I210" s="42">
        <v>46.779346000000082</v>
      </c>
      <c r="J210" s="42">
        <v>78.071914999999919</v>
      </c>
      <c r="K210" s="42">
        <v>82.710195999999939</v>
      </c>
      <c r="L210" s="42">
        <v>73.229022999999998</v>
      </c>
      <c r="M210" s="42">
        <v>131.50203199999999</v>
      </c>
      <c r="N210" s="42">
        <v>143.53856800000005</v>
      </c>
      <c r="O210" s="42">
        <v>154.32994500000012</v>
      </c>
      <c r="P210" s="43">
        <v>846.63462499999991</v>
      </c>
    </row>
    <row r="211" spans="1:17">
      <c r="A211" s="326"/>
      <c r="B211" s="327"/>
      <c r="C211" s="64" t="s">
        <v>91</v>
      </c>
      <c r="D211" s="68">
        <v>36.58</v>
      </c>
      <c r="E211" s="68">
        <v>25.22</v>
      </c>
      <c r="F211" s="68">
        <v>29.1</v>
      </c>
      <c r="G211" s="68">
        <v>29.91</v>
      </c>
      <c r="H211" s="68">
        <v>47.34</v>
      </c>
      <c r="I211" s="68">
        <v>60.46</v>
      </c>
      <c r="J211" s="68">
        <v>79.56</v>
      </c>
      <c r="K211" s="68">
        <v>74.540000000000006</v>
      </c>
      <c r="L211" s="68">
        <v>96.35</v>
      </c>
      <c r="M211" s="68">
        <v>120.34</v>
      </c>
      <c r="N211" s="68">
        <v>89.8</v>
      </c>
      <c r="O211" s="68">
        <v>60.81</v>
      </c>
      <c r="P211" s="66">
        <v>750.01</v>
      </c>
    </row>
    <row r="212" spans="1:17">
      <c r="A212" s="326"/>
      <c r="B212" s="328" t="s">
        <v>92</v>
      </c>
      <c r="C212" s="60" t="s">
        <v>81</v>
      </c>
      <c r="D212" s="67">
        <v>123.44500000000001</v>
      </c>
      <c r="E212" s="67">
        <v>87.49199999999999</v>
      </c>
      <c r="F212" s="67">
        <v>104.23599999999999</v>
      </c>
      <c r="G212" s="67">
        <v>99.338999999999999</v>
      </c>
      <c r="H212" s="67">
        <v>156.89600000000002</v>
      </c>
      <c r="I212" s="67">
        <v>179.70300000000003</v>
      </c>
      <c r="J212" s="67">
        <v>236.91900000000001</v>
      </c>
      <c r="K212" s="67">
        <v>226.39100000000002</v>
      </c>
      <c r="L212" s="67">
        <v>284.53100000000001</v>
      </c>
      <c r="M212" s="67">
        <v>362.81200000000001</v>
      </c>
      <c r="N212" s="67">
        <v>303.82400000000001</v>
      </c>
      <c r="O212" s="67">
        <v>209.14400000000001</v>
      </c>
      <c r="P212" s="62">
        <v>2374.732</v>
      </c>
    </row>
    <row r="213" spans="1:17">
      <c r="A213" s="326"/>
      <c r="B213" s="326"/>
      <c r="C213" s="41" t="s">
        <v>84</v>
      </c>
      <c r="D213" s="42">
        <v>105.66380000000007</v>
      </c>
      <c r="E213" s="42">
        <v>64.202799999999939</v>
      </c>
      <c r="F213" s="42">
        <v>64.924499999999881</v>
      </c>
      <c r="G213" s="42">
        <v>61.845500000000229</v>
      </c>
      <c r="H213" s="42">
        <v>83.731599999999617</v>
      </c>
      <c r="I213" s="42">
        <v>115.80289300000054</v>
      </c>
      <c r="J213" s="42">
        <v>197.42896299999973</v>
      </c>
      <c r="K213" s="42">
        <v>209.76571199999984</v>
      </c>
      <c r="L213" s="42">
        <v>161.45198700000006</v>
      </c>
      <c r="M213" s="42">
        <v>327.95432599999998</v>
      </c>
      <c r="N213" s="42">
        <v>380.37559699999997</v>
      </c>
      <c r="O213" s="42">
        <v>397.85333700000052</v>
      </c>
      <c r="P213" s="43">
        <v>2171.0010150000007</v>
      </c>
    </row>
    <row r="214" spans="1:17">
      <c r="A214" s="326"/>
      <c r="B214" s="326"/>
      <c r="C214" s="41" t="s">
        <v>88</v>
      </c>
      <c r="D214" s="42">
        <v>105.12339999999992</v>
      </c>
      <c r="E214" s="42">
        <v>63.895099999999893</v>
      </c>
      <c r="F214" s="42">
        <v>64.509199999999993</v>
      </c>
      <c r="G214" s="42">
        <v>61.572699999999813</v>
      </c>
      <c r="H214" s="42">
        <v>83.493700000000388</v>
      </c>
      <c r="I214" s="42">
        <v>115.52431299999992</v>
      </c>
      <c r="J214" s="42">
        <v>196.60146600000004</v>
      </c>
      <c r="K214" s="42">
        <v>208.98080299999958</v>
      </c>
      <c r="L214" s="42">
        <v>160.82676600000005</v>
      </c>
      <c r="M214" s="42">
        <v>326.55272999999988</v>
      </c>
      <c r="N214" s="42">
        <v>378.50829800000008</v>
      </c>
      <c r="O214" s="42">
        <v>395.85221700000005</v>
      </c>
      <c r="P214" s="43">
        <v>2161.4406929999996</v>
      </c>
    </row>
    <row r="215" spans="1:17">
      <c r="A215" s="326"/>
      <c r="B215" s="327"/>
      <c r="C215" s="64" t="s">
        <v>91</v>
      </c>
      <c r="D215" s="68">
        <v>97.949999999999989</v>
      </c>
      <c r="E215" s="68">
        <v>69.430000000000007</v>
      </c>
      <c r="F215" s="68">
        <v>82.73</v>
      </c>
      <c r="G215" s="68">
        <v>78.83</v>
      </c>
      <c r="H215" s="68">
        <v>124.51</v>
      </c>
      <c r="I215" s="68">
        <v>142.58000000000001</v>
      </c>
      <c r="J215" s="68">
        <v>187.98</v>
      </c>
      <c r="K215" s="68">
        <v>179.62</v>
      </c>
      <c r="L215" s="68">
        <v>225.76</v>
      </c>
      <c r="M215" s="68">
        <v>287.86</v>
      </c>
      <c r="N215" s="68">
        <v>241.07</v>
      </c>
      <c r="O215" s="68">
        <v>165.95</v>
      </c>
      <c r="P215" s="66">
        <v>1884.27</v>
      </c>
    </row>
    <row r="216" spans="1:17">
      <c r="A216" s="317" t="s">
        <v>111</v>
      </c>
      <c r="B216" s="318" t="s">
        <v>80</v>
      </c>
      <c r="C216" s="33" t="s">
        <v>81</v>
      </c>
      <c r="D216" s="34">
        <v>18.422999999999998</v>
      </c>
      <c r="E216" s="34">
        <v>20.225000000000001</v>
      </c>
      <c r="F216" s="34">
        <v>21.103999999999999</v>
      </c>
      <c r="G216" s="34">
        <v>23.029</v>
      </c>
      <c r="H216" s="34">
        <v>18.27</v>
      </c>
      <c r="I216" s="34">
        <v>17.13</v>
      </c>
      <c r="J216" s="34">
        <v>21.599</v>
      </c>
      <c r="K216" s="34">
        <v>26.742000000000001</v>
      </c>
      <c r="L216" s="34">
        <v>30.651</v>
      </c>
      <c r="M216" s="34">
        <v>31.641999999999999</v>
      </c>
      <c r="N216" s="34">
        <v>26.209</v>
      </c>
      <c r="O216" s="34">
        <v>23.488</v>
      </c>
      <c r="P216" s="35">
        <v>278.51199999999994</v>
      </c>
    </row>
    <row r="217" spans="1:17">
      <c r="A217" s="318"/>
      <c r="B217" s="318"/>
      <c r="C217" s="33" t="s">
        <v>84</v>
      </c>
      <c r="D217" s="34">
        <v>31.364885999999821</v>
      </c>
      <c r="E217" s="34">
        <v>21.604490000000109</v>
      </c>
      <c r="F217" s="34">
        <v>24.754403000000053</v>
      </c>
      <c r="G217" s="34">
        <v>30.05861999999988</v>
      </c>
      <c r="H217" s="34">
        <v>35.617789999999928</v>
      </c>
      <c r="I217" s="34">
        <v>49.377231000000151</v>
      </c>
      <c r="J217" s="34">
        <v>26.841631999999986</v>
      </c>
      <c r="K217" s="34">
        <v>41.75631599999987</v>
      </c>
      <c r="L217" s="34">
        <v>61.071907000000117</v>
      </c>
      <c r="M217" s="34">
        <v>55.999551999999909</v>
      </c>
      <c r="N217" s="34">
        <v>54.194130000000122</v>
      </c>
      <c r="O217" s="34">
        <v>41.483336999999821</v>
      </c>
      <c r="P217" s="35">
        <v>474.12429399999985</v>
      </c>
      <c r="Q217" s="133">
        <f>MAX(D217:O217)</f>
        <v>61.071907000000117</v>
      </c>
    </row>
    <row r="218" spans="1:17">
      <c r="A218" s="318"/>
      <c r="B218" s="318"/>
      <c r="C218" s="33" t="s">
        <v>88</v>
      </c>
      <c r="D218" s="34">
        <v>31.176950000000001</v>
      </c>
      <c r="E218" s="34">
        <v>21.483000000000015</v>
      </c>
      <c r="F218" s="34">
        <v>24.614502999999864</v>
      </c>
      <c r="G218" s="34">
        <v>29.8804720000002</v>
      </c>
      <c r="H218" s="34">
        <v>35.425119999999943</v>
      </c>
      <c r="I218" s="34">
        <v>49.108661999999924</v>
      </c>
      <c r="J218" s="34">
        <v>26.698788000000029</v>
      </c>
      <c r="K218" s="34">
        <v>41.524511999999923</v>
      </c>
      <c r="L218" s="34">
        <v>60.72833899999997</v>
      </c>
      <c r="M218" s="34">
        <v>55.688166000000088</v>
      </c>
      <c r="N218" s="34">
        <v>53.889927999999983</v>
      </c>
      <c r="O218" s="34">
        <v>41.256631000000162</v>
      </c>
      <c r="P218" s="35">
        <v>471.47507100000007</v>
      </c>
    </row>
    <row r="219" spans="1:17">
      <c r="A219" s="318"/>
      <c r="B219" s="319"/>
      <c r="C219" s="36" t="s">
        <v>91</v>
      </c>
      <c r="D219" s="37">
        <v>14.65</v>
      </c>
      <c r="E219" s="37">
        <v>16.079999999999998</v>
      </c>
      <c r="F219" s="37">
        <v>16.78</v>
      </c>
      <c r="G219" s="37">
        <v>18.309999999999999</v>
      </c>
      <c r="H219" s="37">
        <v>19.86</v>
      </c>
      <c r="I219" s="37">
        <v>27.2</v>
      </c>
      <c r="J219" s="37">
        <v>17.18</v>
      </c>
      <c r="K219" s="37">
        <v>21.26</v>
      </c>
      <c r="L219" s="37">
        <v>24.37</v>
      </c>
      <c r="M219" s="37">
        <v>25.16</v>
      </c>
      <c r="N219" s="37">
        <v>20.84</v>
      </c>
      <c r="O219" s="37">
        <v>18.68</v>
      </c>
      <c r="P219" s="38">
        <v>240.37</v>
      </c>
    </row>
    <row r="220" spans="1:17">
      <c r="A220" s="318"/>
      <c r="B220" s="317" t="s">
        <v>86</v>
      </c>
      <c r="C220" s="51" t="s">
        <v>81</v>
      </c>
      <c r="D220" s="70">
        <v>57.954000000000001</v>
      </c>
      <c r="E220" s="70">
        <v>42.856999999999999</v>
      </c>
      <c r="F220" s="70">
        <v>52.338999999999999</v>
      </c>
      <c r="G220" s="70">
        <v>55.411999999999999</v>
      </c>
      <c r="H220" s="70">
        <v>58.381</v>
      </c>
      <c r="I220" s="70">
        <v>76.849000000000004</v>
      </c>
      <c r="J220" s="70">
        <v>109.46899999999999</v>
      </c>
      <c r="K220" s="70">
        <v>112.996</v>
      </c>
      <c r="L220" s="70">
        <v>142.333</v>
      </c>
      <c r="M220" s="70">
        <v>177.37899999999999</v>
      </c>
      <c r="N220" s="70">
        <v>152.56399999999999</v>
      </c>
      <c r="O220" s="70">
        <v>113.72799999999999</v>
      </c>
      <c r="P220" s="53">
        <v>1152.261</v>
      </c>
    </row>
    <row r="221" spans="1:17">
      <c r="A221" s="318"/>
      <c r="B221" s="318"/>
      <c r="C221" s="33" t="s">
        <v>84</v>
      </c>
      <c r="D221" s="34">
        <v>147.31777</v>
      </c>
      <c r="E221" s="34">
        <v>84.774964999999852</v>
      </c>
      <c r="F221" s="34">
        <v>56.843450999999881</v>
      </c>
      <c r="G221" s="34">
        <v>71.933518000000149</v>
      </c>
      <c r="H221" s="34">
        <v>138.78362400000029</v>
      </c>
      <c r="I221" s="34">
        <v>184.92081999999942</v>
      </c>
      <c r="J221" s="34">
        <v>158.92538500000023</v>
      </c>
      <c r="K221" s="34">
        <v>166.84722599999978</v>
      </c>
      <c r="L221" s="34">
        <v>177.18828400000044</v>
      </c>
      <c r="M221" s="34">
        <v>183.54134299999942</v>
      </c>
      <c r="N221" s="34">
        <v>182.61075499999987</v>
      </c>
      <c r="O221" s="34">
        <v>189.60795600000071</v>
      </c>
      <c r="P221" s="35">
        <v>1743.2950970000002</v>
      </c>
      <c r="Q221" s="133">
        <f>MAX(D221:O221)</f>
        <v>189.60795600000071</v>
      </c>
    </row>
    <row r="222" spans="1:17">
      <c r="A222" s="318"/>
      <c r="B222" s="318"/>
      <c r="C222" s="33" t="s">
        <v>88</v>
      </c>
      <c r="D222" s="34">
        <v>146.843152</v>
      </c>
      <c r="E222" s="34">
        <v>84.469191999999936</v>
      </c>
      <c r="F222" s="34">
        <v>56.543630000000078</v>
      </c>
      <c r="G222" s="34">
        <v>71.740476000000015</v>
      </c>
      <c r="H222" s="34">
        <v>138.45632199999989</v>
      </c>
      <c r="I222" s="34">
        <v>184.699175</v>
      </c>
      <c r="J222" s="34">
        <v>158.77037600000003</v>
      </c>
      <c r="K222" s="34">
        <v>166.58630399999998</v>
      </c>
      <c r="L222" s="34">
        <v>176.912982</v>
      </c>
      <c r="M222" s="34">
        <v>183.21707600000011</v>
      </c>
      <c r="N222" s="34">
        <v>182.24900199999993</v>
      </c>
      <c r="O222" s="34">
        <v>189.29308799999993</v>
      </c>
      <c r="P222" s="35">
        <v>1739.7807749999999</v>
      </c>
    </row>
    <row r="223" spans="1:17">
      <c r="A223" s="318"/>
      <c r="B223" s="319"/>
      <c r="C223" s="36" t="s">
        <v>91</v>
      </c>
      <c r="D223" s="37">
        <v>45.99</v>
      </c>
      <c r="E223" s="37">
        <v>34.01</v>
      </c>
      <c r="F223" s="37">
        <v>41.54</v>
      </c>
      <c r="G223" s="37">
        <v>43.97</v>
      </c>
      <c r="H223" s="37">
        <v>60.99</v>
      </c>
      <c r="I223" s="37">
        <v>119.38</v>
      </c>
      <c r="J223" s="37">
        <v>86.87</v>
      </c>
      <c r="K223" s="37">
        <v>89.67</v>
      </c>
      <c r="L223" s="37">
        <v>112.96</v>
      </c>
      <c r="M223" s="37">
        <v>140.77000000000001</v>
      </c>
      <c r="N223" s="37">
        <v>121.07</v>
      </c>
      <c r="O223" s="37">
        <v>90.25</v>
      </c>
      <c r="P223" s="38">
        <v>987.47</v>
      </c>
    </row>
    <row r="224" spans="1:17">
      <c r="A224" s="318"/>
      <c r="B224" s="317" t="s">
        <v>87</v>
      </c>
      <c r="C224" s="51" t="s">
        <v>81</v>
      </c>
      <c r="D224" s="70">
        <v>46.61</v>
      </c>
      <c r="E224" s="70">
        <v>35.270000000000003</v>
      </c>
      <c r="F224" s="70">
        <v>39.994</v>
      </c>
      <c r="G224" s="70">
        <v>44.533999999999999</v>
      </c>
      <c r="H224" s="70">
        <v>53.694000000000003</v>
      </c>
      <c r="I224" s="70">
        <v>74.471000000000004</v>
      </c>
      <c r="J224" s="70">
        <v>96.834999999999994</v>
      </c>
      <c r="K224" s="70">
        <v>97.962000000000003</v>
      </c>
      <c r="L224" s="70">
        <v>127.208</v>
      </c>
      <c r="M224" s="70">
        <v>150.36500000000001</v>
      </c>
      <c r="N224" s="70">
        <v>111.446</v>
      </c>
      <c r="O224" s="70">
        <v>79.64</v>
      </c>
      <c r="P224" s="53">
        <v>958.029</v>
      </c>
    </row>
    <row r="225" spans="1:17">
      <c r="A225" s="318"/>
      <c r="B225" s="318"/>
      <c r="C225" s="33" t="s">
        <v>84</v>
      </c>
      <c r="D225" s="34">
        <v>108.60762999999989</v>
      </c>
      <c r="E225" s="34">
        <v>60.113165999999971</v>
      </c>
      <c r="F225" s="34">
        <v>46.122814999999939</v>
      </c>
      <c r="G225" s="34">
        <v>47.596593000000105</v>
      </c>
      <c r="H225" s="34">
        <v>110.79442499999982</v>
      </c>
      <c r="I225" s="34">
        <v>147.72678699999997</v>
      </c>
      <c r="J225" s="34">
        <v>132.76311200000009</v>
      </c>
      <c r="K225" s="34">
        <v>131.70101400000019</v>
      </c>
      <c r="L225" s="34">
        <v>140.74008200000006</v>
      </c>
      <c r="M225" s="34">
        <v>143.57093799999984</v>
      </c>
      <c r="N225" s="34">
        <v>150.22648000000001</v>
      </c>
      <c r="O225" s="34">
        <v>154.0835330000003</v>
      </c>
      <c r="P225" s="35">
        <v>1374.0465750000003</v>
      </c>
      <c r="Q225" s="133">
        <f>MAX(D225:O225)</f>
        <v>154.0835330000003</v>
      </c>
    </row>
    <row r="226" spans="1:17">
      <c r="A226" s="318"/>
      <c r="B226" s="318"/>
      <c r="C226" s="33" t="s">
        <v>88</v>
      </c>
      <c r="D226" s="34">
        <v>107.66068899999978</v>
      </c>
      <c r="E226" s="34">
        <v>59.618738000000306</v>
      </c>
      <c r="F226" s="34">
        <v>45.723059999999712</v>
      </c>
      <c r="G226" s="34">
        <v>47.190899999999985</v>
      </c>
      <c r="H226" s="34">
        <v>109.84325200000006</v>
      </c>
      <c r="I226" s="34">
        <v>146.48289099999991</v>
      </c>
      <c r="J226" s="34">
        <v>131.69831400000004</v>
      </c>
      <c r="K226" s="34">
        <v>130.6509130000002</v>
      </c>
      <c r="L226" s="34">
        <v>139.61816999999999</v>
      </c>
      <c r="M226" s="34">
        <v>142.44222400000004</v>
      </c>
      <c r="N226" s="34">
        <v>149.0294319999999</v>
      </c>
      <c r="O226" s="34">
        <v>152.84858500000001</v>
      </c>
      <c r="P226" s="35">
        <v>1362.8071679999998</v>
      </c>
    </row>
    <row r="227" spans="1:17">
      <c r="A227" s="318"/>
      <c r="B227" s="319"/>
      <c r="C227" s="36" t="s">
        <v>91</v>
      </c>
      <c r="D227" s="37">
        <v>36.950000000000003</v>
      </c>
      <c r="E227" s="37">
        <v>27.96</v>
      </c>
      <c r="F227" s="37">
        <v>31.71</v>
      </c>
      <c r="G227" s="37">
        <v>35.31</v>
      </c>
      <c r="H227" s="37">
        <v>51.79</v>
      </c>
      <c r="I227" s="37">
        <v>93.09</v>
      </c>
      <c r="J227" s="37">
        <v>76.77</v>
      </c>
      <c r="K227" s="37">
        <v>77.66</v>
      </c>
      <c r="L227" s="37">
        <v>100.85</v>
      </c>
      <c r="M227" s="37">
        <v>119.21</v>
      </c>
      <c r="N227" s="37">
        <v>88.35</v>
      </c>
      <c r="O227" s="37">
        <v>63.14</v>
      </c>
      <c r="P227" s="38">
        <v>802.79000000000008</v>
      </c>
    </row>
    <row r="228" spans="1:17">
      <c r="A228" s="318"/>
      <c r="B228" s="317" t="s">
        <v>92</v>
      </c>
      <c r="C228" s="51" t="s">
        <v>81</v>
      </c>
      <c r="D228" s="70">
        <v>122.98699999999999</v>
      </c>
      <c r="E228" s="70">
        <v>98.352000000000004</v>
      </c>
      <c r="F228" s="70">
        <v>113.437</v>
      </c>
      <c r="G228" s="70">
        <v>122.97499999999999</v>
      </c>
      <c r="H228" s="70">
        <v>130.345</v>
      </c>
      <c r="I228" s="70">
        <v>168.45</v>
      </c>
      <c r="J228" s="70">
        <v>227.90299999999996</v>
      </c>
      <c r="K228" s="70">
        <v>237.7</v>
      </c>
      <c r="L228" s="70">
        <v>300.19200000000001</v>
      </c>
      <c r="M228" s="70">
        <v>359.38599999999997</v>
      </c>
      <c r="N228" s="70">
        <v>290.21899999999999</v>
      </c>
      <c r="O228" s="70">
        <v>216.85599999999999</v>
      </c>
      <c r="P228" s="53">
        <v>2388.8020000000001</v>
      </c>
    </row>
    <row r="229" spans="1:17">
      <c r="A229" s="318"/>
      <c r="B229" s="318"/>
      <c r="C229" s="33" t="s">
        <v>84</v>
      </c>
      <c r="D229" s="34">
        <v>287.2902859999997</v>
      </c>
      <c r="E229" s="34">
        <v>166.49262099999993</v>
      </c>
      <c r="F229" s="34">
        <v>127.72066899999987</v>
      </c>
      <c r="G229" s="34">
        <v>149.58873100000014</v>
      </c>
      <c r="H229" s="34">
        <v>285.19583900000003</v>
      </c>
      <c r="I229" s="34">
        <v>382.02483799999959</v>
      </c>
      <c r="J229" s="34">
        <v>318.53012900000033</v>
      </c>
      <c r="K229" s="34">
        <v>340.30455599999982</v>
      </c>
      <c r="L229" s="34">
        <v>379.00027300000062</v>
      </c>
      <c r="M229" s="34">
        <v>383.11183299999914</v>
      </c>
      <c r="N229" s="34">
        <v>387.03136499999999</v>
      </c>
      <c r="O229" s="34">
        <v>385.17482600000085</v>
      </c>
      <c r="P229" s="35">
        <v>3591.4659659999993</v>
      </c>
      <c r="Q229" s="112">
        <f>P229/P228</f>
        <v>1.5034590418125902</v>
      </c>
    </row>
    <row r="230" spans="1:17">
      <c r="A230" s="318"/>
      <c r="B230" s="318"/>
      <c r="C230" s="33" t="s">
        <v>88</v>
      </c>
      <c r="D230" s="34">
        <v>285.68079099999977</v>
      </c>
      <c r="E230" s="34">
        <v>165.57093000000026</v>
      </c>
      <c r="F230" s="34">
        <v>126.88119299999966</v>
      </c>
      <c r="G230" s="34">
        <v>148.8118480000002</v>
      </c>
      <c r="H230" s="34">
        <v>283.72469399999989</v>
      </c>
      <c r="I230" s="34">
        <v>380.29072799999983</v>
      </c>
      <c r="J230" s="34">
        <v>317.16747800000007</v>
      </c>
      <c r="K230" s="34">
        <v>338.76172900000012</v>
      </c>
      <c r="L230" s="34">
        <v>377.25949099999997</v>
      </c>
      <c r="M230" s="34">
        <v>381.34746600000022</v>
      </c>
      <c r="N230" s="34">
        <v>385.16836199999977</v>
      </c>
      <c r="O230" s="34">
        <v>383.39830400000011</v>
      </c>
      <c r="P230" s="35">
        <v>3574.0630139999998</v>
      </c>
    </row>
    <row r="231" spans="1:17">
      <c r="A231" s="319"/>
      <c r="B231" s="319"/>
      <c r="C231" s="36" t="s">
        <v>91</v>
      </c>
      <c r="D231" s="37">
        <v>97.59</v>
      </c>
      <c r="E231" s="37">
        <v>78.05</v>
      </c>
      <c r="F231" s="37">
        <v>90.03</v>
      </c>
      <c r="G231" s="37">
        <v>97.59</v>
      </c>
      <c r="H231" s="37">
        <v>132.63999999999999</v>
      </c>
      <c r="I231" s="37">
        <v>239.67</v>
      </c>
      <c r="J231" s="37">
        <v>180.82</v>
      </c>
      <c r="K231" s="37">
        <v>188.59</v>
      </c>
      <c r="L231" s="37">
        <v>238.17999999999998</v>
      </c>
      <c r="M231" s="37">
        <v>285.14</v>
      </c>
      <c r="N231" s="37">
        <v>230.26</v>
      </c>
      <c r="O231" s="37">
        <v>172.07</v>
      </c>
      <c r="P231" s="38">
        <v>2030.6299999999997</v>
      </c>
    </row>
    <row r="232" spans="1:17">
      <c r="A232" s="326" t="s">
        <v>112</v>
      </c>
      <c r="B232" s="326" t="s">
        <v>80</v>
      </c>
      <c r="C232" s="41" t="s">
        <v>81</v>
      </c>
      <c r="D232" s="42">
        <v>22</v>
      </c>
      <c r="E232" s="42">
        <v>18</v>
      </c>
      <c r="F232" s="42">
        <v>23</v>
      </c>
      <c r="G232" s="42">
        <v>21</v>
      </c>
      <c r="H232" s="42">
        <v>21</v>
      </c>
      <c r="I232" s="42">
        <v>18</v>
      </c>
      <c r="J232" s="42">
        <v>22</v>
      </c>
      <c r="K232" s="42">
        <v>26</v>
      </c>
      <c r="L232" s="42">
        <v>33</v>
      </c>
      <c r="M232" s="42">
        <v>32</v>
      </c>
      <c r="N232" s="42">
        <v>23</v>
      </c>
      <c r="O232" s="42">
        <v>22</v>
      </c>
      <c r="P232" s="43">
        <v>281</v>
      </c>
    </row>
    <row r="233" spans="1:17">
      <c r="A233" s="326"/>
      <c r="B233" s="326"/>
      <c r="C233" s="41" t="s">
        <v>84</v>
      </c>
      <c r="D233" s="42">
        <v>29.766293000000065</v>
      </c>
      <c r="E233" s="42">
        <v>25.200817000000271</v>
      </c>
      <c r="F233" s="42">
        <v>30.107095999999903</v>
      </c>
      <c r="G233" s="42">
        <v>24.195173</v>
      </c>
      <c r="H233" s="42">
        <v>15.153889999999665</v>
      </c>
      <c r="I233" s="42">
        <v>20.327558000000217</v>
      </c>
      <c r="J233" s="42">
        <v>30.515135000000242</v>
      </c>
      <c r="K233" s="42">
        <v>39.907780000000031</v>
      </c>
      <c r="L233" s="42">
        <v>53.387756999999745</v>
      </c>
      <c r="M233" s="42">
        <v>57.173652000000239</v>
      </c>
      <c r="N233" s="42">
        <v>24.243526999999769</v>
      </c>
      <c r="O233" s="42">
        <v>27.942357999999999</v>
      </c>
      <c r="P233" s="43">
        <v>377.92103600000013</v>
      </c>
    </row>
    <row r="234" spans="1:17">
      <c r="A234" s="326"/>
      <c r="B234" s="326"/>
      <c r="C234" s="41" t="s">
        <v>88</v>
      </c>
      <c r="D234" s="42">
        <v>29.599117999999844</v>
      </c>
      <c r="E234" s="42">
        <v>25.058072000000074</v>
      </c>
      <c r="F234" s="42">
        <v>29.938972000000039</v>
      </c>
      <c r="G234" s="42">
        <v>24.061218999999809</v>
      </c>
      <c r="H234" s="42">
        <v>15.07700800000009</v>
      </c>
      <c r="I234" s="42">
        <v>20.210945999999886</v>
      </c>
      <c r="J234" s="42">
        <v>30.360640000000185</v>
      </c>
      <c r="K234" s="42">
        <v>39.70363899999996</v>
      </c>
      <c r="L234" s="42">
        <v>53.117994999999908</v>
      </c>
      <c r="M234" s="42">
        <v>56.879205000000077</v>
      </c>
      <c r="N234" s="42">
        <v>24.123730000000005</v>
      </c>
      <c r="O234" s="42">
        <v>27.808313999999999</v>
      </c>
      <c r="P234" s="43">
        <v>375.93885799999987</v>
      </c>
    </row>
    <row r="235" spans="1:17">
      <c r="A235" s="326"/>
      <c r="B235" s="327"/>
      <c r="C235" s="64" t="s">
        <v>91</v>
      </c>
      <c r="D235" s="68">
        <v>17.14</v>
      </c>
      <c r="E235" s="68">
        <v>14.18</v>
      </c>
      <c r="F235" s="68">
        <v>18.32</v>
      </c>
      <c r="G235" s="68">
        <v>16.510000000000002</v>
      </c>
      <c r="H235" s="68">
        <v>16.420000000000002</v>
      </c>
      <c r="I235" s="68">
        <v>14.36</v>
      </c>
      <c r="J235" s="68">
        <v>17.63</v>
      </c>
      <c r="K235" s="68">
        <v>20.49</v>
      </c>
      <c r="L235" s="68">
        <v>26.49</v>
      </c>
      <c r="M235" s="68">
        <v>25.43</v>
      </c>
      <c r="N235" s="68">
        <v>17.91</v>
      </c>
      <c r="O235" s="68">
        <v>17.809999999999999</v>
      </c>
      <c r="P235" s="66">
        <v>222.69000000000003</v>
      </c>
    </row>
    <row r="236" spans="1:17">
      <c r="A236" s="326"/>
      <c r="B236" s="328" t="s">
        <v>86</v>
      </c>
      <c r="C236" s="60" t="s">
        <v>81</v>
      </c>
      <c r="D236" s="67">
        <v>68</v>
      </c>
      <c r="E236" s="67">
        <v>46</v>
      </c>
      <c r="F236" s="67">
        <v>45</v>
      </c>
      <c r="G236" s="67">
        <v>48</v>
      </c>
      <c r="H236" s="67">
        <v>61</v>
      </c>
      <c r="I236" s="67">
        <v>80</v>
      </c>
      <c r="J236" s="67">
        <v>111</v>
      </c>
      <c r="K236" s="67">
        <v>116</v>
      </c>
      <c r="L236" s="67">
        <v>144</v>
      </c>
      <c r="M236" s="67">
        <v>183</v>
      </c>
      <c r="N236" s="67">
        <v>146</v>
      </c>
      <c r="O236" s="67">
        <v>111</v>
      </c>
      <c r="P236" s="62">
        <v>1159</v>
      </c>
    </row>
    <row r="237" spans="1:17">
      <c r="A237" s="326"/>
      <c r="B237" s="326"/>
      <c r="C237" s="41" t="s">
        <v>84</v>
      </c>
      <c r="D237" s="42">
        <v>125.761033</v>
      </c>
      <c r="E237" s="42">
        <v>63.206232999999536</v>
      </c>
      <c r="F237" s="42">
        <v>66.400333000000572</v>
      </c>
      <c r="G237" s="42">
        <v>59.581732999999538</v>
      </c>
      <c r="H237" s="42">
        <v>57.857050999999977</v>
      </c>
      <c r="I237" s="42">
        <v>71.134424000000777</v>
      </c>
      <c r="J237" s="42">
        <v>118.96295500000008</v>
      </c>
      <c r="K237" s="42">
        <v>141.01818399999897</v>
      </c>
      <c r="L237" s="42">
        <v>164.50247300000024</v>
      </c>
      <c r="M237" s="42">
        <v>147.82510400000001</v>
      </c>
      <c r="N237" s="42">
        <v>88.371788999999879</v>
      </c>
      <c r="O237" s="42">
        <v>114.598782</v>
      </c>
      <c r="P237" s="43">
        <v>1219.2200939999996</v>
      </c>
    </row>
    <row r="238" spans="1:17">
      <c r="A238" s="326"/>
      <c r="B238" s="326"/>
      <c r="C238" s="41" t="s">
        <v>88</v>
      </c>
      <c r="D238" s="42">
        <v>125.46058000000018</v>
      </c>
      <c r="E238" s="42">
        <v>63.059541999999809</v>
      </c>
      <c r="F238" s="42">
        <v>66.327054000000146</v>
      </c>
      <c r="G238" s="42">
        <v>59.38183400000009</v>
      </c>
      <c r="H238" s="42">
        <v>57.599085999999893</v>
      </c>
      <c r="I238" s="42">
        <v>70.931368000000035</v>
      </c>
      <c r="J238" s="42">
        <v>118.76974599999991</v>
      </c>
      <c r="K238" s="42">
        <v>140.88043000000025</v>
      </c>
      <c r="L238" s="42">
        <v>164.34848399999973</v>
      </c>
      <c r="M238" s="42">
        <v>147.6408340000001</v>
      </c>
      <c r="N238" s="42">
        <v>88.240303999999796</v>
      </c>
      <c r="O238" s="42">
        <v>114.49467</v>
      </c>
      <c r="P238" s="43">
        <v>1217.133932</v>
      </c>
    </row>
    <row r="239" spans="1:17">
      <c r="A239" s="326"/>
      <c r="B239" s="327"/>
      <c r="C239" s="64" t="s">
        <v>91</v>
      </c>
      <c r="D239" s="68">
        <v>53.76</v>
      </c>
      <c r="E239" s="68">
        <v>36.5</v>
      </c>
      <c r="F239" s="68">
        <v>35.840000000000003</v>
      </c>
      <c r="G239" s="68">
        <v>38.25</v>
      </c>
      <c r="H239" s="68">
        <v>48.56</v>
      </c>
      <c r="I239" s="68">
        <v>63.19</v>
      </c>
      <c r="J239" s="68">
        <v>87.8</v>
      </c>
      <c r="K239" s="68">
        <v>92.1</v>
      </c>
      <c r="L239" s="68">
        <v>114.57</v>
      </c>
      <c r="M239" s="68">
        <v>145</v>
      </c>
      <c r="N239" s="68">
        <v>116.07</v>
      </c>
      <c r="O239" s="68">
        <v>88.12</v>
      </c>
      <c r="P239" s="66">
        <v>919.75999999999988</v>
      </c>
    </row>
    <row r="240" spans="1:17">
      <c r="A240" s="326"/>
      <c r="B240" s="328" t="s">
        <v>87</v>
      </c>
      <c r="C240" s="60" t="s">
        <v>81</v>
      </c>
      <c r="D240" s="67">
        <v>50</v>
      </c>
      <c r="E240" s="67">
        <v>34</v>
      </c>
      <c r="F240" s="67">
        <v>41</v>
      </c>
      <c r="G240" s="67">
        <v>41</v>
      </c>
      <c r="H240" s="67">
        <v>55</v>
      </c>
      <c r="I240" s="67">
        <v>74</v>
      </c>
      <c r="J240" s="67">
        <v>100</v>
      </c>
      <c r="K240" s="67">
        <v>101</v>
      </c>
      <c r="L240" s="67">
        <v>128</v>
      </c>
      <c r="M240" s="67">
        <v>153</v>
      </c>
      <c r="N240" s="67">
        <v>108</v>
      </c>
      <c r="O240" s="67">
        <v>77</v>
      </c>
      <c r="P240" s="62">
        <v>962</v>
      </c>
    </row>
    <row r="241" spans="1:17">
      <c r="A241" s="326"/>
      <c r="B241" s="326"/>
      <c r="C241" s="41" t="s">
        <v>84</v>
      </c>
      <c r="D241" s="42">
        <v>84.546728999999814</v>
      </c>
      <c r="E241" s="42">
        <v>51.033550999999974</v>
      </c>
      <c r="F241" s="42">
        <v>46.668175000000282</v>
      </c>
      <c r="G241" s="42">
        <v>40.693681999999569</v>
      </c>
      <c r="H241" s="42">
        <v>41.664416000000202</v>
      </c>
      <c r="I241" s="42">
        <v>62.748268000000088</v>
      </c>
      <c r="J241" s="42">
        <v>93.599611000000024</v>
      </c>
      <c r="K241" s="42">
        <v>113.87151199999987</v>
      </c>
      <c r="L241" s="42">
        <v>131.2371159999997</v>
      </c>
      <c r="M241" s="42">
        <v>110.50994200000027</v>
      </c>
      <c r="N241" s="42">
        <v>56.484308999999655</v>
      </c>
      <c r="O241" s="42">
        <v>83.636537000000004</v>
      </c>
      <c r="P241" s="43">
        <v>916.69384799999932</v>
      </c>
    </row>
    <row r="242" spans="1:17">
      <c r="A242" s="326"/>
      <c r="B242" s="326"/>
      <c r="C242" s="41" t="s">
        <v>88</v>
      </c>
      <c r="D242" s="42">
        <v>83.814540999999892</v>
      </c>
      <c r="E242" s="42">
        <v>50.647440999999759</v>
      </c>
      <c r="F242" s="42">
        <v>46.305475000000087</v>
      </c>
      <c r="G242" s="42">
        <v>40.368131999999868</v>
      </c>
      <c r="H242" s="42">
        <v>41.366545000000357</v>
      </c>
      <c r="I242" s="42">
        <v>62.253980999999932</v>
      </c>
      <c r="J242" s="42">
        <v>92.870531999999997</v>
      </c>
      <c r="K242" s="42">
        <v>112.97784400000003</v>
      </c>
      <c r="L242" s="42">
        <v>130.19796699999944</v>
      </c>
      <c r="M242" s="42">
        <v>109.63501400000033</v>
      </c>
      <c r="N242" s="42">
        <v>56.031145999999687</v>
      </c>
      <c r="O242" s="42">
        <v>82.956029999999998</v>
      </c>
      <c r="P242" s="43">
        <v>909.42464799999948</v>
      </c>
    </row>
    <row r="243" spans="1:17">
      <c r="A243" s="326"/>
      <c r="B243" s="327"/>
      <c r="C243" s="64" t="s">
        <v>91</v>
      </c>
      <c r="D243" s="68">
        <v>39.31</v>
      </c>
      <c r="E243" s="68">
        <v>27.13</v>
      </c>
      <c r="F243" s="68">
        <v>32.44</v>
      </c>
      <c r="G243" s="68">
        <v>32.409999999999997</v>
      </c>
      <c r="H243" s="68">
        <v>43.37</v>
      </c>
      <c r="I243" s="68">
        <v>58.97</v>
      </c>
      <c r="J243" s="68">
        <v>78.930000000000007</v>
      </c>
      <c r="K243" s="68">
        <v>79.91</v>
      </c>
      <c r="L243" s="68">
        <v>101.45</v>
      </c>
      <c r="M243" s="68">
        <v>121.54</v>
      </c>
      <c r="N243" s="68">
        <v>85.53</v>
      </c>
      <c r="O243" s="68">
        <v>61.33</v>
      </c>
      <c r="P243" s="66">
        <v>762.32</v>
      </c>
    </row>
    <row r="244" spans="1:17">
      <c r="A244" s="326"/>
      <c r="B244" s="328" t="s">
        <v>92</v>
      </c>
      <c r="C244" s="60" t="s">
        <v>81</v>
      </c>
      <c r="D244" s="67">
        <v>140</v>
      </c>
      <c r="E244" s="67">
        <v>98</v>
      </c>
      <c r="F244" s="67">
        <v>109</v>
      </c>
      <c r="G244" s="67">
        <v>110</v>
      </c>
      <c r="H244" s="67">
        <v>137</v>
      </c>
      <c r="I244" s="67">
        <v>172</v>
      </c>
      <c r="J244" s="67">
        <v>233</v>
      </c>
      <c r="K244" s="67">
        <v>243</v>
      </c>
      <c r="L244" s="67">
        <v>305</v>
      </c>
      <c r="M244" s="67">
        <v>368</v>
      </c>
      <c r="N244" s="67">
        <v>277</v>
      </c>
      <c r="O244" s="67">
        <v>210</v>
      </c>
      <c r="P244" s="62">
        <v>2402</v>
      </c>
    </row>
    <row r="245" spans="1:17">
      <c r="A245" s="326"/>
      <c r="B245" s="326"/>
      <c r="C245" s="41" t="s">
        <v>84</v>
      </c>
      <c r="D245" s="42">
        <v>240.07405499999987</v>
      </c>
      <c r="E245" s="42">
        <v>139.44060099999979</v>
      </c>
      <c r="F245" s="42">
        <v>143.17560400000076</v>
      </c>
      <c r="G245" s="42">
        <v>124.47058799999911</v>
      </c>
      <c r="H245" s="42">
        <v>114.67535699999985</v>
      </c>
      <c r="I245" s="42">
        <v>154.21025000000108</v>
      </c>
      <c r="J245" s="42">
        <v>243.07770100000033</v>
      </c>
      <c r="K245" s="42">
        <v>294.79747599999888</v>
      </c>
      <c r="L245" s="42">
        <v>349.12734599999965</v>
      </c>
      <c r="M245" s="42">
        <v>315.50869800000049</v>
      </c>
      <c r="N245" s="42">
        <v>169.09962499999932</v>
      </c>
      <c r="O245" s="42">
        <v>226.17767699999999</v>
      </c>
      <c r="P245" s="43">
        <v>2513.8349779999994</v>
      </c>
      <c r="Q245" s="112">
        <f>P245/P244</f>
        <v>1.0465591082431305</v>
      </c>
    </row>
    <row r="246" spans="1:17">
      <c r="A246" s="326"/>
      <c r="B246" s="326"/>
      <c r="C246" s="41" t="s">
        <v>88</v>
      </c>
      <c r="D246" s="42">
        <v>238.87423899999993</v>
      </c>
      <c r="E246" s="42">
        <v>138.76505499999965</v>
      </c>
      <c r="F246" s="42">
        <v>142.57150100000027</v>
      </c>
      <c r="G246" s="42">
        <v>123.81118499999977</v>
      </c>
      <c r="H246" s="42">
        <v>114.04263900000034</v>
      </c>
      <c r="I246" s="42">
        <v>153.39629499999984</v>
      </c>
      <c r="J246" s="42">
        <v>242.0009180000001</v>
      </c>
      <c r="K246" s="42">
        <v>293.56191300000023</v>
      </c>
      <c r="L246" s="42">
        <v>347.66444599999909</v>
      </c>
      <c r="M246" s="42">
        <v>314.15505300000052</v>
      </c>
      <c r="N246" s="42">
        <v>168.3951799999995</v>
      </c>
      <c r="O246" s="42">
        <v>225.25901400000001</v>
      </c>
      <c r="P246" s="43">
        <v>2502.4974379999994</v>
      </c>
    </row>
    <row r="247" spans="1:17">
      <c r="A247" s="326"/>
      <c r="B247" s="327"/>
      <c r="C247" s="64" t="s">
        <v>91</v>
      </c>
      <c r="D247" s="68">
        <v>110.21000000000001</v>
      </c>
      <c r="E247" s="68">
        <v>77.81</v>
      </c>
      <c r="F247" s="68">
        <v>86.6</v>
      </c>
      <c r="G247" s="68">
        <v>87.17</v>
      </c>
      <c r="H247" s="68">
        <v>108.35</v>
      </c>
      <c r="I247" s="68">
        <v>136.51999999999998</v>
      </c>
      <c r="J247" s="68">
        <v>184.36</v>
      </c>
      <c r="K247" s="68">
        <v>192.5</v>
      </c>
      <c r="L247" s="68">
        <v>242.51</v>
      </c>
      <c r="M247" s="68">
        <v>291.97000000000003</v>
      </c>
      <c r="N247" s="68">
        <v>219.51</v>
      </c>
      <c r="O247" s="68">
        <v>167.26</v>
      </c>
      <c r="P247" s="66">
        <v>1904.77</v>
      </c>
    </row>
    <row r="248" spans="1:17">
      <c r="A248" s="317" t="s">
        <v>113</v>
      </c>
      <c r="B248" s="318" t="s">
        <v>80</v>
      </c>
      <c r="C248" s="33" t="s">
        <v>81</v>
      </c>
      <c r="D248" s="34">
        <v>19.8</v>
      </c>
      <c r="E248" s="34">
        <v>15.3</v>
      </c>
      <c r="F248" s="34">
        <v>20</v>
      </c>
      <c r="G248" s="34">
        <v>16.899999999999999</v>
      </c>
      <c r="H248" s="34">
        <v>16.600000000000001</v>
      </c>
      <c r="I248" s="34">
        <v>17.8</v>
      </c>
      <c r="J248" s="34">
        <v>19.7</v>
      </c>
      <c r="K248" s="34">
        <v>26.7</v>
      </c>
      <c r="L248" s="34">
        <v>33.799999999999997</v>
      </c>
      <c r="M248" s="34">
        <v>33</v>
      </c>
      <c r="N248" s="34">
        <v>25.9</v>
      </c>
      <c r="O248" s="34">
        <v>22.6</v>
      </c>
      <c r="P248" s="35">
        <v>268.09999999999997</v>
      </c>
    </row>
    <row r="249" spans="1:17">
      <c r="A249" s="318"/>
      <c r="B249" s="318"/>
      <c r="C249" s="33" t="s">
        <v>84</v>
      </c>
      <c r="D249" s="34">
        <v>22.552581999999937</v>
      </c>
      <c r="E249" s="34">
        <v>20.843499000000065</v>
      </c>
      <c r="F249" s="34">
        <v>29.454128999999956</v>
      </c>
      <c r="G249" s="34">
        <v>20.305261000000172</v>
      </c>
      <c r="H249" s="34">
        <v>13.686037000000011</v>
      </c>
      <c r="I249" s="34">
        <v>10.809938999999796</v>
      </c>
      <c r="J249" s="34">
        <v>12.072376000000164</v>
      </c>
      <c r="K249" s="34">
        <v>35.882240999999922</v>
      </c>
      <c r="L249" s="34">
        <v>30.512249000000068</v>
      </c>
      <c r="M249" s="34">
        <v>41.633333999999998</v>
      </c>
      <c r="N249" s="34">
        <v>47.532623000000001</v>
      </c>
      <c r="O249" s="34">
        <v>24.291547999999953</v>
      </c>
      <c r="P249" s="35">
        <v>309.57581800000008</v>
      </c>
    </row>
    <row r="250" spans="1:17">
      <c r="A250" s="318"/>
      <c r="B250" s="318"/>
      <c r="C250" s="33" t="s">
        <v>88</v>
      </c>
      <c r="D250" s="34">
        <v>22.44931199999996</v>
      </c>
      <c r="E250" s="34">
        <v>20.747536999999994</v>
      </c>
      <c r="F250" s="34">
        <v>29.316477000000006</v>
      </c>
      <c r="G250" s="34">
        <v>20.194211000000077</v>
      </c>
      <c r="H250" s="34">
        <v>13.614900999999993</v>
      </c>
      <c r="I250" s="34">
        <v>10.756750999999907</v>
      </c>
      <c r="J250" s="34">
        <v>12.015715000000109</v>
      </c>
      <c r="K250" s="34">
        <v>35.716802999999977</v>
      </c>
      <c r="L250" s="34">
        <v>30.375357999999991</v>
      </c>
      <c r="M250" s="34">
        <v>41.437693999999887</v>
      </c>
      <c r="N250" s="34">
        <v>47.312656000000032</v>
      </c>
      <c r="O250" s="34">
        <v>24.181008000000052</v>
      </c>
      <c r="P250" s="35">
        <v>308.11842300000001</v>
      </c>
    </row>
    <row r="251" spans="1:17">
      <c r="A251" s="318"/>
      <c r="B251" s="319"/>
      <c r="C251" s="36" t="s">
        <v>91</v>
      </c>
      <c r="D251" s="37">
        <v>15.77</v>
      </c>
      <c r="E251" s="37">
        <v>12.2</v>
      </c>
      <c r="F251" s="37">
        <v>15.92</v>
      </c>
      <c r="G251" s="37">
        <v>13.44</v>
      </c>
      <c r="H251" s="37">
        <v>13.23</v>
      </c>
      <c r="I251" s="37">
        <v>14.16</v>
      </c>
      <c r="J251" s="37">
        <v>11.2</v>
      </c>
      <c r="K251" s="37">
        <v>21.21</v>
      </c>
      <c r="L251" s="37">
        <v>26.87</v>
      </c>
      <c r="M251" s="37">
        <v>26.26</v>
      </c>
      <c r="N251" s="37">
        <v>20.59</v>
      </c>
      <c r="O251" s="37">
        <v>18</v>
      </c>
      <c r="P251" s="38">
        <v>208.85</v>
      </c>
    </row>
    <row r="252" spans="1:17">
      <c r="A252" s="318"/>
      <c r="B252" s="317" t="s">
        <v>86</v>
      </c>
      <c r="C252" s="51" t="s">
        <v>81</v>
      </c>
      <c r="D252" s="70">
        <v>62.4</v>
      </c>
      <c r="E252" s="70">
        <v>37.9</v>
      </c>
      <c r="F252" s="70">
        <v>48.4</v>
      </c>
      <c r="G252" s="70">
        <v>43.3</v>
      </c>
      <c r="H252" s="70">
        <v>52.5</v>
      </c>
      <c r="I252" s="70">
        <v>75.5</v>
      </c>
      <c r="J252" s="70">
        <v>101.2</v>
      </c>
      <c r="K252" s="70">
        <v>112.9</v>
      </c>
      <c r="L252" s="70">
        <v>147.9</v>
      </c>
      <c r="M252" s="70">
        <v>174.7</v>
      </c>
      <c r="N252" s="70">
        <v>149.69999999999999</v>
      </c>
      <c r="O252" s="70">
        <v>111.3</v>
      </c>
      <c r="P252" s="53">
        <v>1117.7</v>
      </c>
    </row>
    <row r="253" spans="1:17">
      <c r="A253" s="318"/>
      <c r="B253" s="318"/>
      <c r="C253" s="33" t="s">
        <v>84</v>
      </c>
      <c r="D253" s="34">
        <v>126.22684200000018</v>
      </c>
      <c r="E253" s="34">
        <v>48.35960799999954</v>
      </c>
      <c r="F253" s="34">
        <v>60.347191000000066</v>
      </c>
      <c r="G253" s="34">
        <v>47.448669000000223</v>
      </c>
      <c r="H253" s="34">
        <v>52.397391999999975</v>
      </c>
      <c r="I253" s="34">
        <v>60.510794999999924</v>
      </c>
      <c r="J253" s="34">
        <v>56.785311999999919</v>
      </c>
      <c r="K253" s="34">
        <v>151.60729500000039</v>
      </c>
      <c r="L253" s="34">
        <v>179.00042699999923</v>
      </c>
      <c r="M253" s="34">
        <v>139.15062599999999</v>
      </c>
      <c r="N253" s="34">
        <v>176.23853199999999</v>
      </c>
      <c r="O253" s="34">
        <v>85.396231000000611</v>
      </c>
      <c r="P253" s="35">
        <v>1183.46892</v>
      </c>
    </row>
    <row r="254" spans="1:17">
      <c r="A254" s="318"/>
      <c r="B254" s="318"/>
      <c r="C254" s="33" t="s">
        <v>88</v>
      </c>
      <c r="D254" s="34">
        <v>126.19469399999994</v>
      </c>
      <c r="E254" s="34">
        <v>48.291868000000015</v>
      </c>
      <c r="F254" s="34">
        <v>60.292174000000031</v>
      </c>
      <c r="G254" s="34">
        <v>47.322077999999919</v>
      </c>
      <c r="H254" s="34">
        <v>52.081183999999951</v>
      </c>
      <c r="I254" s="34">
        <v>60.459753000000049</v>
      </c>
      <c r="J254" s="34">
        <v>56.706180000000074</v>
      </c>
      <c r="K254" s="34">
        <v>151.54189599999984</v>
      </c>
      <c r="L254" s="34">
        <v>178.87876199999988</v>
      </c>
      <c r="M254" s="34">
        <v>139.09482600000024</v>
      </c>
      <c r="N254" s="34">
        <v>176.08251799999996</v>
      </c>
      <c r="O254" s="34">
        <v>85.333843999999914</v>
      </c>
      <c r="P254" s="35">
        <v>1182.2797769999997</v>
      </c>
    </row>
    <row r="255" spans="1:17">
      <c r="A255" s="318"/>
      <c r="B255" s="319"/>
      <c r="C255" s="36" t="s">
        <v>91</v>
      </c>
      <c r="D255" s="37">
        <v>49.53</v>
      </c>
      <c r="E255" s="37">
        <v>30.04</v>
      </c>
      <c r="F255" s="37">
        <v>38.43</v>
      </c>
      <c r="G255" s="37">
        <v>34.380000000000003</v>
      </c>
      <c r="H255" s="37">
        <v>41.63</v>
      </c>
      <c r="I255" s="37">
        <v>59.91</v>
      </c>
      <c r="J255" s="37">
        <v>37.36</v>
      </c>
      <c r="K255" s="37">
        <v>89.58</v>
      </c>
      <c r="L255" s="37">
        <v>117.34</v>
      </c>
      <c r="M255" s="37">
        <v>138.65</v>
      </c>
      <c r="N255" s="37">
        <v>118.82</v>
      </c>
      <c r="O255" s="37">
        <v>88.33</v>
      </c>
      <c r="P255" s="38">
        <v>843.99999999999989</v>
      </c>
    </row>
    <row r="256" spans="1:17">
      <c r="A256" s="318"/>
      <c r="B256" s="317" t="s">
        <v>87</v>
      </c>
      <c r="C256" s="51" t="s">
        <v>81</v>
      </c>
      <c r="D256" s="70">
        <v>49</v>
      </c>
      <c r="E256" s="70">
        <v>31.2</v>
      </c>
      <c r="F256" s="70">
        <v>38.6</v>
      </c>
      <c r="G256" s="70">
        <v>39.4</v>
      </c>
      <c r="H256" s="70">
        <v>48.9</v>
      </c>
      <c r="I256" s="70">
        <v>71.900000000000006</v>
      </c>
      <c r="J256" s="70">
        <v>93.4</v>
      </c>
      <c r="K256" s="70">
        <v>98.1</v>
      </c>
      <c r="L256" s="70">
        <v>131.6</v>
      </c>
      <c r="M256" s="70">
        <v>147.5</v>
      </c>
      <c r="N256" s="70">
        <v>109.6</v>
      </c>
      <c r="O256" s="70">
        <v>78.8</v>
      </c>
      <c r="P256" s="53">
        <v>938</v>
      </c>
    </row>
    <row r="257" spans="1:17">
      <c r="A257" s="318"/>
      <c r="B257" s="318"/>
      <c r="C257" s="33" t="s">
        <v>84</v>
      </c>
      <c r="D257" s="34">
        <v>91.580513000000266</v>
      </c>
      <c r="E257" s="34">
        <v>37.416697999999862</v>
      </c>
      <c r="F257" s="34">
        <v>43.255247999999902</v>
      </c>
      <c r="G257" s="34">
        <v>33.997204000000139</v>
      </c>
      <c r="H257" s="34">
        <v>39.573388000000037</v>
      </c>
      <c r="I257" s="34">
        <v>49.43702899999964</v>
      </c>
      <c r="J257" s="34">
        <v>43.086667000000133</v>
      </c>
      <c r="K257" s="34">
        <v>123.83850699999998</v>
      </c>
      <c r="L257" s="34">
        <v>139.80565200000024</v>
      </c>
      <c r="M257" s="34">
        <v>110.986784</v>
      </c>
      <c r="N257" s="34">
        <v>138.42449400000001</v>
      </c>
      <c r="O257" s="34">
        <v>63.395966000000016</v>
      </c>
      <c r="P257" s="35">
        <v>914.79815000000019</v>
      </c>
    </row>
    <row r="258" spans="1:17">
      <c r="A258" s="318"/>
      <c r="B258" s="318"/>
      <c r="C258" s="33" t="s">
        <v>88</v>
      </c>
      <c r="D258" s="34">
        <v>90.83088100000019</v>
      </c>
      <c r="E258" s="34">
        <v>37.111138999999731</v>
      </c>
      <c r="F258" s="34">
        <v>42.894795000000045</v>
      </c>
      <c r="G258" s="34">
        <v>33.724837999999984</v>
      </c>
      <c r="H258" s="34">
        <v>39.259093000000085</v>
      </c>
      <c r="I258" s="34">
        <v>49.048077000000191</v>
      </c>
      <c r="J258" s="34">
        <v>42.754127999999987</v>
      </c>
      <c r="K258" s="34">
        <v>122.84311499999994</v>
      </c>
      <c r="L258" s="34">
        <v>138.68362500000009</v>
      </c>
      <c r="M258" s="34">
        <v>110.10046799999994</v>
      </c>
      <c r="N258" s="34">
        <v>137.33190999999999</v>
      </c>
      <c r="O258" s="34">
        <v>62.893541999999989</v>
      </c>
      <c r="P258" s="35">
        <v>907.4756110000003</v>
      </c>
    </row>
    <row r="259" spans="1:17">
      <c r="A259" s="318"/>
      <c r="B259" s="319"/>
      <c r="C259" s="36" t="s">
        <v>91</v>
      </c>
      <c r="D259" s="37">
        <v>38.880000000000003</v>
      </c>
      <c r="E259" s="37">
        <v>24.74</v>
      </c>
      <c r="F259" s="37">
        <v>30.57</v>
      </c>
      <c r="G259" s="37">
        <v>31.27</v>
      </c>
      <c r="H259" s="37">
        <v>38.770000000000003</v>
      </c>
      <c r="I259" s="37">
        <v>56.97</v>
      </c>
      <c r="J259" s="37">
        <v>49.85</v>
      </c>
      <c r="K259" s="37">
        <v>77.790000000000006</v>
      </c>
      <c r="L259" s="37">
        <v>104.3</v>
      </c>
      <c r="M259" s="37">
        <v>116.95</v>
      </c>
      <c r="N259" s="37">
        <v>86.92</v>
      </c>
      <c r="O259" s="37">
        <v>62.44</v>
      </c>
      <c r="P259" s="38">
        <v>719.45</v>
      </c>
    </row>
    <row r="260" spans="1:17">
      <c r="A260" s="318"/>
      <c r="B260" s="317" t="s">
        <v>92</v>
      </c>
      <c r="C260" s="51" t="s">
        <v>81</v>
      </c>
      <c r="D260" s="70">
        <v>131.19999999999999</v>
      </c>
      <c r="E260" s="70">
        <v>84.4</v>
      </c>
      <c r="F260" s="70">
        <v>107</v>
      </c>
      <c r="G260" s="70">
        <v>99.6</v>
      </c>
      <c r="H260" s="70">
        <v>118</v>
      </c>
      <c r="I260" s="70">
        <v>165.2</v>
      </c>
      <c r="J260" s="70">
        <v>214.3</v>
      </c>
      <c r="K260" s="70">
        <v>237.7</v>
      </c>
      <c r="L260" s="70">
        <v>313.29999999999995</v>
      </c>
      <c r="M260" s="70">
        <v>355.2</v>
      </c>
      <c r="N260" s="70">
        <v>285.2</v>
      </c>
      <c r="O260" s="70">
        <v>212.7</v>
      </c>
      <c r="P260" s="53">
        <v>2323.7999999999997</v>
      </c>
    </row>
    <row r="261" spans="1:17">
      <c r="A261" s="318"/>
      <c r="B261" s="318"/>
      <c r="C261" s="33" t="s">
        <v>84</v>
      </c>
      <c r="D261" s="34">
        <v>240.3599370000004</v>
      </c>
      <c r="E261" s="34">
        <v>106.61980499999947</v>
      </c>
      <c r="F261" s="34">
        <v>133.05656799999991</v>
      </c>
      <c r="G261" s="34">
        <v>101.75113400000053</v>
      </c>
      <c r="H261" s="34">
        <v>105.65681700000002</v>
      </c>
      <c r="I261" s="34">
        <v>120.75776299999936</v>
      </c>
      <c r="J261" s="34">
        <v>111.94435500000021</v>
      </c>
      <c r="K261" s="34">
        <v>311.32804300000032</v>
      </c>
      <c r="L261" s="34">
        <v>349.31832799999955</v>
      </c>
      <c r="M261" s="34">
        <v>291.77074399999998</v>
      </c>
      <c r="N261" s="34">
        <v>362.195649</v>
      </c>
      <c r="O261" s="34">
        <v>173.08374500000059</v>
      </c>
      <c r="P261" s="35">
        <v>2407.8428880000001</v>
      </c>
      <c r="Q261" s="112">
        <f>P261/P260</f>
        <v>1.0361661451071522</v>
      </c>
    </row>
    <row r="262" spans="1:17">
      <c r="A262" s="318"/>
      <c r="B262" s="318"/>
      <c r="C262" s="33" t="s">
        <v>88</v>
      </c>
      <c r="D262" s="34">
        <v>239.47488700000008</v>
      </c>
      <c r="E262" s="34">
        <v>106.15054399999974</v>
      </c>
      <c r="F262" s="34">
        <v>132.50344600000008</v>
      </c>
      <c r="G262" s="34">
        <v>101.24112699999998</v>
      </c>
      <c r="H262" s="34">
        <v>104.95517800000002</v>
      </c>
      <c r="I262" s="34">
        <v>120.26458100000015</v>
      </c>
      <c r="J262" s="34">
        <v>111.47602300000017</v>
      </c>
      <c r="K262" s="34">
        <v>310.10181399999976</v>
      </c>
      <c r="L262" s="34">
        <v>347.93774499999995</v>
      </c>
      <c r="M262" s="34">
        <v>290.63298800000007</v>
      </c>
      <c r="N262" s="34">
        <v>360.72708399999999</v>
      </c>
      <c r="O262" s="34">
        <v>172.40839399999996</v>
      </c>
      <c r="P262" s="35">
        <v>2397.8738109999999</v>
      </c>
    </row>
    <row r="263" spans="1:17">
      <c r="A263" s="319"/>
      <c r="B263" s="319"/>
      <c r="C263" s="36" t="s">
        <v>91</v>
      </c>
      <c r="D263" s="37">
        <v>104.18</v>
      </c>
      <c r="E263" s="37">
        <v>66.97999999999999</v>
      </c>
      <c r="F263" s="37">
        <v>84.92</v>
      </c>
      <c r="G263" s="37">
        <v>79.09</v>
      </c>
      <c r="H263" s="37">
        <v>93.63</v>
      </c>
      <c r="I263" s="37">
        <v>131.04</v>
      </c>
      <c r="J263" s="37">
        <v>98.41</v>
      </c>
      <c r="K263" s="37">
        <v>188.57999999999998</v>
      </c>
      <c r="L263" s="37">
        <v>248.51</v>
      </c>
      <c r="M263" s="37">
        <v>281.86</v>
      </c>
      <c r="N263" s="37">
        <v>226.32999999999998</v>
      </c>
      <c r="O263" s="37">
        <v>168.76999999999998</v>
      </c>
      <c r="P263" s="38">
        <v>1772.2999999999997</v>
      </c>
    </row>
    <row r="264" spans="1:17">
      <c r="A264" s="326" t="s">
        <v>114</v>
      </c>
      <c r="B264" s="326" t="s">
        <v>80</v>
      </c>
      <c r="C264" s="41" t="s">
        <v>81</v>
      </c>
      <c r="D264" s="42">
        <v>19.739999999999998</v>
      </c>
      <c r="E264" s="42">
        <v>21.53</v>
      </c>
      <c r="F264" s="42">
        <v>20.7</v>
      </c>
      <c r="G264" s="42">
        <v>20.34</v>
      </c>
      <c r="H264" s="42">
        <v>21.54</v>
      </c>
      <c r="I264" s="42">
        <v>19.27</v>
      </c>
      <c r="J264" s="42">
        <v>22.31</v>
      </c>
      <c r="K264" s="42">
        <v>25.77</v>
      </c>
      <c r="L264" s="42">
        <v>34.14</v>
      </c>
      <c r="M264" s="42">
        <v>35.92</v>
      </c>
      <c r="N264" s="42">
        <v>24.07</v>
      </c>
      <c r="O264" s="42">
        <v>23.51</v>
      </c>
      <c r="P264" s="43">
        <v>288.83999999999997</v>
      </c>
    </row>
    <row r="265" spans="1:17">
      <c r="A265" s="326"/>
      <c r="B265" s="326"/>
      <c r="C265" s="41" t="s">
        <v>84</v>
      </c>
      <c r="D265" s="42">
        <v>24.566246999999972</v>
      </c>
      <c r="E265" s="42">
        <v>22.680795000000156</v>
      </c>
      <c r="F265" s="42">
        <v>25.492474999999857</v>
      </c>
      <c r="G265" s="42">
        <v>14.732552000000142</v>
      </c>
      <c r="H265" s="42">
        <v>13.924613000000001</v>
      </c>
      <c r="I265" s="42">
        <v>10.573797000000253</v>
      </c>
      <c r="J265" s="42">
        <v>21.065653000000001</v>
      </c>
      <c r="K265" s="42">
        <v>36.94277800000016</v>
      </c>
      <c r="L265" s="42">
        <v>37.933302999999839</v>
      </c>
      <c r="M265" s="42">
        <v>22.716196000000231</v>
      </c>
      <c r="N265" s="42">
        <v>46.793722000000066</v>
      </c>
      <c r="O265" s="42">
        <v>43.477064999999939</v>
      </c>
      <c r="P265" s="43">
        <v>320.89919600000064</v>
      </c>
    </row>
    <row r="266" spans="1:17">
      <c r="A266" s="326"/>
      <c r="B266" s="326"/>
      <c r="C266" s="41" t="s">
        <v>88</v>
      </c>
      <c r="D266" s="42">
        <v>24.451522999999963</v>
      </c>
      <c r="E266" s="42">
        <v>22.578735000000059</v>
      </c>
      <c r="F266" s="42">
        <v>25.374582000000082</v>
      </c>
      <c r="G266" s="42">
        <v>14.668133999999949</v>
      </c>
      <c r="H266" s="42">
        <v>13.846767</v>
      </c>
      <c r="I266" s="42">
        <v>10.527525000000001</v>
      </c>
      <c r="J266" s="42">
        <v>20.980174000000002</v>
      </c>
      <c r="K266" s="42">
        <v>36.788937999999987</v>
      </c>
      <c r="L266" s="42">
        <v>37.782716999999998</v>
      </c>
      <c r="M266" s="42">
        <v>22.621005</v>
      </c>
      <c r="N266" s="42">
        <v>46.595068999999988</v>
      </c>
      <c r="O266" s="42">
        <v>43.301191999999993</v>
      </c>
      <c r="P266" s="43">
        <v>319.51636100000002</v>
      </c>
    </row>
    <row r="267" spans="1:17">
      <c r="A267" s="326"/>
      <c r="B267" s="327"/>
      <c r="C267" s="64" t="s">
        <v>91</v>
      </c>
      <c r="D267" s="68">
        <v>17.579999999999998</v>
      </c>
      <c r="E267" s="68">
        <v>19.170000000000002</v>
      </c>
      <c r="F267" s="68">
        <v>18.43</v>
      </c>
      <c r="G267" s="68">
        <v>18.11</v>
      </c>
      <c r="H267" s="68">
        <v>19.18</v>
      </c>
      <c r="I267" s="68">
        <v>17.16</v>
      </c>
      <c r="J267" s="68">
        <v>19.87</v>
      </c>
      <c r="K267" s="68">
        <v>22.95</v>
      </c>
      <c r="L267" s="68">
        <v>30.4</v>
      </c>
      <c r="M267" s="68">
        <v>31.99</v>
      </c>
      <c r="N267" s="68">
        <v>21.43</v>
      </c>
      <c r="O267" s="68">
        <v>20.94</v>
      </c>
      <c r="P267" s="66">
        <v>257.21000000000004</v>
      </c>
    </row>
    <row r="268" spans="1:17">
      <c r="A268" s="326"/>
      <c r="B268" s="328" t="s">
        <v>86</v>
      </c>
      <c r="C268" s="60" t="s">
        <v>81</v>
      </c>
      <c r="D268" s="67">
        <v>58.8</v>
      </c>
      <c r="E268" s="67">
        <v>47.76</v>
      </c>
      <c r="F268" s="67">
        <v>48.65</v>
      </c>
      <c r="G268" s="67">
        <v>47.77</v>
      </c>
      <c r="H268" s="67">
        <v>60.5</v>
      </c>
      <c r="I268" s="67">
        <v>80.099999999999994</v>
      </c>
      <c r="J268" s="67">
        <v>107.33</v>
      </c>
      <c r="K268" s="67">
        <v>109.78</v>
      </c>
      <c r="L268" s="67">
        <v>146.83000000000001</v>
      </c>
      <c r="M268" s="67">
        <v>181.45</v>
      </c>
      <c r="N268" s="67">
        <v>148.31</v>
      </c>
      <c r="O268" s="67">
        <v>113.95</v>
      </c>
      <c r="P268" s="62">
        <v>1151.23</v>
      </c>
    </row>
    <row r="269" spans="1:17">
      <c r="A269" s="326"/>
      <c r="B269" s="326"/>
      <c r="C269" s="41" t="s">
        <v>84</v>
      </c>
      <c r="D269" s="42">
        <v>52.160716999999245</v>
      </c>
      <c r="E269" s="42">
        <v>38.226069000001068</v>
      </c>
      <c r="F269" s="42">
        <v>44.340092999999413</v>
      </c>
      <c r="G269" s="42">
        <v>29.286831000001168</v>
      </c>
      <c r="H269" s="42">
        <v>28.976669999999999</v>
      </c>
      <c r="I269" s="42">
        <v>75.012167999999605</v>
      </c>
      <c r="J269" s="42">
        <v>99.726883000000001</v>
      </c>
      <c r="K269" s="42">
        <v>195.32551900000007</v>
      </c>
      <c r="L269" s="42">
        <v>179.58833199999947</v>
      </c>
      <c r="M269" s="42">
        <v>193.41799200000031</v>
      </c>
      <c r="N269" s="42">
        <v>189.00704200000013</v>
      </c>
      <c r="O269" s="42">
        <v>202.91342899999952</v>
      </c>
      <c r="P269" s="43">
        <v>1327.981745</v>
      </c>
    </row>
    <row r="270" spans="1:17">
      <c r="A270" s="326"/>
      <c r="B270" s="326"/>
      <c r="C270" s="41" t="s">
        <v>88</v>
      </c>
      <c r="D270" s="42">
        <v>52.084590000000205</v>
      </c>
      <c r="E270" s="42">
        <v>38.112569999999899</v>
      </c>
      <c r="F270" s="42">
        <v>44.27673199999996</v>
      </c>
      <c r="G270" s="42">
        <v>29.218346000000018</v>
      </c>
      <c r="H270" s="42">
        <v>28.894914</v>
      </c>
      <c r="I270" s="42">
        <v>74.843670000000003</v>
      </c>
      <c r="J270" s="42">
        <v>99.413461999999996</v>
      </c>
      <c r="K270" s="42">
        <v>194.74965199999977</v>
      </c>
      <c r="L270" s="42">
        <v>178.99318</v>
      </c>
      <c r="M270" s="42">
        <v>192.838776</v>
      </c>
      <c r="N270" s="42">
        <v>188.44367</v>
      </c>
      <c r="O270" s="42">
        <v>202.29536800000002</v>
      </c>
      <c r="P270" s="43">
        <v>1324.1649299999999</v>
      </c>
    </row>
    <row r="271" spans="1:17">
      <c r="A271" s="326"/>
      <c r="B271" s="327"/>
      <c r="C271" s="64" t="s">
        <v>91</v>
      </c>
      <c r="D271" s="68">
        <v>52.45</v>
      </c>
      <c r="E271" s="68">
        <v>42.61</v>
      </c>
      <c r="F271" s="68">
        <v>43.4</v>
      </c>
      <c r="G271" s="68">
        <v>42.62</v>
      </c>
      <c r="H271" s="68">
        <v>53.97</v>
      </c>
      <c r="I271" s="68">
        <v>71.459999999999994</v>
      </c>
      <c r="J271" s="68">
        <v>95.74</v>
      </c>
      <c r="K271" s="68">
        <v>97.93</v>
      </c>
      <c r="L271" s="68">
        <v>130.99</v>
      </c>
      <c r="M271" s="68">
        <v>161.87</v>
      </c>
      <c r="N271" s="68">
        <v>132.30000000000001</v>
      </c>
      <c r="O271" s="68">
        <v>101.66</v>
      </c>
      <c r="P271" s="66">
        <v>1027.0000000000002</v>
      </c>
    </row>
    <row r="272" spans="1:17">
      <c r="A272" s="326"/>
      <c r="B272" s="328" t="s">
        <v>87</v>
      </c>
      <c r="C272" s="60" t="s">
        <v>81</v>
      </c>
      <c r="D272" s="67">
        <v>46.38</v>
      </c>
      <c r="E272" s="67">
        <v>37.549999999999997</v>
      </c>
      <c r="F272" s="67">
        <v>38.53</v>
      </c>
      <c r="G272" s="67">
        <v>40.65</v>
      </c>
      <c r="H272" s="67">
        <v>53.97</v>
      </c>
      <c r="I272" s="67">
        <v>74.930000000000007</v>
      </c>
      <c r="J272" s="67">
        <v>97.52</v>
      </c>
      <c r="K272" s="67">
        <v>95.56</v>
      </c>
      <c r="L272" s="67">
        <v>130.77000000000001</v>
      </c>
      <c r="M272" s="67">
        <v>153.74</v>
      </c>
      <c r="N272" s="67">
        <v>107.74</v>
      </c>
      <c r="O272" s="67">
        <v>80.22</v>
      </c>
      <c r="P272" s="62">
        <v>957.56000000000006</v>
      </c>
    </row>
    <row r="273" spans="1:17">
      <c r="A273" s="326"/>
      <c r="B273" s="326"/>
      <c r="C273" s="41" t="s">
        <v>84</v>
      </c>
      <c r="D273" s="42">
        <v>41.345302000000139</v>
      </c>
      <c r="E273" s="42">
        <v>31.129697999999859</v>
      </c>
      <c r="F273" s="42">
        <v>32.180595999999902</v>
      </c>
      <c r="G273" s="42">
        <v>24.479286000000315</v>
      </c>
      <c r="H273" s="42">
        <v>21.331489000000001</v>
      </c>
      <c r="I273" s="42">
        <v>59.464098999999926</v>
      </c>
      <c r="J273" s="42">
        <v>88.018130999999997</v>
      </c>
      <c r="K273" s="42">
        <v>156.36365299999994</v>
      </c>
      <c r="L273" s="42">
        <v>144.26588499999977</v>
      </c>
      <c r="M273" s="42">
        <v>159.092885</v>
      </c>
      <c r="N273" s="42">
        <v>151.58334699999961</v>
      </c>
      <c r="O273" s="42">
        <v>154.71383700000078</v>
      </c>
      <c r="P273" s="43">
        <v>1063.9682080000002</v>
      </c>
    </row>
    <row r="274" spans="1:17">
      <c r="A274" s="326"/>
      <c r="B274" s="326"/>
      <c r="C274" s="41" t="s">
        <v>88</v>
      </c>
      <c r="D274" s="42">
        <v>41.037936999999964</v>
      </c>
      <c r="E274" s="42">
        <v>30.81943600000012</v>
      </c>
      <c r="F274" s="42">
        <v>31.896922999999997</v>
      </c>
      <c r="G274" s="42">
        <v>24.291260999999839</v>
      </c>
      <c r="H274" s="42">
        <v>21.184683</v>
      </c>
      <c r="I274" s="42">
        <v>59.005934000000003</v>
      </c>
      <c r="J274" s="42">
        <v>87.345901999999995</v>
      </c>
      <c r="K274" s="42">
        <v>155.12765299999987</v>
      </c>
      <c r="L274" s="42">
        <v>143.15406100000001</v>
      </c>
      <c r="M274" s="42">
        <v>157.82937699999999</v>
      </c>
      <c r="N274" s="42">
        <v>150.38010499999982</v>
      </c>
      <c r="O274" s="42">
        <v>153.47592800000018</v>
      </c>
      <c r="P274" s="43">
        <v>1055.5491999999999</v>
      </c>
    </row>
    <row r="275" spans="1:17">
      <c r="A275" s="326"/>
      <c r="B275" s="327"/>
      <c r="C275" s="64" t="s">
        <v>91</v>
      </c>
      <c r="D275" s="68">
        <v>41.36</v>
      </c>
      <c r="E275" s="68">
        <v>33.49</v>
      </c>
      <c r="F275" s="68">
        <v>34.36</v>
      </c>
      <c r="G275" s="68">
        <v>36.26</v>
      </c>
      <c r="H275" s="68">
        <v>48.14</v>
      </c>
      <c r="I275" s="68">
        <v>66.83</v>
      </c>
      <c r="J275" s="68">
        <v>86.98</v>
      </c>
      <c r="K275" s="68">
        <v>85.23</v>
      </c>
      <c r="L275" s="68">
        <v>116.63</v>
      </c>
      <c r="M275" s="68">
        <v>137.13</v>
      </c>
      <c r="N275" s="68">
        <v>96.09</v>
      </c>
      <c r="O275" s="68">
        <v>71.55</v>
      </c>
      <c r="P275" s="66">
        <v>854.05</v>
      </c>
    </row>
    <row r="276" spans="1:17">
      <c r="A276" s="326"/>
      <c r="B276" s="328" t="s">
        <v>92</v>
      </c>
      <c r="C276" s="60" t="s">
        <v>81</v>
      </c>
      <c r="D276" s="67">
        <v>124.91999999999999</v>
      </c>
      <c r="E276" s="67">
        <v>106.83999999999999</v>
      </c>
      <c r="F276" s="67">
        <v>107.88</v>
      </c>
      <c r="G276" s="67">
        <v>108.75999999999999</v>
      </c>
      <c r="H276" s="67">
        <v>136.01</v>
      </c>
      <c r="I276" s="67">
        <v>174.3</v>
      </c>
      <c r="J276" s="67">
        <v>227.15999999999997</v>
      </c>
      <c r="K276" s="67">
        <v>231.11</v>
      </c>
      <c r="L276" s="67">
        <v>311.74</v>
      </c>
      <c r="M276" s="67">
        <v>371.11</v>
      </c>
      <c r="N276" s="67">
        <v>280.12</v>
      </c>
      <c r="O276" s="67">
        <v>217.68</v>
      </c>
      <c r="P276" s="62">
        <v>2397.6299999999997</v>
      </c>
    </row>
    <row r="277" spans="1:17">
      <c r="A277" s="326"/>
      <c r="B277" s="326"/>
      <c r="C277" s="41" t="s">
        <v>84</v>
      </c>
      <c r="D277" s="42">
        <v>118.07226599999936</v>
      </c>
      <c r="E277" s="42">
        <v>92.036562000001084</v>
      </c>
      <c r="F277" s="42">
        <v>102.01316399999916</v>
      </c>
      <c r="G277" s="42">
        <v>68.498669000001627</v>
      </c>
      <c r="H277" s="42">
        <v>64.232771999999997</v>
      </c>
      <c r="I277" s="42">
        <v>145.05006399999979</v>
      </c>
      <c r="J277" s="42">
        <v>208.810667</v>
      </c>
      <c r="K277" s="42">
        <v>388.63195000000019</v>
      </c>
      <c r="L277" s="42">
        <v>361.78751999999906</v>
      </c>
      <c r="M277" s="42">
        <v>375.22707300000053</v>
      </c>
      <c r="N277" s="42">
        <v>387.38411099999979</v>
      </c>
      <c r="O277" s="42">
        <v>401.10433100000023</v>
      </c>
      <c r="P277" s="43">
        <v>2712.8491490000006</v>
      </c>
      <c r="Q277" s="112">
        <f>P277/P276</f>
        <v>1.1314711398339197</v>
      </c>
    </row>
    <row r="278" spans="1:17">
      <c r="A278" s="326"/>
      <c r="B278" s="326"/>
      <c r="C278" s="41" t="s">
        <v>88</v>
      </c>
      <c r="D278" s="42">
        <v>117.57405000000014</v>
      </c>
      <c r="E278" s="42">
        <v>91.510741000000081</v>
      </c>
      <c r="F278" s="42">
        <v>101.54823700000004</v>
      </c>
      <c r="G278" s="42">
        <v>68.177740999999799</v>
      </c>
      <c r="H278" s="42">
        <v>63.926364</v>
      </c>
      <c r="I278" s="42">
        <v>144.377129</v>
      </c>
      <c r="J278" s="42">
        <v>207.73953799999998</v>
      </c>
      <c r="K278" s="42">
        <v>386.66624299999967</v>
      </c>
      <c r="L278" s="42">
        <v>359.929958</v>
      </c>
      <c r="M278" s="42">
        <v>373.28915799999999</v>
      </c>
      <c r="N278" s="42">
        <v>385.41884399999981</v>
      </c>
      <c r="O278" s="42">
        <v>399.07248800000019</v>
      </c>
      <c r="P278" s="43">
        <v>2699.2304909999998</v>
      </c>
    </row>
    <row r="279" spans="1:17">
      <c r="A279" s="326"/>
      <c r="B279" s="327"/>
      <c r="C279" s="64" t="s">
        <v>91</v>
      </c>
      <c r="D279" s="68">
        <v>111.39</v>
      </c>
      <c r="E279" s="68">
        <v>95.27000000000001</v>
      </c>
      <c r="F279" s="68">
        <v>96.19</v>
      </c>
      <c r="G279" s="68">
        <v>96.99</v>
      </c>
      <c r="H279" s="68">
        <v>121.29</v>
      </c>
      <c r="I279" s="68">
        <v>155.44999999999999</v>
      </c>
      <c r="J279" s="68">
        <v>202.59</v>
      </c>
      <c r="K279" s="68">
        <v>206.11</v>
      </c>
      <c r="L279" s="68">
        <v>278.02</v>
      </c>
      <c r="M279" s="68">
        <v>330.99</v>
      </c>
      <c r="N279" s="68">
        <v>249.82000000000002</v>
      </c>
      <c r="O279" s="68">
        <v>194.14999999999998</v>
      </c>
      <c r="P279" s="66">
        <v>2138.2599999999998</v>
      </c>
    </row>
    <row r="280" spans="1:17">
      <c r="A280" s="317" t="s">
        <v>115</v>
      </c>
      <c r="B280" s="318" t="s">
        <v>80</v>
      </c>
      <c r="C280" s="33" t="s">
        <v>81</v>
      </c>
      <c r="D280" s="34">
        <v>20.100000000000001</v>
      </c>
      <c r="E280" s="34">
        <v>20.63</v>
      </c>
      <c r="F280" s="34">
        <v>21.47</v>
      </c>
      <c r="G280" s="34">
        <v>21.79</v>
      </c>
      <c r="H280" s="34">
        <v>20.49</v>
      </c>
      <c r="I280" s="34">
        <v>19.05</v>
      </c>
      <c r="J280" s="34">
        <v>21.84</v>
      </c>
      <c r="K280" s="34">
        <v>22.83</v>
      </c>
      <c r="L280" s="34">
        <v>33.67</v>
      </c>
      <c r="M280" s="34">
        <v>33.33</v>
      </c>
      <c r="N280" s="34">
        <v>29.26</v>
      </c>
      <c r="O280" s="34">
        <v>24.38</v>
      </c>
      <c r="P280" s="35">
        <v>288.83999999999997</v>
      </c>
    </row>
    <row r="281" spans="1:17">
      <c r="A281" s="318"/>
      <c r="B281" s="318"/>
      <c r="C281" s="33" t="s">
        <v>84</v>
      </c>
      <c r="D281" s="34">
        <v>29.164321999999927</v>
      </c>
      <c r="E281" s="34">
        <v>26.659041999999904</v>
      </c>
      <c r="F281" s="34">
        <v>29.322748000000139</v>
      </c>
      <c r="G281" s="34">
        <v>17.608156999999888</v>
      </c>
      <c r="H281" s="34">
        <v>14.82469700000016</v>
      </c>
      <c r="I281" s="34">
        <v>11.728076999999816</v>
      </c>
      <c r="J281" s="34">
        <v>19.794796000000261</v>
      </c>
      <c r="K281" s="34">
        <v>20.40146099999966</v>
      </c>
      <c r="L281" s="34">
        <v>26.350116000000156</v>
      </c>
      <c r="M281" s="34">
        <v>44.472706000000002</v>
      </c>
      <c r="N281" s="34">
        <v>56.895757999999908</v>
      </c>
      <c r="O281" s="34">
        <v>42.598993999999948</v>
      </c>
      <c r="P281" s="35">
        <v>339.82087399999978</v>
      </c>
    </row>
    <row r="282" spans="1:17">
      <c r="A282" s="318"/>
      <c r="B282" s="318"/>
      <c r="C282" s="33" t="s">
        <v>88</v>
      </c>
      <c r="D282" s="34">
        <v>29.02816</v>
      </c>
      <c r="E282" s="34">
        <v>26.534462999999992</v>
      </c>
      <c r="F282" s="34">
        <v>29.193616000000024</v>
      </c>
      <c r="G282" s="34">
        <v>17.535426999999999</v>
      </c>
      <c r="H282" s="34">
        <v>14.757232999999975</v>
      </c>
      <c r="I282" s="34">
        <v>11.638284000000001</v>
      </c>
      <c r="J282" s="34">
        <v>19.680201999999994</v>
      </c>
      <c r="K282" s="34">
        <v>20.291582000000012</v>
      </c>
      <c r="L282" s="34">
        <v>26.214106000000001</v>
      </c>
      <c r="M282" s="34">
        <v>44.238645000000012</v>
      </c>
      <c r="N282" s="34">
        <v>56.593429999999998</v>
      </c>
      <c r="O282" s="34">
        <v>42.365979999999986</v>
      </c>
      <c r="P282" s="35">
        <v>338.07112799999999</v>
      </c>
    </row>
    <row r="283" spans="1:17">
      <c r="A283" s="318"/>
      <c r="B283" s="319"/>
      <c r="C283" s="36" t="s">
        <v>91</v>
      </c>
      <c r="D283" s="37">
        <v>17.899999999999999</v>
      </c>
      <c r="E283" s="37">
        <v>18.37</v>
      </c>
      <c r="F283" s="37">
        <v>19.12</v>
      </c>
      <c r="G283" s="37">
        <v>19.399999999999999</v>
      </c>
      <c r="H283" s="37">
        <v>18.25</v>
      </c>
      <c r="I283" s="37">
        <v>16.96</v>
      </c>
      <c r="J283" s="37">
        <v>19.45</v>
      </c>
      <c r="K283" s="37">
        <v>20.329999999999998</v>
      </c>
      <c r="L283" s="37">
        <v>29.98</v>
      </c>
      <c r="M283" s="37">
        <v>29.68</v>
      </c>
      <c r="N283" s="37">
        <v>26.05</v>
      </c>
      <c r="O283" s="37">
        <v>21.71</v>
      </c>
      <c r="P283" s="38">
        <v>257.2</v>
      </c>
    </row>
    <row r="284" spans="1:17">
      <c r="A284" s="318"/>
      <c r="B284" s="317" t="s">
        <v>86</v>
      </c>
      <c r="C284" s="51" t="s">
        <v>81</v>
      </c>
      <c r="D284" s="70">
        <v>79.489999999999995</v>
      </c>
      <c r="E284" s="70">
        <v>60.83</v>
      </c>
      <c r="F284" s="70">
        <v>67.3</v>
      </c>
      <c r="G284" s="70">
        <v>68.22</v>
      </c>
      <c r="H284" s="70">
        <v>74.290000000000006</v>
      </c>
      <c r="I284" s="70">
        <v>96.67</v>
      </c>
      <c r="J284" s="70">
        <v>123.97</v>
      </c>
      <c r="K284" s="70">
        <v>119.23</v>
      </c>
      <c r="L284" s="70">
        <v>160.82</v>
      </c>
      <c r="M284" s="70">
        <v>191.03</v>
      </c>
      <c r="N284" s="70">
        <v>172.69</v>
      </c>
      <c r="O284" s="70">
        <v>132.16</v>
      </c>
      <c r="P284" s="53">
        <v>1346.7000000000003</v>
      </c>
    </row>
    <row r="285" spans="1:17">
      <c r="A285" s="318"/>
      <c r="B285" s="318"/>
      <c r="C285" s="33" t="s">
        <v>84</v>
      </c>
      <c r="D285" s="34">
        <v>110.36860699999997</v>
      </c>
      <c r="E285" s="34">
        <v>61.981315000000762</v>
      </c>
      <c r="F285" s="34">
        <v>61.426696999999223</v>
      </c>
      <c r="G285" s="34">
        <v>46.831182000000027</v>
      </c>
      <c r="H285" s="34">
        <v>53.630072999999967</v>
      </c>
      <c r="I285" s="34">
        <v>49.802541000000204</v>
      </c>
      <c r="J285" s="34">
        <v>81.105309000000133</v>
      </c>
      <c r="K285" s="34">
        <v>86.7923049999997</v>
      </c>
      <c r="L285" s="34">
        <v>166.61844500000123</v>
      </c>
      <c r="M285" s="34">
        <v>192.76609399999921</v>
      </c>
      <c r="N285" s="34">
        <v>192.90018000000086</v>
      </c>
      <c r="O285" s="34">
        <v>181.47385199999974</v>
      </c>
      <c r="P285" s="35">
        <v>1285.6966000000011</v>
      </c>
    </row>
    <row r="286" spans="1:17">
      <c r="A286" s="318"/>
      <c r="B286" s="318"/>
      <c r="C286" s="33" t="s">
        <v>88</v>
      </c>
      <c r="D286" s="34">
        <v>110.135586</v>
      </c>
      <c r="E286" s="34">
        <v>61.901089999999911</v>
      </c>
      <c r="F286" s="34">
        <v>61.262922000000245</v>
      </c>
      <c r="G286" s="34">
        <v>46.510289999999507</v>
      </c>
      <c r="H286" s="34">
        <v>53.476365999999864</v>
      </c>
      <c r="I286" s="34">
        <v>49.680748000000136</v>
      </c>
      <c r="J286" s="34">
        <v>80.745994000000124</v>
      </c>
      <c r="K286" s="34">
        <v>86.420782000000187</v>
      </c>
      <c r="L286" s="34">
        <v>165.91773999999987</v>
      </c>
      <c r="M286" s="34">
        <v>191.92812200000014</v>
      </c>
      <c r="N286" s="34">
        <v>192.00699199999971</v>
      </c>
      <c r="O286" s="34">
        <v>180.63385000000017</v>
      </c>
      <c r="P286" s="35">
        <v>1280.6204819999998</v>
      </c>
    </row>
    <row r="287" spans="1:17">
      <c r="A287" s="318"/>
      <c r="B287" s="319"/>
      <c r="C287" s="36" t="s">
        <v>91</v>
      </c>
      <c r="D287" s="37">
        <v>70.88</v>
      </c>
      <c r="E287" s="37">
        <v>54.24</v>
      </c>
      <c r="F287" s="37">
        <v>60.01</v>
      </c>
      <c r="G287" s="37">
        <v>60.83</v>
      </c>
      <c r="H287" s="37">
        <v>66.25</v>
      </c>
      <c r="I287" s="37">
        <v>86.2</v>
      </c>
      <c r="J287" s="37">
        <v>110.55</v>
      </c>
      <c r="K287" s="37">
        <v>106.32</v>
      </c>
      <c r="L287" s="37">
        <v>143.41</v>
      </c>
      <c r="M287" s="37">
        <v>170.35</v>
      </c>
      <c r="N287" s="37">
        <v>153.99</v>
      </c>
      <c r="O287" s="37">
        <v>117.85</v>
      </c>
      <c r="P287" s="38">
        <v>1200.8799999999999</v>
      </c>
    </row>
    <row r="288" spans="1:17">
      <c r="A288" s="318"/>
      <c r="B288" s="317" t="s">
        <v>87</v>
      </c>
      <c r="C288" s="51" t="s">
        <v>81</v>
      </c>
      <c r="D288" s="70">
        <v>57.98</v>
      </c>
      <c r="E288" s="70">
        <v>52.27</v>
      </c>
      <c r="F288" s="70">
        <v>50.16</v>
      </c>
      <c r="G288" s="70">
        <v>47.87</v>
      </c>
      <c r="H288" s="70">
        <v>62.07</v>
      </c>
      <c r="I288" s="70">
        <v>84.35</v>
      </c>
      <c r="J288" s="70">
        <v>106.92</v>
      </c>
      <c r="K288" s="70">
        <v>100.63</v>
      </c>
      <c r="L288" s="70">
        <v>138.87</v>
      </c>
      <c r="M288" s="70">
        <v>158.63999999999999</v>
      </c>
      <c r="N288" s="70">
        <v>118.82</v>
      </c>
      <c r="O288" s="70">
        <v>88.56</v>
      </c>
      <c r="P288" s="53">
        <v>1067.1399999999999</v>
      </c>
    </row>
    <row r="289" spans="1:25">
      <c r="A289" s="318"/>
      <c r="B289" s="318"/>
      <c r="C289" s="33" t="s">
        <v>84</v>
      </c>
      <c r="D289" s="34">
        <v>84.770697999999385</v>
      </c>
      <c r="E289" s="34">
        <v>51.779504000000657</v>
      </c>
      <c r="F289" s="34">
        <v>43.542483000000004</v>
      </c>
      <c r="G289" s="34">
        <v>34.706387999999336</v>
      </c>
      <c r="H289" s="34">
        <v>42.992444000000134</v>
      </c>
      <c r="I289" s="34">
        <v>39.461503999999721</v>
      </c>
      <c r="J289" s="34">
        <v>62.004547000000166</v>
      </c>
      <c r="K289" s="34">
        <v>69.880805999999865</v>
      </c>
      <c r="L289" s="34">
        <v>133.2786650000005</v>
      </c>
      <c r="M289" s="34">
        <v>157.50553899999989</v>
      </c>
      <c r="N289" s="34">
        <v>157.48852799999995</v>
      </c>
      <c r="O289" s="34">
        <v>142.26362600000016</v>
      </c>
      <c r="P289" s="35">
        <v>1019.6747319999998</v>
      </c>
    </row>
    <row r="290" spans="1:25">
      <c r="A290" s="318"/>
      <c r="B290" s="318"/>
      <c r="C290" s="33" t="s">
        <v>88</v>
      </c>
      <c r="D290" s="34">
        <v>84.092422999999997</v>
      </c>
      <c r="E290" s="34">
        <v>51.320099999999982</v>
      </c>
      <c r="F290" s="34">
        <v>43.139905999999982</v>
      </c>
      <c r="G290" s="34">
        <v>34.44744599999985</v>
      </c>
      <c r="H290" s="34">
        <v>42.665246000000167</v>
      </c>
      <c r="I290" s="34">
        <v>39.151169999999865</v>
      </c>
      <c r="J290" s="34">
        <v>61.522916000000144</v>
      </c>
      <c r="K290" s="34">
        <v>69.338212999999911</v>
      </c>
      <c r="L290" s="34">
        <v>132.22709100000009</v>
      </c>
      <c r="M290" s="34">
        <v>156.23456499999995</v>
      </c>
      <c r="N290" s="34">
        <v>156.24584299999995</v>
      </c>
      <c r="O290" s="34">
        <v>141.14731999999995</v>
      </c>
      <c r="P290" s="35">
        <v>1011.5322389999998</v>
      </c>
    </row>
    <row r="291" spans="1:25">
      <c r="A291" s="318"/>
      <c r="B291" s="319"/>
      <c r="C291" s="36" t="s">
        <v>91</v>
      </c>
      <c r="D291" s="37">
        <v>51.71</v>
      </c>
      <c r="E291" s="37">
        <v>46.62</v>
      </c>
      <c r="F291" s="37">
        <v>44.74</v>
      </c>
      <c r="G291" s="37">
        <v>42.7</v>
      </c>
      <c r="H291" s="37">
        <v>55.36</v>
      </c>
      <c r="I291" s="37">
        <v>75.23</v>
      </c>
      <c r="J291" s="37">
        <v>95.36</v>
      </c>
      <c r="K291" s="37">
        <v>89.75</v>
      </c>
      <c r="L291" s="37">
        <v>123.86</v>
      </c>
      <c r="M291" s="37">
        <v>141.49</v>
      </c>
      <c r="N291" s="37">
        <v>105.98</v>
      </c>
      <c r="O291" s="37">
        <v>78.98</v>
      </c>
      <c r="P291" s="38">
        <v>951.78000000000009</v>
      </c>
    </row>
    <row r="292" spans="1:25">
      <c r="A292" s="318"/>
      <c r="B292" s="317" t="s">
        <v>92</v>
      </c>
      <c r="C292" s="51" t="s">
        <v>81</v>
      </c>
      <c r="D292" s="70">
        <v>157.57</v>
      </c>
      <c r="E292" s="70">
        <v>133.72999999999999</v>
      </c>
      <c r="F292" s="70">
        <v>138.93</v>
      </c>
      <c r="G292" s="70">
        <v>137.88</v>
      </c>
      <c r="H292" s="70">
        <v>156.85</v>
      </c>
      <c r="I292" s="70">
        <v>200.07</v>
      </c>
      <c r="J292" s="70">
        <v>252.73000000000002</v>
      </c>
      <c r="K292" s="70">
        <v>242.69</v>
      </c>
      <c r="L292" s="70">
        <v>333.36</v>
      </c>
      <c r="M292" s="70">
        <v>383</v>
      </c>
      <c r="N292" s="70">
        <v>320.77</v>
      </c>
      <c r="O292" s="70">
        <v>245.1</v>
      </c>
      <c r="P292" s="53">
        <v>2702.6800000000003</v>
      </c>
    </row>
    <row r="293" spans="1:25">
      <c r="A293" s="318"/>
      <c r="B293" s="318"/>
      <c r="C293" s="33" t="s">
        <v>84</v>
      </c>
      <c r="D293" s="34">
        <v>224.3036269999993</v>
      </c>
      <c r="E293" s="34">
        <v>140.41986100000133</v>
      </c>
      <c r="F293" s="34">
        <v>134.29192799999936</v>
      </c>
      <c r="G293" s="34">
        <v>99.145726999999255</v>
      </c>
      <c r="H293" s="34">
        <v>111.44721400000026</v>
      </c>
      <c r="I293" s="34">
        <v>100.99212199999974</v>
      </c>
      <c r="J293" s="34">
        <v>162.90465200000057</v>
      </c>
      <c r="K293" s="34">
        <v>177.07457199999922</v>
      </c>
      <c r="L293" s="34">
        <v>326.24722600000189</v>
      </c>
      <c r="M293" s="34">
        <v>394.74433899999912</v>
      </c>
      <c r="N293" s="34">
        <v>407.28446600000075</v>
      </c>
      <c r="O293" s="34">
        <v>366.33647199999984</v>
      </c>
      <c r="P293" s="35">
        <v>2645.1922060000006</v>
      </c>
      <c r="Q293" s="112">
        <f>P293/P292</f>
        <v>0.97872933754643554</v>
      </c>
    </row>
    <row r="294" spans="1:25">
      <c r="A294" s="318"/>
      <c r="B294" s="318"/>
      <c r="C294" s="33" t="s">
        <v>88</v>
      </c>
      <c r="D294" s="34">
        <v>223.256169</v>
      </c>
      <c r="E294" s="34">
        <v>139.75565299999988</v>
      </c>
      <c r="F294" s="34">
        <v>133.59644400000025</v>
      </c>
      <c r="G294" s="34">
        <v>98.493162999999356</v>
      </c>
      <c r="H294" s="34">
        <v>110.89884500000001</v>
      </c>
      <c r="I294" s="34">
        <v>100.470202</v>
      </c>
      <c r="J294" s="34">
        <v>161.94911200000027</v>
      </c>
      <c r="K294" s="34">
        <v>176.05057700000012</v>
      </c>
      <c r="L294" s="34">
        <v>324.35893699999997</v>
      </c>
      <c r="M294" s="34">
        <v>392.40133200000014</v>
      </c>
      <c r="N294" s="34">
        <v>404.84626499999968</v>
      </c>
      <c r="O294" s="34">
        <v>364.14715000000012</v>
      </c>
      <c r="P294" s="35">
        <v>2630.2238489999995</v>
      </c>
    </row>
    <row r="295" spans="1:25">
      <c r="A295" s="319"/>
      <c r="B295" s="319"/>
      <c r="C295" s="36" t="s">
        <v>91</v>
      </c>
      <c r="D295" s="37">
        <v>140.49</v>
      </c>
      <c r="E295" s="37">
        <v>119.22999999999999</v>
      </c>
      <c r="F295" s="37">
        <v>123.87</v>
      </c>
      <c r="G295" s="37">
        <v>122.92999999999999</v>
      </c>
      <c r="H295" s="37">
        <v>139.86000000000001</v>
      </c>
      <c r="I295" s="37">
        <v>178.39</v>
      </c>
      <c r="J295" s="37">
        <v>225.36</v>
      </c>
      <c r="K295" s="37">
        <v>216.39999999999998</v>
      </c>
      <c r="L295" s="37">
        <v>297.25</v>
      </c>
      <c r="M295" s="37">
        <v>341.52</v>
      </c>
      <c r="N295" s="37">
        <v>286.02000000000004</v>
      </c>
      <c r="O295" s="37">
        <v>218.54000000000002</v>
      </c>
      <c r="P295" s="38">
        <v>2409.86</v>
      </c>
    </row>
    <row r="296" spans="1:25" ht="48">
      <c r="A296" s="320" t="s">
        <v>116</v>
      </c>
      <c r="B296" s="323" t="s">
        <v>80</v>
      </c>
      <c r="C296" s="113" t="s">
        <v>117</v>
      </c>
      <c r="D296" s="114">
        <v>24.324999999999999</v>
      </c>
      <c r="E296" s="114">
        <v>21.184000000000001</v>
      </c>
      <c r="F296" s="114">
        <v>20.178000000000001</v>
      </c>
      <c r="G296" s="114">
        <v>20.940999999999999</v>
      </c>
      <c r="H296" s="114">
        <v>15.734</v>
      </c>
      <c r="I296" s="114">
        <v>17.103999999999999</v>
      </c>
      <c r="J296" s="114">
        <v>21.829000000000001</v>
      </c>
      <c r="K296" s="114">
        <v>22.771999999999998</v>
      </c>
      <c r="L296" s="114">
        <v>33.707999999999998</v>
      </c>
      <c r="M296" s="114">
        <v>33.328000000000003</v>
      </c>
      <c r="N296" s="114">
        <v>29.193999999999999</v>
      </c>
      <c r="O296" s="114">
        <v>24.375</v>
      </c>
      <c r="P296" s="115">
        <v>284.67199999999997</v>
      </c>
    </row>
    <row r="297" spans="1:25">
      <c r="A297" s="321"/>
      <c r="B297" s="324"/>
      <c r="C297" s="113" t="s">
        <v>118</v>
      </c>
      <c r="D297" s="114">
        <v>33.846495000000004</v>
      </c>
      <c r="E297" s="114">
        <v>26.111035000000001</v>
      </c>
      <c r="F297" s="114">
        <v>32.389909090909086</v>
      </c>
      <c r="G297" s="114">
        <v>20.941357648487884</v>
      </c>
      <c r="H297" s="114">
        <v>14.01</v>
      </c>
      <c r="I297" s="114">
        <v>13.127715508316655</v>
      </c>
      <c r="J297" s="114">
        <v>16.797396174336061</v>
      </c>
      <c r="K297" s="114">
        <v>19.440000000000001</v>
      </c>
      <c r="L297" s="114">
        <v>37.66718279588008</v>
      </c>
      <c r="M297" s="114">
        <v>44.472705300000001</v>
      </c>
      <c r="N297" s="114">
        <v>53.084243435716118</v>
      </c>
      <c r="O297" s="114">
        <v>27.238671685397453</v>
      </c>
      <c r="P297" s="115">
        <f>SUM(D297:O297)</f>
        <v>339.12671163904332</v>
      </c>
      <c r="Q297" s="116"/>
    </row>
    <row r="298" spans="1:25">
      <c r="A298" s="321"/>
      <c r="B298" s="324"/>
      <c r="C298" s="117" t="s">
        <v>84</v>
      </c>
      <c r="D298" s="118">
        <v>33.846495199999993</v>
      </c>
      <c r="E298" s="118">
        <v>26.111034599999996</v>
      </c>
      <c r="F298" s="118">
        <v>29.464168099999998</v>
      </c>
      <c r="G298" s="118">
        <v>23.123994499999998</v>
      </c>
      <c r="H298" s="118">
        <v>24.264119900000001</v>
      </c>
      <c r="I298" s="118">
        <v>19.669999300000001</v>
      </c>
      <c r="J298" s="118">
        <v>33.584182800000008</v>
      </c>
      <c r="K298" s="118">
        <v>33.5064724</v>
      </c>
      <c r="L298" s="118">
        <v>49.386004699999994</v>
      </c>
      <c r="M298" s="118">
        <v>50.809693500000002</v>
      </c>
      <c r="N298" s="118">
        <v>38.933323999999999</v>
      </c>
      <c r="O298" s="118">
        <v>26.922136399999999</v>
      </c>
      <c r="P298" s="119">
        <f>SUM(D298:O298)</f>
        <v>389.62162539999997</v>
      </c>
    </row>
    <row r="299" spans="1:25">
      <c r="A299" s="321"/>
      <c r="B299" s="324"/>
      <c r="C299" s="117" t="s">
        <v>88</v>
      </c>
      <c r="D299" s="118">
        <v>33.668198100000005</v>
      </c>
      <c r="E299" s="118">
        <v>25.9732631</v>
      </c>
      <c r="F299" s="118">
        <v>29.307436500000001</v>
      </c>
      <c r="G299" s="118">
        <v>23.0075076</v>
      </c>
      <c r="H299" s="118">
        <v>24.140867399999998</v>
      </c>
      <c r="I299" s="118">
        <v>19.513966400000001</v>
      </c>
      <c r="J299" s="118">
        <v>33.415661200000002</v>
      </c>
      <c r="K299" s="118">
        <v>33.334358699999996</v>
      </c>
      <c r="L299" s="118">
        <v>49.139014600000003</v>
      </c>
      <c r="M299" s="118">
        <v>50.556822699999998</v>
      </c>
      <c r="N299" s="118">
        <v>38.743403000000001</v>
      </c>
      <c r="O299" s="118">
        <v>26.788366199999999</v>
      </c>
      <c r="P299" s="119">
        <f>SUM(D299:O299)</f>
        <v>387.58886549999994</v>
      </c>
    </row>
    <row r="300" spans="1:25">
      <c r="A300" s="321"/>
      <c r="B300" s="325"/>
      <c r="C300" s="120" t="s">
        <v>91</v>
      </c>
      <c r="D300" s="121">
        <v>21.66</v>
      </c>
      <c r="E300" s="121">
        <v>18.86</v>
      </c>
      <c r="F300" s="121">
        <v>17.97</v>
      </c>
      <c r="G300" s="121">
        <v>18.649999999999999</v>
      </c>
      <c r="H300" s="121">
        <v>14.01</v>
      </c>
      <c r="I300" s="121">
        <v>15.23</v>
      </c>
      <c r="J300" s="121">
        <v>19.440000000000001</v>
      </c>
      <c r="K300" s="121">
        <v>20.28</v>
      </c>
      <c r="L300" s="121">
        <v>30.02</v>
      </c>
      <c r="M300" s="121">
        <v>29.68</v>
      </c>
      <c r="N300" s="121">
        <v>26</v>
      </c>
      <c r="O300" s="121">
        <v>21.69</v>
      </c>
      <c r="P300" s="122">
        <v>253.49</v>
      </c>
      <c r="R300" s="123"/>
      <c r="S300" s="123"/>
      <c r="T300" s="123"/>
      <c r="U300" s="123"/>
      <c r="V300" s="123"/>
      <c r="W300" s="123"/>
      <c r="X300" s="123"/>
      <c r="Y300" s="123"/>
    </row>
    <row r="301" spans="1:25">
      <c r="A301" s="321"/>
      <c r="B301" s="323" t="s">
        <v>86</v>
      </c>
      <c r="C301" s="124" t="s">
        <v>81</v>
      </c>
      <c r="D301" s="125">
        <v>70.284999999999997</v>
      </c>
      <c r="E301" s="125">
        <v>43.53</v>
      </c>
      <c r="F301" s="125">
        <v>44.296999999999997</v>
      </c>
      <c r="G301" s="125">
        <v>49.094000000000001</v>
      </c>
      <c r="H301" s="125">
        <v>47.680999999999997</v>
      </c>
      <c r="I301" s="125">
        <v>74.278000000000006</v>
      </c>
      <c r="J301" s="125">
        <v>110.758</v>
      </c>
      <c r="K301" s="125">
        <v>102.536</v>
      </c>
      <c r="L301" s="125">
        <v>145.429</v>
      </c>
      <c r="M301" s="125">
        <v>175.38499999999999</v>
      </c>
      <c r="N301" s="125">
        <v>157.03800000000001</v>
      </c>
      <c r="O301" s="125">
        <v>115.616</v>
      </c>
      <c r="P301" s="126">
        <v>1135.9270000000001</v>
      </c>
      <c r="R301" s="123"/>
      <c r="S301" s="123"/>
      <c r="T301" s="123"/>
      <c r="U301" s="123"/>
      <c r="V301" s="123"/>
      <c r="W301" s="123"/>
      <c r="X301" s="123"/>
      <c r="Y301" s="123"/>
    </row>
    <row r="302" spans="1:25">
      <c r="A302" s="321"/>
      <c r="B302" s="324"/>
      <c r="C302" s="113" t="s">
        <v>118</v>
      </c>
      <c r="D302" s="114">
        <v>122.50594500000001</v>
      </c>
      <c r="E302" s="114">
        <v>66.919391000000005</v>
      </c>
      <c r="F302" s="114">
        <v>78.120763636363648</v>
      </c>
      <c r="G302" s="114">
        <v>49.094083406163534</v>
      </c>
      <c r="H302" s="114">
        <v>50.52</v>
      </c>
      <c r="I302" s="114">
        <v>57.096511836565668</v>
      </c>
      <c r="J302" s="114">
        <v>85.343560706747567</v>
      </c>
      <c r="K302" s="114">
        <v>98.77</v>
      </c>
      <c r="L302" s="114">
        <v>162.51131750253651</v>
      </c>
      <c r="M302" s="114">
        <v>192.76609329999999</v>
      </c>
      <c r="N302" s="114">
        <v>179.97756942167692</v>
      </c>
      <c r="O302" s="114">
        <v>129.19693379381638</v>
      </c>
      <c r="P302" s="115">
        <f>SUM(D302:O302)</f>
        <v>1272.8221696038702</v>
      </c>
      <c r="R302" s="123"/>
      <c r="S302" s="123"/>
      <c r="T302" s="123"/>
      <c r="U302" s="123"/>
      <c r="V302" s="123"/>
      <c r="W302" s="123"/>
      <c r="X302" s="123"/>
      <c r="Y302" s="123"/>
    </row>
    <row r="303" spans="1:25">
      <c r="A303" s="321"/>
      <c r="B303" s="324"/>
      <c r="C303" s="117" t="s">
        <v>84</v>
      </c>
      <c r="D303" s="118">
        <v>122.50594479999999</v>
      </c>
      <c r="E303" s="118">
        <v>66.919390800000002</v>
      </c>
      <c r="F303" s="118">
        <v>74.536053599999988</v>
      </c>
      <c r="G303" s="118">
        <v>71.592840899999985</v>
      </c>
      <c r="H303" s="118">
        <v>110.182541</v>
      </c>
      <c r="I303" s="118">
        <v>115.54800859999999</v>
      </c>
      <c r="J303" s="118">
        <v>163.9011251</v>
      </c>
      <c r="K303" s="118">
        <v>194.26107150000001</v>
      </c>
      <c r="L303" s="118">
        <v>193.2066274</v>
      </c>
      <c r="M303" s="118">
        <v>196.85656800000001</v>
      </c>
      <c r="N303" s="118">
        <v>168.38218649999999</v>
      </c>
      <c r="O303" s="118">
        <v>153.6295523</v>
      </c>
      <c r="P303" s="119">
        <f>SUM(D303:O303)</f>
        <v>1631.5219105000001</v>
      </c>
      <c r="R303" s="123"/>
      <c r="S303" s="123"/>
      <c r="T303" s="123"/>
      <c r="U303" s="123"/>
      <c r="V303" s="123"/>
      <c r="W303" s="123"/>
      <c r="X303" s="123"/>
      <c r="Y303" s="123"/>
    </row>
    <row r="304" spans="1:25">
      <c r="A304" s="321"/>
      <c r="B304" s="324"/>
      <c r="C304" s="117" t="s">
        <v>88</v>
      </c>
      <c r="D304" s="118">
        <v>121.67917799999999</v>
      </c>
      <c r="E304" s="118">
        <v>66.510424999999998</v>
      </c>
      <c r="F304" s="118">
        <v>74.212316000000001</v>
      </c>
      <c r="G304" s="118">
        <v>71.375607000000002</v>
      </c>
      <c r="H304" s="118">
        <v>109.727639</v>
      </c>
      <c r="I304" s="118">
        <v>114.978774</v>
      </c>
      <c r="J304" s="118">
        <v>162.971992</v>
      </c>
      <c r="K304" s="118">
        <v>193.29965899999999</v>
      </c>
      <c r="L304" s="118">
        <v>192.24302800000001</v>
      </c>
      <c r="M304" s="118">
        <v>195.91510600000001</v>
      </c>
      <c r="N304" s="118">
        <v>167.577315</v>
      </c>
      <c r="O304" s="118">
        <v>152.89343600000001</v>
      </c>
      <c r="P304" s="119">
        <f>SUM(D304:O304)</f>
        <v>1623.3844750000001</v>
      </c>
      <c r="R304" s="123"/>
      <c r="S304" s="123"/>
      <c r="T304" s="123"/>
      <c r="U304" s="123"/>
      <c r="V304" s="123"/>
      <c r="W304" s="123"/>
      <c r="X304" s="123"/>
      <c r="Y304" s="123"/>
    </row>
    <row r="305" spans="1:29">
      <c r="A305" s="321"/>
      <c r="B305" s="325"/>
      <c r="C305" s="120" t="s">
        <v>91</v>
      </c>
      <c r="D305" s="121">
        <v>62.67</v>
      </c>
      <c r="E305" s="121">
        <v>38.82</v>
      </c>
      <c r="F305" s="121">
        <v>39.5</v>
      </c>
      <c r="G305" s="121">
        <v>43.78</v>
      </c>
      <c r="H305" s="121">
        <v>42.52</v>
      </c>
      <c r="I305" s="121">
        <v>66.239999999999995</v>
      </c>
      <c r="J305" s="121">
        <v>98.77</v>
      </c>
      <c r="K305" s="121">
        <v>91.43</v>
      </c>
      <c r="L305" s="121">
        <v>129.68</v>
      </c>
      <c r="M305" s="121">
        <v>156.38999999999999</v>
      </c>
      <c r="N305" s="121">
        <v>140.03</v>
      </c>
      <c r="O305" s="121">
        <v>103.1</v>
      </c>
      <c r="P305" s="122">
        <v>1012.9300000000001</v>
      </c>
      <c r="R305" s="123"/>
      <c r="S305" s="123"/>
      <c r="T305" s="123"/>
      <c r="U305" s="123"/>
      <c r="V305" s="123"/>
      <c r="W305" s="123"/>
      <c r="X305" s="123"/>
      <c r="Y305" s="123"/>
    </row>
    <row r="306" spans="1:29">
      <c r="A306" s="321"/>
      <c r="B306" s="323" t="s">
        <v>87</v>
      </c>
      <c r="C306" s="124" t="s">
        <v>81</v>
      </c>
      <c r="D306" s="125">
        <v>53.170999999999999</v>
      </c>
      <c r="E306" s="125">
        <v>34.779000000000003</v>
      </c>
      <c r="F306" s="125">
        <v>35.600999999999999</v>
      </c>
      <c r="G306" s="125">
        <v>41.119</v>
      </c>
      <c r="H306" s="125">
        <v>46.905000000000001</v>
      </c>
      <c r="I306" s="125">
        <v>71.102999999999994</v>
      </c>
      <c r="J306" s="125">
        <v>98.775000000000006</v>
      </c>
      <c r="K306" s="125">
        <v>91.284999999999997</v>
      </c>
      <c r="L306" s="125">
        <v>129.964</v>
      </c>
      <c r="M306" s="125">
        <v>149.70099999999999</v>
      </c>
      <c r="N306" s="125">
        <v>113.03400000000001</v>
      </c>
      <c r="O306" s="125">
        <v>80.933000000000007</v>
      </c>
      <c r="P306" s="126">
        <v>946.37</v>
      </c>
      <c r="R306" s="123"/>
      <c r="S306" s="123"/>
      <c r="T306" s="123"/>
      <c r="U306" s="123"/>
      <c r="V306" s="123"/>
      <c r="W306" s="123"/>
      <c r="X306" s="123"/>
      <c r="Y306" s="123"/>
    </row>
    <row r="307" spans="1:29">
      <c r="A307" s="321"/>
      <c r="B307" s="324"/>
      <c r="C307" s="113" t="s">
        <v>118</v>
      </c>
      <c r="D307" s="114">
        <v>88.53028599999999</v>
      </c>
      <c r="E307" s="114">
        <v>51.253605</v>
      </c>
      <c r="F307" s="114">
        <v>50.534368181818202</v>
      </c>
      <c r="G307" s="114">
        <v>41.118936238976431</v>
      </c>
      <c r="H307" s="114">
        <v>41.84</v>
      </c>
      <c r="I307" s="114">
        <v>54.365772655117702</v>
      </c>
      <c r="J307" s="114">
        <v>75.524002209825397</v>
      </c>
      <c r="K307" s="114">
        <v>90</v>
      </c>
      <c r="L307" s="114">
        <v>145.22935860353374</v>
      </c>
      <c r="M307" s="114">
        <v>157.50553680000002</v>
      </c>
      <c r="N307" s="114">
        <v>146.93818714260703</v>
      </c>
      <c r="O307" s="114">
        <v>90.439364639289423</v>
      </c>
      <c r="P307" s="115">
        <f>SUM(D307:O307)</f>
        <v>1033.279417471168</v>
      </c>
      <c r="R307" s="123"/>
      <c r="S307" s="123"/>
      <c r="T307" s="123"/>
      <c r="U307" s="123"/>
      <c r="V307" s="123"/>
      <c r="W307" s="123"/>
      <c r="X307" s="123"/>
      <c r="Y307" s="123"/>
    </row>
    <row r="308" spans="1:29">
      <c r="A308" s="321"/>
      <c r="B308" s="324"/>
      <c r="C308" s="117" t="s">
        <v>84</v>
      </c>
      <c r="D308" s="118">
        <v>88.530286399999994</v>
      </c>
      <c r="E308" s="118">
        <v>51.253605</v>
      </c>
      <c r="F308" s="118">
        <v>56.609788600000002</v>
      </c>
      <c r="G308" s="118">
        <v>56.4993154</v>
      </c>
      <c r="H308" s="118">
        <v>80.578215700000001</v>
      </c>
      <c r="I308" s="118">
        <v>99.400854399999986</v>
      </c>
      <c r="J308" s="118">
        <v>139.00226599999999</v>
      </c>
      <c r="K308" s="118">
        <v>157.24091799999999</v>
      </c>
      <c r="L308" s="118">
        <v>155.01225790000001</v>
      </c>
      <c r="M308" s="118">
        <v>154.3577477</v>
      </c>
      <c r="N308" s="118">
        <v>124.99818620000001</v>
      </c>
      <c r="O308" s="118">
        <v>115.0416532</v>
      </c>
      <c r="P308" s="119">
        <f>SUM(D308:O308)</f>
        <v>1278.5250944999998</v>
      </c>
      <c r="R308" s="123"/>
      <c r="S308" s="123"/>
      <c r="T308" s="123"/>
      <c r="U308" s="123"/>
      <c r="V308" s="123"/>
      <c r="W308" s="123"/>
      <c r="X308" s="123"/>
      <c r="Y308" s="123"/>
    </row>
    <row r="309" spans="1:29">
      <c r="A309" s="321"/>
      <c r="B309" s="324"/>
      <c r="C309" s="117" t="s">
        <v>88</v>
      </c>
      <c r="D309" s="118">
        <v>87.817036399999992</v>
      </c>
      <c r="E309" s="118">
        <v>50.799455600000002</v>
      </c>
      <c r="F309" s="118">
        <v>56.057807400000002</v>
      </c>
      <c r="G309" s="118">
        <v>56.044300399999997</v>
      </c>
      <c r="H309" s="118">
        <v>79.895297499999998</v>
      </c>
      <c r="I309" s="118">
        <v>98.648926799999998</v>
      </c>
      <c r="J309" s="118">
        <v>138.02832670000001</v>
      </c>
      <c r="K309" s="118">
        <v>156.14621080000001</v>
      </c>
      <c r="L309" s="118">
        <v>153.9405031</v>
      </c>
      <c r="M309" s="118">
        <v>153.29222870000001</v>
      </c>
      <c r="N309" s="118">
        <v>124.1365292</v>
      </c>
      <c r="O309" s="118">
        <v>114.235163</v>
      </c>
      <c r="P309" s="119">
        <f>SUM(D309:O309)</f>
        <v>1269.0417856000001</v>
      </c>
      <c r="R309" s="123"/>
      <c r="S309" s="123"/>
      <c r="T309" s="123"/>
      <c r="U309" s="123"/>
      <c r="V309" s="123"/>
      <c r="W309" s="123"/>
      <c r="X309" s="123"/>
      <c r="Y309" s="123"/>
    </row>
    <row r="310" spans="1:29" ht="16.5">
      <c r="A310" s="321"/>
      <c r="B310" s="325"/>
      <c r="C310" s="120" t="s">
        <v>91</v>
      </c>
      <c r="D310" s="121">
        <v>47.42</v>
      </c>
      <c r="E310" s="121">
        <v>31.02</v>
      </c>
      <c r="F310" s="121">
        <v>31.75</v>
      </c>
      <c r="G310" s="121">
        <v>36.67</v>
      </c>
      <c r="H310" s="121">
        <v>41.84</v>
      </c>
      <c r="I310" s="121">
        <v>63.42</v>
      </c>
      <c r="J310" s="121">
        <v>88.1</v>
      </c>
      <c r="K310" s="121">
        <v>81.42</v>
      </c>
      <c r="L310" s="121">
        <v>115.91</v>
      </c>
      <c r="M310" s="121">
        <v>133.52000000000001</v>
      </c>
      <c r="N310" s="121">
        <v>100.81</v>
      </c>
      <c r="O310" s="121">
        <v>72.19</v>
      </c>
      <c r="P310" s="122">
        <v>844.07000000000016</v>
      </c>
      <c r="Q310" s="127">
        <v>3299.67</v>
      </c>
      <c r="R310" s="128">
        <v>2645</v>
      </c>
      <c r="S310" s="123"/>
      <c r="T310" s="123"/>
      <c r="U310" s="123"/>
      <c r="V310" s="123"/>
      <c r="W310" s="123"/>
      <c r="X310" s="123"/>
      <c r="Y310" s="123"/>
    </row>
    <row r="311" spans="1:29">
      <c r="A311" s="321"/>
      <c r="B311" s="323" t="s">
        <v>92</v>
      </c>
      <c r="C311" s="113" t="s">
        <v>81</v>
      </c>
      <c r="D311" s="114">
        <v>147.78099999999998</v>
      </c>
      <c r="E311" s="114">
        <v>99.492999999999995</v>
      </c>
      <c r="F311" s="114">
        <v>100.07599999999999</v>
      </c>
      <c r="G311" s="114">
        <v>111.154</v>
      </c>
      <c r="H311" s="114">
        <v>110.32</v>
      </c>
      <c r="I311" s="114">
        <v>162.48500000000001</v>
      </c>
      <c r="J311" s="114">
        <v>231.36200000000002</v>
      </c>
      <c r="K311" s="114">
        <v>216.59299999999999</v>
      </c>
      <c r="L311" s="114">
        <v>309.101</v>
      </c>
      <c r="M311" s="114">
        <v>358.41399999999999</v>
      </c>
      <c r="N311" s="114">
        <v>299.26600000000002</v>
      </c>
      <c r="O311" s="114">
        <v>220.92400000000001</v>
      </c>
      <c r="P311" s="115">
        <v>2366.9690000000001</v>
      </c>
      <c r="R311" s="123"/>
      <c r="S311" s="123"/>
      <c r="T311" s="123"/>
      <c r="U311" s="123"/>
      <c r="V311" s="123"/>
      <c r="W311" s="123"/>
      <c r="X311" s="123"/>
      <c r="Y311" s="123"/>
    </row>
    <row r="312" spans="1:29">
      <c r="A312" s="321"/>
      <c r="B312" s="324"/>
      <c r="C312" s="113" t="s">
        <v>118</v>
      </c>
      <c r="D312" s="129">
        <f>D297+D302+D307</f>
        <v>244.88272599999999</v>
      </c>
      <c r="E312" s="129">
        <f t="shared" ref="E312:O312" si="8">E297+E302+E307</f>
        <v>144.284031</v>
      </c>
      <c r="F312" s="129">
        <f t="shared" si="8"/>
        <v>161.04504090909094</v>
      </c>
      <c r="G312" s="129">
        <f t="shared" si="8"/>
        <v>111.15437729362785</v>
      </c>
      <c r="H312" s="129">
        <f t="shared" si="8"/>
        <v>106.37</v>
      </c>
      <c r="I312" s="129">
        <f t="shared" si="8"/>
        <v>124.59000000000003</v>
      </c>
      <c r="J312" s="114">
        <f t="shared" si="8"/>
        <v>177.66495909090901</v>
      </c>
      <c r="K312" s="114">
        <f t="shared" si="8"/>
        <v>208.20999999999998</v>
      </c>
      <c r="L312" s="114">
        <f t="shared" si="8"/>
        <v>345.40785890195036</v>
      </c>
      <c r="M312" s="114">
        <f t="shared" si="8"/>
        <v>394.74433540000001</v>
      </c>
      <c r="N312" s="114">
        <f t="shared" si="8"/>
        <v>380.00000000000006</v>
      </c>
      <c r="O312" s="114">
        <f t="shared" si="8"/>
        <v>246.87497011850326</v>
      </c>
      <c r="P312" s="130">
        <f>SUM(D312:O312)</f>
        <v>2645.2282987140816</v>
      </c>
      <c r="Q312" s="112">
        <f>Q310/R310</f>
        <v>1.2475122873345936</v>
      </c>
      <c r="R312" s="123"/>
      <c r="S312" s="123"/>
      <c r="T312" s="123"/>
      <c r="U312" s="123"/>
      <c r="V312" s="123"/>
      <c r="W312" s="123"/>
      <c r="X312" s="123"/>
      <c r="Y312" s="123"/>
    </row>
    <row r="313" spans="1:29">
      <c r="A313" s="321"/>
      <c r="B313" s="324"/>
      <c r="C313" s="117" t="s">
        <v>84</v>
      </c>
      <c r="D313" s="131">
        <f t="shared" ref="D313:O314" si="9">D298+D303+D308</f>
        <v>244.8827264</v>
      </c>
      <c r="E313" s="131">
        <f t="shared" si="9"/>
        <v>144.28403040000001</v>
      </c>
      <c r="F313" s="131">
        <f t="shared" si="9"/>
        <v>160.6100103</v>
      </c>
      <c r="G313" s="131">
        <f t="shared" si="9"/>
        <v>151.21615079999998</v>
      </c>
      <c r="H313" s="131">
        <f t="shared" si="9"/>
        <v>215.02487660000003</v>
      </c>
      <c r="I313" s="131">
        <f t="shared" si="9"/>
        <v>234.61886229999996</v>
      </c>
      <c r="J313" s="118">
        <f t="shared" si="9"/>
        <v>336.48757390000003</v>
      </c>
      <c r="K313" s="118">
        <f t="shared" si="9"/>
        <v>385.00846190000004</v>
      </c>
      <c r="L313" s="118">
        <f t="shared" si="9"/>
        <v>397.60489000000001</v>
      </c>
      <c r="M313" s="118">
        <f t="shared" si="9"/>
        <v>402.02400920000002</v>
      </c>
      <c r="N313" s="118">
        <f t="shared" si="9"/>
        <v>332.31369669999998</v>
      </c>
      <c r="O313" s="118">
        <f t="shared" si="9"/>
        <v>295.59334189999998</v>
      </c>
      <c r="P313" s="132">
        <f>SUM(D313:O313)</f>
        <v>3299.6686304</v>
      </c>
    </row>
    <row r="314" spans="1:29">
      <c r="A314" s="321"/>
      <c r="B314" s="324"/>
      <c r="C314" s="117" t="s">
        <v>88</v>
      </c>
      <c r="D314" s="118">
        <f t="shared" si="9"/>
        <v>243.16441249999997</v>
      </c>
      <c r="E314" s="118">
        <f t="shared" si="9"/>
        <v>143.28314369999998</v>
      </c>
      <c r="F314" s="118">
        <f t="shared" si="9"/>
        <v>159.57755990000001</v>
      </c>
      <c r="G314" s="118">
        <f t="shared" si="9"/>
        <v>150.427415</v>
      </c>
      <c r="H314" s="118">
        <f t="shared" si="9"/>
        <v>213.7638039</v>
      </c>
      <c r="I314" s="118">
        <f t="shared" si="9"/>
        <v>233.1416672</v>
      </c>
      <c r="J314" s="118">
        <f t="shared" si="9"/>
        <v>334.41597990000002</v>
      </c>
      <c r="K314" s="118">
        <f t="shared" si="9"/>
        <v>382.78022850000002</v>
      </c>
      <c r="L314" s="118">
        <f t="shared" si="9"/>
        <v>395.32254569999998</v>
      </c>
      <c r="M314" s="118">
        <f t="shared" si="9"/>
        <v>399.76415740000004</v>
      </c>
      <c r="N314" s="118">
        <f t="shared" si="9"/>
        <v>330.45724719999998</v>
      </c>
      <c r="O314" s="118">
        <f t="shared" si="9"/>
        <v>293.91696519999999</v>
      </c>
      <c r="P314" s="119">
        <f>SUM(D314:O314)</f>
        <v>3280.0151261000001</v>
      </c>
      <c r="R314" s="109"/>
      <c r="S314" s="109"/>
      <c r="T314" s="109"/>
      <c r="U314" s="109"/>
      <c r="V314" s="109"/>
      <c r="W314" s="109"/>
      <c r="X314" s="109"/>
      <c r="Y314" s="109"/>
    </row>
    <row r="315" spans="1:29">
      <c r="A315" s="322"/>
      <c r="B315" s="325"/>
      <c r="C315" s="120" t="s">
        <v>91</v>
      </c>
      <c r="D315" s="121">
        <v>131.75</v>
      </c>
      <c r="E315" s="121">
        <v>88.7</v>
      </c>
      <c r="F315" s="121">
        <v>89.22</v>
      </c>
      <c r="G315" s="121">
        <v>99.1</v>
      </c>
      <c r="H315" s="121">
        <v>98.37</v>
      </c>
      <c r="I315" s="121">
        <v>144.88999999999999</v>
      </c>
      <c r="J315" s="121">
        <v>206.31</v>
      </c>
      <c r="K315" s="121">
        <v>193.13</v>
      </c>
      <c r="L315" s="121">
        <v>275.61</v>
      </c>
      <c r="M315" s="121">
        <v>319.59000000000003</v>
      </c>
      <c r="N315" s="121">
        <v>266.84000000000003</v>
      </c>
      <c r="O315" s="121">
        <v>196.98</v>
      </c>
      <c r="P315" s="122">
        <v>2110.4900000000002</v>
      </c>
      <c r="R315" s="109"/>
      <c r="S315" s="109"/>
      <c r="T315" s="109"/>
      <c r="U315" s="109"/>
      <c r="V315" s="109"/>
      <c r="W315" s="109"/>
      <c r="X315" s="109"/>
      <c r="Y315" s="109"/>
    </row>
    <row r="316" spans="1:29">
      <c r="A316" s="320" t="s">
        <v>119</v>
      </c>
      <c r="B316" s="323" t="s">
        <v>80</v>
      </c>
      <c r="C316" s="113" t="s">
        <v>117</v>
      </c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5"/>
      <c r="R316" s="109"/>
      <c r="S316" s="109"/>
      <c r="T316" s="109"/>
      <c r="U316" s="109"/>
      <c r="V316" s="109"/>
      <c r="W316" s="109"/>
      <c r="X316" s="109"/>
      <c r="Y316" s="109"/>
    </row>
    <row r="317" spans="1:29">
      <c r="A317" s="321"/>
      <c r="B317" s="324"/>
      <c r="C317" s="113" t="s">
        <v>118</v>
      </c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5"/>
      <c r="R317" s="109"/>
      <c r="S317" s="109"/>
      <c r="T317" s="109"/>
      <c r="U317" s="109"/>
      <c r="V317" s="109"/>
      <c r="W317" s="109"/>
      <c r="X317" s="109"/>
      <c r="Y317" s="109"/>
    </row>
    <row r="318" spans="1:29">
      <c r="A318" s="321"/>
      <c r="B318" s="324"/>
      <c r="C318" s="117" t="s">
        <v>84</v>
      </c>
      <c r="D318" s="118">
        <v>26.196023199999999</v>
      </c>
      <c r="E318" s="118">
        <v>28.2093384</v>
      </c>
      <c r="F318" s="118">
        <v>28.871705800000001</v>
      </c>
      <c r="G318" s="118">
        <v>23.975395199999998</v>
      </c>
      <c r="H318" s="118">
        <v>7.3071524999999999</v>
      </c>
      <c r="I318" s="118">
        <v>18.939633699999998</v>
      </c>
      <c r="J318" s="118">
        <v>27.245995299999997</v>
      </c>
      <c r="K318" s="118">
        <v>42.153500099999995</v>
      </c>
      <c r="L318" s="118">
        <v>60.6046391</v>
      </c>
      <c r="M318" s="118">
        <v>53.143639999999998</v>
      </c>
      <c r="N318" s="118">
        <v>42.165509899999996</v>
      </c>
      <c r="O318" s="118">
        <v>31.564488900000001</v>
      </c>
      <c r="P318" s="119">
        <f>SUM(D318:O318)</f>
        <v>390.37702210000003</v>
      </c>
      <c r="R318" s="109"/>
      <c r="S318" s="109"/>
      <c r="T318" s="109"/>
      <c r="U318" s="109"/>
      <c r="V318" s="109"/>
      <c r="W318" s="109"/>
      <c r="X318" s="109"/>
      <c r="Y318" s="109"/>
    </row>
    <row r="319" spans="1:29">
      <c r="A319" s="321"/>
      <c r="B319" s="324"/>
      <c r="C319" s="117" t="s">
        <v>88</v>
      </c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</row>
    <row r="320" spans="1:29">
      <c r="A320" s="321"/>
      <c r="B320" s="325"/>
      <c r="C320" s="120" t="s">
        <v>91</v>
      </c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2"/>
      <c r="R320" s="109"/>
      <c r="S320" s="109"/>
      <c r="T320" s="109"/>
      <c r="U320" s="109"/>
      <c r="V320" s="109"/>
      <c r="W320" s="109"/>
      <c r="X320" s="109"/>
      <c r="Y320" s="109"/>
    </row>
    <row r="321" spans="1:29">
      <c r="A321" s="321"/>
      <c r="B321" s="323" t="s">
        <v>86</v>
      </c>
      <c r="C321" s="124" t="s">
        <v>81</v>
      </c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6"/>
      <c r="R321" s="109"/>
      <c r="S321" s="109"/>
      <c r="T321" s="109"/>
      <c r="U321" s="109"/>
      <c r="V321" s="109"/>
      <c r="W321" s="109"/>
      <c r="X321" s="109"/>
      <c r="Y321" s="109"/>
    </row>
    <row r="322" spans="1:29">
      <c r="A322" s="321"/>
      <c r="B322" s="324"/>
      <c r="C322" s="113" t="s">
        <v>118</v>
      </c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5"/>
      <c r="R322" s="109"/>
      <c r="S322" s="109"/>
      <c r="T322" s="109"/>
      <c r="U322" s="109"/>
      <c r="V322" s="109"/>
      <c r="W322" s="109"/>
      <c r="X322" s="109"/>
      <c r="Y322" s="109"/>
    </row>
    <row r="323" spans="1:29">
      <c r="A323" s="321"/>
      <c r="B323" s="324"/>
      <c r="C323" s="117" t="s">
        <v>84</v>
      </c>
      <c r="D323" s="118">
        <v>113.1354312</v>
      </c>
      <c r="E323" s="118">
        <v>71.298942100000005</v>
      </c>
      <c r="F323" s="118">
        <v>70.493765299999993</v>
      </c>
      <c r="G323" s="118">
        <v>62.217610000000001</v>
      </c>
      <c r="H323" s="118">
        <v>43.759362299999999</v>
      </c>
      <c r="I323" s="118">
        <v>86.330209300000007</v>
      </c>
      <c r="J323" s="118">
        <v>141.6702884</v>
      </c>
      <c r="K323" s="118">
        <v>165.03639799999999</v>
      </c>
      <c r="L323" s="118">
        <v>195.23754399999999</v>
      </c>
      <c r="M323" s="118">
        <v>198.50973879999998</v>
      </c>
      <c r="N323" s="118">
        <v>163.315517</v>
      </c>
      <c r="O323" s="118">
        <v>125.9698503</v>
      </c>
      <c r="P323" s="119">
        <f>SUM(D323:O323)</f>
        <v>1436.9746567</v>
      </c>
      <c r="R323" s="109"/>
      <c r="S323" s="109"/>
      <c r="T323" s="109"/>
      <c r="U323" s="109"/>
      <c r="V323" s="109"/>
      <c r="W323" s="109"/>
      <c r="X323" s="109"/>
      <c r="Y323" s="109"/>
    </row>
    <row r="324" spans="1:29">
      <c r="A324" s="321"/>
      <c r="B324" s="324"/>
      <c r="C324" s="117" t="s">
        <v>88</v>
      </c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</row>
    <row r="325" spans="1:29">
      <c r="A325" s="321"/>
      <c r="B325" s="325"/>
      <c r="C325" s="120" t="s">
        <v>91</v>
      </c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2"/>
      <c r="R325" s="109"/>
      <c r="S325" s="109"/>
      <c r="T325" s="109"/>
      <c r="U325" s="109"/>
      <c r="V325" s="109"/>
      <c r="W325" s="109"/>
      <c r="X325" s="109"/>
      <c r="Y325" s="109"/>
    </row>
    <row r="326" spans="1:29">
      <c r="A326" s="321"/>
      <c r="B326" s="323" t="s">
        <v>87</v>
      </c>
      <c r="C326" s="124" t="s">
        <v>81</v>
      </c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6"/>
      <c r="R326" s="109"/>
      <c r="S326" s="109"/>
      <c r="T326" s="109"/>
      <c r="U326" s="109"/>
      <c r="V326" s="109"/>
      <c r="W326" s="109"/>
      <c r="X326" s="109"/>
      <c r="Y326" s="109"/>
    </row>
    <row r="327" spans="1:29">
      <c r="A327" s="321"/>
      <c r="B327" s="324"/>
      <c r="C327" s="113" t="s">
        <v>118</v>
      </c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5"/>
      <c r="R327" s="109"/>
    </row>
    <row r="328" spans="1:29">
      <c r="A328" s="321"/>
      <c r="B328" s="324"/>
      <c r="C328" s="117" t="s">
        <v>84</v>
      </c>
      <c r="D328" s="118">
        <v>77.740175000000008</v>
      </c>
      <c r="E328" s="118">
        <v>56.724158600000003</v>
      </c>
      <c r="F328" s="118">
        <v>48.161090799999997</v>
      </c>
      <c r="G328" s="118">
        <v>48.283616699999996</v>
      </c>
      <c r="H328" s="118">
        <v>32.450061300000002</v>
      </c>
      <c r="I328" s="118">
        <v>71.005335399999993</v>
      </c>
      <c r="J328" s="118">
        <v>122.0062195</v>
      </c>
      <c r="K328" s="118">
        <v>136.3989627</v>
      </c>
      <c r="L328" s="118">
        <v>153.81893869999999</v>
      </c>
      <c r="M328" s="118">
        <v>154.06884539999999</v>
      </c>
      <c r="N328" s="118">
        <v>124.3363421</v>
      </c>
      <c r="O328" s="118">
        <v>94.563951599999996</v>
      </c>
      <c r="P328" s="119">
        <f>SUM(D328:O328)</f>
        <v>1119.5576977999999</v>
      </c>
    </row>
    <row r="329" spans="1:29">
      <c r="A329" s="321"/>
      <c r="B329" s="324"/>
      <c r="C329" s="117" t="s">
        <v>88</v>
      </c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9"/>
    </row>
    <row r="330" spans="1:29">
      <c r="A330" s="321"/>
      <c r="B330" s="325"/>
      <c r="C330" s="120" t="s">
        <v>91</v>
      </c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2"/>
    </row>
    <row r="331" spans="1:29">
      <c r="A331" s="321"/>
      <c r="B331" s="323" t="s">
        <v>92</v>
      </c>
      <c r="C331" s="113" t="s">
        <v>81</v>
      </c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5"/>
    </row>
    <row r="332" spans="1:29">
      <c r="A332" s="321"/>
      <c r="B332" s="324"/>
      <c r="C332" s="113" t="s">
        <v>118</v>
      </c>
      <c r="D332" s="129"/>
      <c r="E332" s="129"/>
      <c r="F332" s="129"/>
      <c r="G332" s="129"/>
      <c r="H332" s="129"/>
      <c r="I332" s="129"/>
      <c r="J332" s="114"/>
      <c r="K332" s="114"/>
      <c r="L332" s="114"/>
      <c r="M332" s="114"/>
      <c r="N332" s="114"/>
      <c r="O332" s="114"/>
      <c r="P332" s="130"/>
    </row>
    <row r="333" spans="1:29">
      <c r="A333" s="321"/>
      <c r="B333" s="324"/>
      <c r="C333" s="117" t="s">
        <v>84</v>
      </c>
      <c r="D333" s="131">
        <f t="shared" ref="D333:O333" si="10">D318+D323+D328</f>
        <v>217.07162940000001</v>
      </c>
      <c r="E333" s="131">
        <f t="shared" si="10"/>
        <v>156.23243910000002</v>
      </c>
      <c r="F333" s="131">
        <f t="shared" si="10"/>
        <v>147.52656189999999</v>
      </c>
      <c r="G333" s="131">
        <f t="shared" si="10"/>
        <v>134.4766219</v>
      </c>
      <c r="H333" s="131">
        <f t="shared" si="10"/>
        <v>83.516576100000009</v>
      </c>
      <c r="I333" s="131">
        <f t="shared" si="10"/>
        <v>176.27517840000002</v>
      </c>
      <c r="J333" s="118">
        <f t="shared" si="10"/>
        <v>290.92250319999999</v>
      </c>
      <c r="K333" s="118">
        <f t="shared" si="10"/>
        <v>343.58886080000002</v>
      </c>
      <c r="L333" s="118">
        <f t="shared" si="10"/>
        <v>409.66112179999999</v>
      </c>
      <c r="M333" s="118">
        <f t="shared" si="10"/>
        <v>405.72222419999997</v>
      </c>
      <c r="N333" s="118">
        <f t="shared" si="10"/>
        <v>329.81736899999999</v>
      </c>
      <c r="O333" s="118">
        <f t="shared" si="10"/>
        <v>252.0982908</v>
      </c>
      <c r="P333" s="132">
        <f>SUM(D333:O333)</f>
        <v>2946.9093766000001</v>
      </c>
    </row>
    <row r="334" spans="1:29">
      <c r="A334" s="321"/>
      <c r="B334" s="324"/>
      <c r="C334" s="117" t="s">
        <v>88</v>
      </c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9"/>
    </row>
    <row r="335" spans="1:29">
      <c r="A335" s="322"/>
      <c r="B335" s="325"/>
      <c r="C335" s="120" t="s">
        <v>91</v>
      </c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2"/>
    </row>
    <row r="336" spans="1:29">
      <c r="A336" s="320" t="s">
        <v>120</v>
      </c>
      <c r="B336" s="323" t="s">
        <v>80</v>
      </c>
      <c r="C336" s="113" t="s">
        <v>117</v>
      </c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5"/>
    </row>
    <row r="337" spans="1:16">
      <c r="A337" s="321"/>
      <c r="B337" s="324"/>
      <c r="C337" s="113" t="s">
        <v>118</v>
      </c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5"/>
    </row>
    <row r="338" spans="1:16">
      <c r="A338" s="321"/>
      <c r="B338" s="324"/>
      <c r="C338" s="117" t="s">
        <v>84</v>
      </c>
      <c r="D338" s="118">
        <v>27.937671999999999</v>
      </c>
      <c r="E338" s="118">
        <v>20.617661599999998</v>
      </c>
      <c r="F338" s="118">
        <v>18.585530500000001</v>
      </c>
      <c r="G338" s="118">
        <v>17.219771600000001</v>
      </c>
      <c r="H338" s="118">
        <v>15.0814433</v>
      </c>
      <c r="I338" s="118">
        <v>23.646055400000002</v>
      </c>
      <c r="J338" s="118">
        <v>25.2517505</v>
      </c>
      <c r="K338" s="118">
        <v>41.779785799999999</v>
      </c>
      <c r="L338" s="118">
        <v>44.453589399999998</v>
      </c>
      <c r="M338" s="118">
        <v>55.450868700000001</v>
      </c>
      <c r="N338" s="118">
        <v>34.919919800000002</v>
      </c>
      <c r="O338" s="118">
        <v>19.430500599999998</v>
      </c>
      <c r="P338" s="119">
        <f>SUM(D338:O338)</f>
        <v>344.37454920000005</v>
      </c>
    </row>
    <row r="339" spans="1:16">
      <c r="A339" s="321"/>
      <c r="B339" s="324"/>
      <c r="C339" s="117" t="s">
        <v>88</v>
      </c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9"/>
    </row>
    <row r="340" spans="1:16">
      <c r="A340" s="321"/>
      <c r="B340" s="325"/>
      <c r="C340" s="120" t="s">
        <v>91</v>
      </c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2"/>
    </row>
    <row r="341" spans="1:16">
      <c r="A341" s="321"/>
      <c r="B341" s="323" t="s">
        <v>86</v>
      </c>
      <c r="C341" s="124" t="s">
        <v>81</v>
      </c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6"/>
    </row>
    <row r="342" spans="1:16">
      <c r="A342" s="321"/>
      <c r="B342" s="324"/>
      <c r="C342" s="113" t="s">
        <v>118</v>
      </c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5"/>
    </row>
    <row r="343" spans="1:16">
      <c r="A343" s="321"/>
      <c r="B343" s="324"/>
      <c r="C343" s="117" t="s">
        <v>84</v>
      </c>
      <c r="D343" s="118">
        <v>73.596486099999993</v>
      </c>
      <c r="E343" s="118">
        <v>42.832670400000005</v>
      </c>
      <c r="F343" s="118">
        <v>35.955296799999999</v>
      </c>
      <c r="G343" s="118">
        <v>35.971539700000001</v>
      </c>
      <c r="H343" s="118">
        <v>54.107530500000003</v>
      </c>
      <c r="I343" s="118">
        <v>76.060693000000001</v>
      </c>
      <c r="J343" s="118">
        <v>135.68690319999999</v>
      </c>
      <c r="K343" s="118">
        <v>176.95260999999999</v>
      </c>
      <c r="L343" s="118">
        <v>179.47948259999998</v>
      </c>
      <c r="M343" s="118">
        <v>185.35782839999999</v>
      </c>
      <c r="N343" s="118">
        <v>134.72737609999999</v>
      </c>
      <c r="O343" s="118">
        <v>137.06628800000001</v>
      </c>
      <c r="P343" s="119">
        <f>SUM(D343:O343)</f>
        <v>1267.7947047999999</v>
      </c>
    </row>
    <row r="344" spans="1:16">
      <c r="A344" s="321"/>
      <c r="B344" s="324"/>
      <c r="C344" s="117" t="s">
        <v>88</v>
      </c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9"/>
    </row>
    <row r="345" spans="1:16">
      <c r="A345" s="321"/>
      <c r="B345" s="325"/>
      <c r="C345" s="120" t="s">
        <v>91</v>
      </c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2"/>
    </row>
    <row r="346" spans="1:16">
      <c r="A346" s="321"/>
      <c r="B346" s="323" t="s">
        <v>87</v>
      </c>
      <c r="C346" s="124" t="s">
        <v>81</v>
      </c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6"/>
    </row>
    <row r="347" spans="1:16">
      <c r="A347" s="321"/>
      <c r="B347" s="324"/>
      <c r="C347" s="113" t="s">
        <v>118</v>
      </c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5"/>
    </row>
    <row r="348" spans="1:16">
      <c r="A348" s="321"/>
      <c r="B348" s="324"/>
      <c r="C348" s="117" t="s">
        <v>84</v>
      </c>
      <c r="D348" s="118">
        <v>57.337101000000004</v>
      </c>
      <c r="E348" s="118">
        <v>34.6663651</v>
      </c>
      <c r="F348" s="118">
        <v>20.916935600000002</v>
      </c>
      <c r="G348" s="118">
        <v>29.124926299999998</v>
      </c>
      <c r="H348" s="118">
        <v>40.0913307</v>
      </c>
      <c r="I348" s="118">
        <v>59.6659243</v>
      </c>
      <c r="J348" s="118">
        <v>100.58270630000001</v>
      </c>
      <c r="K348" s="118">
        <v>135.36586209999999</v>
      </c>
      <c r="L348" s="118">
        <v>144.5077186</v>
      </c>
      <c r="M348" s="118">
        <v>141.72220670000002</v>
      </c>
      <c r="N348" s="118">
        <v>98.1990239</v>
      </c>
      <c r="O348" s="118">
        <v>93.2850526</v>
      </c>
      <c r="P348" s="119">
        <f>SUM(D348:O348)</f>
        <v>955.46515320000003</v>
      </c>
    </row>
    <row r="349" spans="1:16">
      <c r="A349" s="321"/>
      <c r="B349" s="324"/>
      <c r="C349" s="117" t="s">
        <v>88</v>
      </c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9"/>
    </row>
    <row r="350" spans="1:16">
      <c r="A350" s="321"/>
      <c r="B350" s="325"/>
      <c r="C350" s="120" t="s">
        <v>91</v>
      </c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2"/>
    </row>
    <row r="351" spans="1:16">
      <c r="A351" s="321"/>
      <c r="B351" s="323" t="s">
        <v>92</v>
      </c>
      <c r="C351" s="113" t="s">
        <v>81</v>
      </c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5"/>
    </row>
    <row r="352" spans="1:16">
      <c r="A352" s="321"/>
      <c r="B352" s="324"/>
      <c r="C352" s="113" t="s">
        <v>118</v>
      </c>
      <c r="D352" s="129"/>
      <c r="E352" s="129"/>
      <c r="F352" s="129"/>
      <c r="G352" s="129"/>
      <c r="H352" s="129"/>
      <c r="I352" s="129"/>
      <c r="J352" s="114"/>
      <c r="K352" s="114"/>
      <c r="L352" s="114"/>
      <c r="M352" s="114"/>
      <c r="N352" s="114"/>
      <c r="O352" s="114"/>
      <c r="P352" s="130"/>
    </row>
    <row r="353" spans="1:16">
      <c r="A353" s="321"/>
      <c r="B353" s="324"/>
      <c r="C353" s="117" t="s">
        <v>84</v>
      </c>
      <c r="D353" s="131">
        <f t="shared" ref="D353:O353" si="11">D338+D343+D348</f>
        <v>158.87125909999997</v>
      </c>
      <c r="E353" s="131">
        <f t="shared" si="11"/>
        <v>98.11669710000001</v>
      </c>
      <c r="F353" s="131">
        <f t="shared" si="11"/>
        <v>75.457762900000006</v>
      </c>
      <c r="G353" s="131">
        <f t="shared" si="11"/>
        <v>82.316237599999994</v>
      </c>
      <c r="H353" s="131">
        <f t="shared" si="11"/>
        <v>109.2803045</v>
      </c>
      <c r="I353" s="131">
        <f t="shared" si="11"/>
        <v>159.37267270000001</v>
      </c>
      <c r="J353" s="118">
        <f t="shared" si="11"/>
        <v>261.52135999999996</v>
      </c>
      <c r="K353" s="118">
        <f t="shared" si="11"/>
        <v>354.09825790000002</v>
      </c>
      <c r="L353" s="118">
        <f t="shared" si="11"/>
        <v>368.44079060000001</v>
      </c>
      <c r="M353" s="118">
        <f t="shared" si="11"/>
        <v>382.53090380000003</v>
      </c>
      <c r="N353" s="118">
        <f t="shared" si="11"/>
        <v>267.8463198</v>
      </c>
      <c r="O353" s="118">
        <f t="shared" si="11"/>
        <v>249.7818412</v>
      </c>
      <c r="P353" s="132">
        <f>SUM(D353:O353)</f>
        <v>2567.6344072000002</v>
      </c>
    </row>
    <row r="354" spans="1:16">
      <c r="A354" s="321"/>
      <c r="B354" s="324"/>
      <c r="C354" s="117" t="s">
        <v>88</v>
      </c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9"/>
    </row>
    <row r="355" spans="1:16">
      <c r="A355" s="322"/>
      <c r="B355" s="325"/>
      <c r="C355" s="120" t="s">
        <v>91</v>
      </c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6"/>
  <sheetViews>
    <sheetView workbookViewId="0"/>
  </sheetViews>
  <sheetFormatPr defaultRowHeight="15"/>
  <sheetData>
    <row r="2" spans="2:3" ht="15.75">
      <c r="B2" s="1" t="s">
        <v>121</v>
      </c>
    </row>
    <row r="3" spans="2:3" ht="15.75">
      <c r="C3" s="141" t="s">
        <v>122</v>
      </c>
    </row>
    <row r="4" spans="2:3" ht="15.75">
      <c r="C4" s="141" t="s">
        <v>123</v>
      </c>
    </row>
    <row r="5" spans="2:3" ht="15.75">
      <c r="C5" s="141" t="s">
        <v>124</v>
      </c>
    </row>
    <row r="6" spans="2:3" ht="15.75">
      <c r="C6" s="141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11"/>
  <sheetViews>
    <sheetView tabSelected="1" topLeftCell="A89" zoomScaleNormal="100" workbookViewId="0">
      <selection activeCell="J120" sqref="J120"/>
    </sheetView>
  </sheetViews>
  <sheetFormatPr defaultRowHeight="15"/>
  <cols>
    <col min="1" max="1" width="14.28515625" customWidth="1"/>
    <col min="19" max="19" width="10.5703125" bestFit="1" customWidth="1"/>
  </cols>
  <sheetData>
    <row r="1" spans="1:21" ht="15.75">
      <c r="A1" s="360"/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1:21" ht="18.75">
      <c r="A2" s="433" t="s">
        <v>126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1:21">
      <c r="D3" s="12"/>
    </row>
    <row r="4" spans="1:21">
      <c r="A4" s="4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21" ht="16.5">
      <c r="A5" s="452" t="s">
        <v>127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</row>
    <row r="6" spans="1:21">
      <c r="D6" s="12"/>
      <c r="T6">
        <v>0.95</v>
      </c>
    </row>
    <row r="7" spans="1:21">
      <c r="A7" s="7" t="s">
        <v>27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 t="s">
        <v>36</v>
      </c>
      <c r="O7" s="7" t="s">
        <v>37</v>
      </c>
      <c r="P7" s="7" t="s">
        <v>128</v>
      </c>
      <c r="Q7" s="7" t="s">
        <v>129</v>
      </c>
      <c r="R7" s="7" t="s">
        <v>130</v>
      </c>
      <c r="U7" s="11"/>
    </row>
    <row r="8" spans="1:21" ht="51">
      <c r="A8" s="13" t="s">
        <v>131</v>
      </c>
      <c r="B8" s="14">
        <f>SUM(B9:B11)</f>
        <v>137.63089794660749</v>
      </c>
      <c r="C8" s="14">
        <f t="shared" ref="C8:D8" si="0">SUM(C9:C11)</f>
        <v>77.759287472252197</v>
      </c>
      <c r="D8" s="14">
        <f t="shared" si="0"/>
        <v>52.295377005760606</v>
      </c>
      <c r="E8" s="437">
        <f t="shared" ref="E8:M8" si="1">SUM(E9:E11)</f>
        <v>53.308568007601863</v>
      </c>
      <c r="F8" s="437">
        <f t="shared" si="1"/>
        <v>106.99722372383624</v>
      </c>
      <c r="G8" s="437">
        <f t="shared" si="1"/>
        <v>189.90025806807813</v>
      </c>
      <c r="H8" s="437">
        <f t="shared" si="1"/>
        <v>247.08864370681542</v>
      </c>
      <c r="I8" s="437">
        <f t="shared" si="1"/>
        <v>377.94256225012589</v>
      </c>
      <c r="J8" s="437">
        <f t="shared" si="1"/>
        <v>400.199504613199</v>
      </c>
      <c r="K8" s="437">
        <f t="shared" si="1"/>
        <v>404.76339600000142</v>
      </c>
      <c r="L8" s="437">
        <f t="shared" si="1"/>
        <v>385.76338590927128</v>
      </c>
      <c r="M8" s="14">
        <f t="shared" si="1"/>
        <v>308.81803440889445</v>
      </c>
      <c r="N8" s="15">
        <f>SUM(B8:D8)</f>
        <v>267.68556242462029</v>
      </c>
      <c r="O8" s="15">
        <f>SUM(E8:G8)</f>
        <v>350.20604979951622</v>
      </c>
      <c r="P8" s="15">
        <f>SUM(H8:J8)</f>
        <v>1025.2307105701402</v>
      </c>
      <c r="Q8" s="140">
        <f>SUM(K8:M8)</f>
        <v>1099.3448163181672</v>
      </c>
      <c r="R8" s="16">
        <f>SUM(N8:Q8)</f>
        <v>2742.4671391124439</v>
      </c>
      <c r="S8" s="443">
        <f>SUM(S9:S11)</f>
        <v>137.63089794660749</v>
      </c>
      <c r="T8" s="443">
        <f>S8*$T$6</f>
        <v>130.74935304927712</v>
      </c>
    </row>
    <row r="9" spans="1:21" ht="14.45" customHeight="1">
      <c r="A9" s="444" t="s">
        <v>80</v>
      </c>
      <c r="B9" s="437">
        <v>13.781805098073741</v>
      </c>
      <c r="C9" s="437">
        <v>8.7962208583574153</v>
      </c>
      <c r="D9" s="437">
        <v>7.4411295722443942</v>
      </c>
      <c r="E9" s="437">
        <v>6.8743897440387496</v>
      </c>
      <c r="F9" s="437">
        <v>10.65941795382318</v>
      </c>
      <c r="G9" s="437">
        <v>20.826642396809838</v>
      </c>
      <c r="H9" s="437">
        <v>26.058879816017285</v>
      </c>
      <c r="I9" s="437">
        <v>51.72000881608097</v>
      </c>
      <c r="J9" s="437">
        <v>56.508015613197742</v>
      </c>
      <c r="K9" s="437">
        <v>61.071907000000117</v>
      </c>
      <c r="L9" s="437">
        <v>42.071896909269952</v>
      </c>
      <c r="M9" s="14">
        <v>26.622796159866009</v>
      </c>
      <c r="N9" s="14">
        <f>SUM(B9:D9)</f>
        <v>30.019155528675547</v>
      </c>
      <c r="O9" s="14">
        <f>SUM(E9:G9)</f>
        <v>38.360450094671769</v>
      </c>
      <c r="P9" s="14">
        <f>SUM(H9:J9)</f>
        <v>134.286904245296</v>
      </c>
      <c r="Q9" s="14">
        <f>SUM(K9:M9)</f>
        <v>129.76660006913608</v>
      </c>
      <c r="R9" s="445">
        <f>SUM(N9:Q9)</f>
        <v>332.43310993777936</v>
      </c>
      <c r="S9" s="443">
        <f>'Bảng tra TS-SL BTS'!AR6</f>
        <v>13.781805098073741</v>
      </c>
      <c r="T9" s="443">
        <f t="shared" ref="T9:T11" si="2">S9*$T$6</f>
        <v>13.092714843170054</v>
      </c>
    </row>
    <row r="10" spans="1:21">
      <c r="A10" s="14" t="s">
        <v>132</v>
      </c>
      <c r="B10" s="437">
        <v>74.91984364472296</v>
      </c>
      <c r="C10" s="437">
        <v>41.448373682589775</v>
      </c>
      <c r="D10" s="437">
        <v>26.814078942631181</v>
      </c>
      <c r="E10" s="437">
        <v>27.801205165961029</v>
      </c>
      <c r="F10" s="437">
        <v>57.887041188666487</v>
      </c>
      <c r="G10" s="437">
        <v>100.41876642028004</v>
      </c>
      <c r="H10" s="437">
        <v>132.46923170153102</v>
      </c>
      <c r="I10" s="437">
        <v>189.607956000001</v>
      </c>
      <c r="J10" s="437">
        <v>189.607956000001</v>
      </c>
      <c r="K10" s="437">
        <v>189.607956000001</v>
      </c>
      <c r="L10" s="437">
        <v>189.607956000001</v>
      </c>
      <c r="M10" s="14">
        <v>169.42007928197734</v>
      </c>
      <c r="N10" s="14">
        <f t="shared" ref="N10:N11" si="3">SUM(B10:D10)</f>
        <v>143.18229626994392</v>
      </c>
      <c r="O10" s="14">
        <f t="shared" ref="O10:O11" si="4">SUM(E10:G10)</f>
        <v>186.10701277490756</v>
      </c>
      <c r="P10" s="14">
        <f t="shared" ref="P10:P11" si="5">SUM(H10:J10)</f>
        <v>511.68514370153298</v>
      </c>
      <c r="Q10" s="14">
        <f t="shared" ref="Q10:Q11" si="6">SUM(K10:M10)</f>
        <v>548.63599128197939</v>
      </c>
      <c r="R10" s="445">
        <f t="shared" ref="R10:R11" si="7">SUM(N10:Q10)</f>
        <v>1389.6104440283639</v>
      </c>
      <c r="S10" s="443">
        <f>'Bảng tra TS-SL BK'!AR6</f>
        <v>74.91984364472296</v>
      </c>
      <c r="T10" s="443">
        <f t="shared" si="2"/>
        <v>71.173851462486809</v>
      </c>
    </row>
    <row r="11" spans="1:21">
      <c r="A11" s="14" t="s">
        <v>133</v>
      </c>
      <c r="B11" s="437">
        <v>48.929249203810798</v>
      </c>
      <c r="C11" s="437">
        <v>27.514692931305014</v>
      </c>
      <c r="D11" s="437">
        <v>18.04016849088503</v>
      </c>
      <c r="E11" s="437">
        <v>18.632973097602083</v>
      </c>
      <c r="F11" s="437">
        <v>38.450764581346583</v>
      </c>
      <c r="G11" s="437">
        <v>68.654849250988264</v>
      </c>
      <c r="H11" s="437">
        <v>88.560532189267121</v>
      </c>
      <c r="I11" s="437">
        <v>136.61459743404396</v>
      </c>
      <c r="J11" s="437">
        <v>154.0835330000003</v>
      </c>
      <c r="K11" s="437">
        <v>154.0835330000003</v>
      </c>
      <c r="L11" s="437">
        <v>154.0835330000003</v>
      </c>
      <c r="M11" s="14">
        <v>112.77515896705111</v>
      </c>
      <c r="N11" s="14">
        <f t="shared" si="3"/>
        <v>94.484110626000842</v>
      </c>
      <c r="O11" s="14">
        <f t="shared" si="4"/>
        <v>125.73858692993693</v>
      </c>
      <c r="P11" s="14">
        <f t="shared" si="5"/>
        <v>379.25866262331135</v>
      </c>
      <c r="Q11" s="14">
        <f t="shared" si="6"/>
        <v>420.94222496705174</v>
      </c>
      <c r="R11" s="445">
        <f t="shared" si="7"/>
        <v>1020.4235851463009</v>
      </c>
      <c r="S11" s="443">
        <f>'Bảng tra TS-SL SP3'!AR6</f>
        <v>48.929249203810798</v>
      </c>
      <c r="T11" s="443">
        <f t="shared" si="2"/>
        <v>46.482786743620252</v>
      </c>
    </row>
    <row r="12" spans="1:21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236"/>
    </row>
    <row r="14" spans="1:21" ht="16.5">
      <c r="A14" s="362" t="s">
        <v>134</v>
      </c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</row>
    <row r="15" spans="1:21" ht="15.75" thickBot="1">
      <c r="A15" s="8"/>
      <c r="B15" s="21"/>
      <c r="C15" s="21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21">
      <c r="A16" s="143" t="s">
        <v>63</v>
      </c>
      <c r="B16" s="144" t="s">
        <v>135</v>
      </c>
      <c r="C16" s="144" t="s">
        <v>136</v>
      </c>
      <c r="D16" s="144" t="s">
        <v>28</v>
      </c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5"/>
    </row>
    <row r="17" spans="1:23" ht="38.25">
      <c r="A17" s="151" t="s">
        <v>137</v>
      </c>
      <c r="B17" s="269">
        <f t="shared" ref="B17:D17" si="8">SUM(B18:B20)</f>
        <v>234.81041595771825</v>
      </c>
      <c r="C17" s="269">
        <f t="shared" si="8"/>
        <v>105.69501880809221</v>
      </c>
      <c r="D17" s="269">
        <f t="shared" si="8"/>
        <v>125.4832774264105</v>
      </c>
      <c r="E17" s="269"/>
      <c r="F17" s="269"/>
      <c r="G17" s="269"/>
      <c r="H17" s="269"/>
      <c r="I17" s="269"/>
      <c r="J17" s="269"/>
      <c r="K17" s="269"/>
      <c r="L17" s="269"/>
      <c r="M17" s="269"/>
      <c r="N17" s="435"/>
      <c r="O17" s="435"/>
      <c r="P17" s="435"/>
      <c r="Q17" s="435"/>
      <c r="R17" s="436"/>
      <c r="S17" s="434">
        <f>R17*0.92</f>
        <v>0</v>
      </c>
      <c r="T17" t="s">
        <v>138</v>
      </c>
    </row>
    <row r="18" spans="1:23">
      <c r="A18" s="152" t="s">
        <v>80</v>
      </c>
      <c r="B18" s="269">
        <v>20.564018318918912</v>
      </c>
      <c r="C18" s="269">
        <v>8.5338000823045252</v>
      </c>
      <c r="D18" s="269">
        <v>11.025029863059428</v>
      </c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436"/>
      <c r="U18" s="3">
        <v>20928.5</v>
      </c>
      <c r="V18" s="3">
        <f>U18/1000</f>
        <v>20.9285</v>
      </c>
      <c r="W18" s="3">
        <f>V18*31/25</f>
        <v>25.951340000000002</v>
      </c>
    </row>
    <row r="19" spans="1:23">
      <c r="A19" s="153" t="s">
        <v>86</v>
      </c>
      <c r="B19" s="269">
        <v>124.50579305864663</v>
      </c>
      <c r="C19" s="269">
        <v>54.783712337757144</v>
      </c>
      <c r="D19" s="269">
        <v>67.653718708389221</v>
      </c>
      <c r="E19" s="269"/>
      <c r="F19" s="437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436"/>
      <c r="U19" s="3">
        <v>102009.60000000001</v>
      </c>
      <c r="V19" s="3">
        <f t="shared" ref="V19:V20" si="9">U19/1000</f>
        <v>102.00960000000001</v>
      </c>
      <c r="W19" s="3">
        <f t="shared" ref="W19:W20" si="10">V19*31/25</f>
        <v>126.49190400000002</v>
      </c>
    </row>
    <row r="20" spans="1:23" ht="15.75" thickBot="1">
      <c r="A20" s="154" t="s">
        <v>133</v>
      </c>
      <c r="B20" s="270">
        <v>89.740604580152691</v>
      </c>
      <c r="C20" s="270">
        <v>42.377506388030547</v>
      </c>
      <c r="D20" s="270">
        <v>46.804528854961845</v>
      </c>
      <c r="E20" s="270"/>
      <c r="F20" s="438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439"/>
      <c r="U20" s="3">
        <v>78412</v>
      </c>
      <c r="V20" s="3">
        <f t="shared" si="9"/>
        <v>78.412000000000006</v>
      </c>
      <c r="W20" s="3">
        <f t="shared" si="10"/>
        <v>97.230880000000013</v>
      </c>
    </row>
    <row r="23" spans="1:23">
      <c r="A23" s="364" t="s">
        <v>139</v>
      </c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</row>
    <row r="24" spans="1:23" ht="15.75" thickBot="1">
      <c r="B24" s="9" t="s">
        <v>140</v>
      </c>
      <c r="C24" s="9" t="s">
        <v>140</v>
      </c>
      <c r="D24" s="9" t="s">
        <v>140</v>
      </c>
      <c r="E24" s="9" t="s">
        <v>140</v>
      </c>
      <c r="F24" s="9" t="s">
        <v>140</v>
      </c>
      <c r="G24" s="9" t="s">
        <v>140</v>
      </c>
      <c r="H24" s="9" t="s">
        <v>141</v>
      </c>
    </row>
    <row r="25" spans="1:23">
      <c r="A25" s="262" t="s">
        <v>27</v>
      </c>
      <c r="B25" s="263">
        <v>1</v>
      </c>
      <c r="C25" s="263">
        <v>2</v>
      </c>
      <c r="D25" s="263">
        <v>3</v>
      </c>
      <c r="E25" s="263">
        <v>4</v>
      </c>
      <c r="F25" s="263">
        <v>5</v>
      </c>
      <c r="G25" s="263">
        <v>6</v>
      </c>
      <c r="H25" s="263">
        <v>7</v>
      </c>
      <c r="I25" s="263">
        <v>8</v>
      </c>
      <c r="J25" s="263">
        <v>9</v>
      </c>
      <c r="K25" s="263">
        <v>10</v>
      </c>
      <c r="L25" s="263">
        <v>11</v>
      </c>
      <c r="M25" s="263">
        <v>12</v>
      </c>
      <c r="N25" s="263" t="s">
        <v>36</v>
      </c>
      <c r="O25" s="263" t="s">
        <v>37</v>
      </c>
      <c r="P25" s="263" t="s">
        <v>128</v>
      </c>
      <c r="Q25" s="263" t="s">
        <v>129</v>
      </c>
      <c r="R25" s="264" t="s">
        <v>130</v>
      </c>
    </row>
    <row r="26" spans="1:23" ht="45">
      <c r="A26" s="268" t="s">
        <v>137</v>
      </c>
      <c r="B26" s="260">
        <v>158.88</v>
      </c>
      <c r="C26" s="260">
        <v>98.12</v>
      </c>
      <c r="D26" s="260">
        <v>75.5</v>
      </c>
      <c r="E26" s="260">
        <v>82.199999999999989</v>
      </c>
      <c r="F26" s="260">
        <v>109.28</v>
      </c>
      <c r="G26" s="260">
        <v>159.33000000000001</v>
      </c>
      <c r="H26" s="260">
        <v>184.60000000000002</v>
      </c>
      <c r="I26" s="261">
        <v>344.85786902234486</v>
      </c>
      <c r="J26" s="261">
        <v>397.83305245045415</v>
      </c>
      <c r="K26" s="261">
        <v>404.76339600000114</v>
      </c>
      <c r="L26" s="261">
        <v>382.77581332432533</v>
      </c>
      <c r="M26" s="261">
        <v>322.30905963374607</v>
      </c>
      <c r="N26" s="260">
        <v>332.5</v>
      </c>
      <c r="O26" s="260">
        <v>350.81000000000006</v>
      </c>
      <c r="P26" s="260">
        <v>927.29092147279903</v>
      </c>
      <c r="Q26" s="260">
        <v>1109.8482689580726</v>
      </c>
      <c r="R26" s="265">
        <v>2720.4491904308716</v>
      </c>
    </row>
    <row r="27" spans="1:23">
      <c r="A27" s="256" t="s">
        <v>80</v>
      </c>
      <c r="B27" s="252">
        <v>27.94</v>
      </c>
      <c r="C27" s="252">
        <v>20.62</v>
      </c>
      <c r="D27" s="252">
        <v>18.600000000000001</v>
      </c>
      <c r="E27" s="252">
        <v>17.2</v>
      </c>
      <c r="F27" s="252">
        <v>15.08</v>
      </c>
      <c r="G27" s="252">
        <v>23.64</v>
      </c>
      <c r="H27" s="252">
        <v>20.7</v>
      </c>
      <c r="I27" s="248">
        <v>46.272208794827627</v>
      </c>
      <c r="J27" s="248">
        <v>54.141563450453177</v>
      </c>
      <c r="K27" s="248">
        <v>61.071907000000117</v>
      </c>
      <c r="L27" s="248">
        <v>39.084324324324342</v>
      </c>
      <c r="M27" s="248">
        <v>30.969055650423581</v>
      </c>
      <c r="N27" s="252">
        <v>67.16</v>
      </c>
      <c r="O27" s="252">
        <v>55.92</v>
      </c>
      <c r="P27" s="252">
        <v>121.1137722452808</v>
      </c>
      <c r="Q27" s="252">
        <v>131.12528697474804</v>
      </c>
      <c r="R27" s="266">
        <v>375.31905922002886</v>
      </c>
    </row>
    <row r="28" spans="1:23">
      <c r="A28" s="256" t="s">
        <v>86</v>
      </c>
      <c r="B28" s="252">
        <v>73.599999999999994</v>
      </c>
      <c r="C28" s="252">
        <v>42.83</v>
      </c>
      <c r="D28" s="252">
        <v>36</v>
      </c>
      <c r="E28" s="252">
        <v>35.9</v>
      </c>
      <c r="F28" s="252">
        <v>54.11</v>
      </c>
      <c r="G28" s="252">
        <v>76.040000000000006</v>
      </c>
      <c r="H28" s="252">
        <v>85.9</v>
      </c>
      <c r="I28" s="248">
        <v>168.58348923515084</v>
      </c>
      <c r="J28" s="248">
        <v>189.60795600000071</v>
      </c>
      <c r="K28" s="248">
        <v>189.60795600000071</v>
      </c>
      <c r="L28" s="248">
        <v>189.60795600000071</v>
      </c>
      <c r="M28" s="248">
        <v>171.4474012352309</v>
      </c>
      <c r="N28" s="252">
        <v>152.43</v>
      </c>
      <c r="O28" s="252">
        <v>166.05</v>
      </c>
      <c r="P28" s="252">
        <v>444.09144523515158</v>
      </c>
      <c r="Q28" s="252">
        <v>550.66331323523229</v>
      </c>
      <c r="R28" s="266">
        <v>1313.2347584703839</v>
      </c>
    </row>
    <row r="29" spans="1:23" ht="15.75" thickBot="1">
      <c r="A29" s="257" t="s">
        <v>133</v>
      </c>
      <c r="B29" s="258">
        <v>57.34</v>
      </c>
      <c r="C29" s="258">
        <v>34.67</v>
      </c>
      <c r="D29" s="258">
        <v>20.9</v>
      </c>
      <c r="E29" s="258">
        <v>29.1</v>
      </c>
      <c r="F29" s="258">
        <v>40.090000000000003</v>
      </c>
      <c r="G29" s="258">
        <v>59.65</v>
      </c>
      <c r="H29" s="258">
        <v>78</v>
      </c>
      <c r="I29" s="259">
        <v>130.00217099236642</v>
      </c>
      <c r="J29" s="259">
        <v>154.0835330000003</v>
      </c>
      <c r="K29" s="259">
        <v>154.0835330000003</v>
      </c>
      <c r="L29" s="259">
        <v>154.0835330000003</v>
      </c>
      <c r="M29" s="259">
        <v>119.89260274809162</v>
      </c>
      <c r="N29" s="258">
        <v>112.91</v>
      </c>
      <c r="O29" s="258">
        <v>128.84</v>
      </c>
      <c r="P29" s="258">
        <v>362.08570399236669</v>
      </c>
      <c r="Q29" s="258">
        <v>428.05966874809224</v>
      </c>
      <c r="R29" s="267">
        <v>1031.8953727404589</v>
      </c>
    </row>
    <row r="33" spans="1:23">
      <c r="A33" s="3" t="s">
        <v>142</v>
      </c>
    </row>
    <row r="34" spans="1:23" ht="15.75" thickBot="1">
      <c r="B34" s="9" t="s">
        <v>140</v>
      </c>
      <c r="C34" s="9" t="s">
        <v>140</v>
      </c>
      <c r="D34" s="9" t="s">
        <v>140</v>
      </c>
      <c r="E34" s="9" t="s">
        <v>140</v>
      </c>
      <c r="F34" s="9" t="s">
        <v>140</v>
      </c>
      <c r="G34" s="9" t="s">
        <v>140</v>
      </c>
      <c r="H34" s="9" t="s">
        <v>143</v>
      </c>
    </row>
    <row r="35" spans="1:23">
      <c r="A35" s="253" t="s">
        <v>27</v>
      </c>
      <c r="B35" s="254">
        <v>1</v>
      </c>
      <c r="C35" s="254">
        <v>2</v>
      </c>
      <c r="D35" s="254">
        <v>3</v>
      </c>
      <c r="E35" s="254">
        <v>4</v>
      </c>
      <c r="F35" s="254">
        <v>5</v>
      </c>
      <c r="G35" s="254">
        <v>6</v>
      </c>
      <c r="H35" s="254">
        <v>7</v>
      </c>
      <c r="I35" s="254">
        <v>8</v>
      </c>
      <c r="J35" s="254">
        <v>9</v>
      </c>
      <c r="K35" s="254">
        <v>10</v>
      </c>
      <c r="L35" s="254">
        <v>11</v>
      </c>
      <c r="M35" s="254">
        <v>12</v>
      </c>
      <c r="N35" s="254" t="s">
        <v>36</v>
      </c>
      <c r="O35" s="254" t="s">
        <v>37</v>
      </c>
      <c r="P35" s="254" t="s">
        <v>128</v>
      </c>
      <c r="Q35" s="254" t="s">
        <v>129</v>
      </c>
      <c r="R35" s="255" t="s">
        <v>130</v>
      </c>
    </row>
    <row r="36" spans="1:23" ht="45">
      <c r="A36" s="268" t="s">
        <v>137</v>
      </c>
      <c r="B36" s="260">
        <v>158.88</v>
      </c>
      <c r="C36" s="260">
        <v>98.12</v>
      </c>
      <c r="D36" s="260">
        <v>75.5</v>
      </c>
      <c r="E36" s="260">
        <v>82.199999999999989</v>
      </c>
      <c r="F36" s="260">
        <v>109.28</v>
      </c>
      <c r="G36" s="260">
        <v>159.33000000000001</v>
      </c>
      <c r="H36" s="250">
        <f t="shared" ref="H36" si="11">SUM(H37:H39)</f>
        <v>249.67412400000003</v>
      </c>
      <c r="I36" s="261">
        <v>288.98667918569612</v>
      </c>
      <c r="J36" s="261">
        <v>397.83305245045415</v>
      </c>
      <c r="K36" s="261">
        <v>404.76339600000114</v>
      </c>
      <c r="L36" s="261">
        <v>382.77581332432533</v>
      </c>
      <c r="M36" s="261">
        <v>322.30905963374607</v>
      </c>
      <c r="N36" s="5">
        <f t="shared" ref="N36:Q36" si="12">SUM(N37:N39)</f>
        <v>332.5</v>
      </c>
      <c r="O36" s="5">
        <f t="shared" si="12"/>
        <v>350.81000000000006</v>
      </c>
      <c r="P36" s="5">
        <f t="shared" si="12"/>
        <v>936.49385563615033</v>
      </c>
      <c r="Q36" s="5">
        <f t="shared" si="12"/>
        <v>1109.8482689580726</v>
      </c>
      <c r="R36" s="146">
        <f>SUM(B36:M36)</f>
        <v>2729.6521245942231</v>
      </c>
      <c r="U36" s="440"/>
    </row>
    <row r="37" spans="1:23">
      <c r="A37" s="256" t="s">
        <v>80</v>
      </c>
      <c r="B37" s="252">
        <v>27.94</v>
      </c>
      <c r="C37" s="252">
        <v>20.62</v>
      </c>
      <c r="D37" s="252">
        <v>18.600000000000001</v>
      </c>
      <c r="E37" s="252">
        <v>17.2</v>
      </c>
      <c r="F37" s="252">
        <v>15.08</v>
      </c>
      <c r="G37" s="252">
        <v>23.64</v>
      </c>
      <c r="H37" s="250">
        <v>25.951340000000002</v>
      </c>
      <c r="I37" s="248">
        <v>25.442099999999993</v>
      </c>
      <c r="J37" s="248">
        <v>54.141563450453177</v>
      </c>
      <c r="K37" s="248">
        <v>61.071907000000117</v>
      </c>
      <c r="L37" s="248">
        <v>39.084324324324342</v>
      </c>
      <c r="M37" s="248">
        <v>30.969055650423581</v>
      </c>
      <c r="N37" s="6">
        <f>SUM(B37:D37)</f>
        <v>67.16</v>
      </c>
      <c r="O37" s="6">
        <f>SUM(E37:G37)</f>
        <v>55.92</v>
      </c>
      <c r="P37" s="6">
        <f>SUM(H37:J37)</f>
        <v>105.53500345045317</v>
      </c>
      <c r="Q37" s="6">
        <f>SUM(K37:M37)</f>
        <v>131.12528697474804</v>
      </c>
      <c r="R37" s="146">
        <f>SUM(N37:Q37)</f>
        <v>359.74029042520124</v>
      </c>
    </row>
    <row r="38" spans="1:23">
      <c r="A38" s="256" t="s">
        <v>86</v>
      </c>
      <c r="B38" s="252">
        <v>73.599999999999994</v>
      </c>
      <c r="C38" s="252">
        <v>42.83</v>
      </c>
      <c r="D38" s="252">
        <v>36</v>
      </c>
      <c r="E38" s="252">
        <v>35.9</v>
      </c>
      <c r="F38" s="252">
        <v>54.11</v>
      </c>
      <c r="G38" s="252">
        <v>76.040000000000006</v>
      </c>
      <c r="H38" s="250">
        <v>126.49190400000002</v>
      </c>
      <c r="I38" s="248">
        <v>148.23025857500912</v>
      </c>
      <c r="J38" s="248">
        <v>189.60795600000071</v>
      </c>
      <c r="K38" s="248">
        <v>189.60795600000071</v>
      </c>
      <c r="L38" s="248">
        <v>189.60795600000071</v>
      </c>
      <c r="M38" s="248">
        <v>171.4474012352309</v>
      </c>
      <c r="N38" s="6">
        <f>SUM(B38:D38)</f>
        <v>152.43</v>
      </c>
      <c r="O38" s="6">
        <f>SUM(E38:G38)</f>
        <v>166.05</v>
      </c>
      <c r="P38" s="6">
        <f>SUM(H38:J38)</f>
        <v>464.33011857500981</v>
      </c>
      <c r="Q38" s="6">
        <f>SUM(K38:M38)</f>
        <v>550.66331323523229</v>
      </c>
      <c r="R38" s="146">
        <f>SUM(N38:Q38)</f>
        <v>1333.4734318102421</v>
      </c>
    </row>
    <row r="39" spans="1:23" ht="15.75" thickBot="1">
      <c r="A39" s="257" t="s">
        <v>133</v>
      </c>
      <c r="B39" s="258">
        <v>57.34</v>
      </c>
      <c r="C39" s="258">
        <v>34.67</v>
      </c>
      <c r="D39" s="258">
        <v>20.9</v>
      </c>
      <c r="E39" s="258">
        <v>29.1</v>
      </c>
      <c r="F39" s="258">
        <v>40.090000000000003</v>
      </c>
      <c r="G39" s="258">
        <v>59.65</v>
      </c>
      <c r="H39" s="251">
        <v>97.230880000000013</v>
      </c>
      <c r="I39" s="259">
        <v>115.31432061068703</v>
      </c>
      <c r="J39" s="259">
        <v>154.0835330000003</v>
      </c>
      <c r="K39" s="259">
        <v>154.0835330000003</v>
      </c>
      <c r="L39" s="259">
        <v>154.0835330000003</v>
      </c>
      <c r="M39" s="259">
        <v>119.89260274809162</v>
      </c>
      <c r="N39" s="148">
        <f>SUM(B39:D39)</f>
        <v>112.91</v>
      </c>
      <c r="O39" s="148">
        <f>SUM(E39:G39)</f>
        <v>128.84</v>
      </c>
      <c r="P39" s="148">
        <f>SUM(H39:J39)</f>
        <v>366.62873361068739</v>
      </c>
      <c r="Q39" s="148">
        <f>SUM(K39:M39)</f>
        <v>428.05966874809224</v>
      </c>
      <c r="R39" s="150">
        <f>SUM(N39:Q39)</f>
        <v>1036.4384023587795</v>
      </c>
    </row>
    <row r="42" spans="1:23" ht="16.5">
      <c r="A42" s="362" t="s">
        <v>144</v>
      </c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</row>
    <row r="43" spans="1:23" ht="15.75" thickBot="1">
      <c r="A43" s="8"/>
      <c r="B43" s="21" t="s">
        <v>140</v>
      </c>
      <c r="C43" s="21" t="s">
        <v>140</v>
      </c>
      <c r="D43" s="22" t="s">
        <v>140</v>
      </c>
      <c r="E43" s="22" t="s">
        <v>140</v>
      </c>
      <c r="F43" s="22" t="s">
        <v>140</v>
      </c>
      <c r="G43" s="22" t="s">
        <v>140</v>
      </c>
      <c r="H43" s="22" t="s">
        <v>140</v>
      </c>
      <c r="I43" s="22" t="s">
        <v>140</v>
      </c>
      <c r="J43" s="22" t="s">
        <v>140</v>
      </c>
      <c r="K43" s="22"/>
      <c r="L43" s="22"/>
      <c r="M43" s="22"/>
      <c r="N43" s="22"/>
      <c r="O43" s="22"/>
      <c r="P43" s="22"/>
      <c r="Q43" s="22"/>
      <c r="R43" s="22"/>
    </row>
    <row r="44" spans="1:23">
      <c r="A44" s="143" t="s">
        <v>27</v>
      </c>
      <c r="B44" s="144">
        <v>1</v>
      </c>
      <c r="C44" s="144">
        <v>2</v>
      </c>
      <c r="D44" s="144">
        <v>3</v>
      </c>
      <c r="E44" s="144">
        <v>4</v>
      </c>
      <c r="F44" s="144">
        <v>5</v>
      </c>
      <c r="G44" s="144">
        <v>6</v>
      </c>
      <c r="H44" s="144">
        <v>7</v>
      </c>
      <c r="I44" s="144">
        <v>8</v>
      </c>
      <c r="J44" s="144">
        <v>9</v>
      </c>
      <c r="K44" s="144">
        <v>10</v>
      </c>
      <c r="L44" s="144">
        <v>11</v>
      </c>
      <c r="M44" s="144">
        <v>12</v>
      </c>
      <c r="N44" s="144" t="s">
        <v>36</v>
      </c>
      <c r="O44" s="144" t="s">
        <v>37</v>
      </c>
      <c r="P44" s="144" t="s">
        <v>128</v>
      </c>
      <c r="Q44" s="144" t="s">
        <v>129</v>
      </c>
      <c r="R44" s="145" t="s">
        <v>130</v>
      </c>
    </row>
    <row r="45" spans="1:23" ht="38.25">
      <c r="A45" s="151" t="s">
        <v>137</v>
      </c>
      <c r="B45" s="142">
        <f t="shared" ref="B45:Q45" si="13">SUM(B46:B48)</f>
        <v>158.88</v>
      </c>
      <c r="C45" s="142">
        <f t="shared" si="13"/>
        <v>98.12</v>
      </c>
      <c r="D45" s="142">
        <f t="shared" si="13"/>
        <v>75.5</v>
      </c>
      <c r="E45" s="6">
        <f t="shared" si="13"/>
        <v>82.199999999999989</v>
      </c>
      <c r="F45" s="6">
        <f t="shared" si="13"/>
        <v>109.28</v>
      </c>
      <c r="G45" s="6">
        <f t="shared" si="13"/>
        <v>159.33000000000001</v>
      </c>
      <c r="H45" s="269">
        <f t="shared" si="13"/>
        <v>261.60000000000002</v>
      </c>
      <c r="I45" s="269">
        <f t="shared" si="13"/>
        <v>354.20000000000005</v>
      </c>
      <c r="J45" s="269">
        <f t="shared" si="13"/>
        <v>368.44</v>
      </c>
      <c r="K45" s="250">
        <f t="shared" si="13"/>
        <v>404.76339600000114</v>
      </c>
      <c r="L45" s="250">
        <f t="shared" si="13"/>
        <v>386.74118510103239</v>
      </c>
      <c r="M45" s="250">
        <f t="shared" si="13"/>
        <v>256.70801176541363</v>
      </c>
      <c r="N45" s="5">
        <f t="shared" si="13"/>
        <v>332.5</v>
      </c>
      <c r="O45" s="5">
        <f t="shared" si="13"/>
        <v>350.81000000000006</v>
      </c>
      <c r="P45" s="5">
        <f t="shared" si="13"/>
        <v>984.2399999999999</v>
      </c>
      <c r="Q45" s="5">
        <f t="shared" si="13"/>
        <v>1048.2125928664473</v>
      </c>
      <c r="R45" s="146">
        <f>SUM(B45:M45)</f>
        <v>2715.7625928664474</v>
      </c>
    </row>
    <row r="46" spans="1:23">
      <c r="A46" s="152" t="s">
        <v>80</v>
      </c>
      <c r="B46" s="142">
        <v>27.94</v>
      </c>
      <c r="C46" s="142">
        <v>20.62</v>
      </c>
      <c r="D46" s="6">
        <v>18.600000000000001</v>
      </c>
      <c r="E46" s="6">
        <v>17.2</v>
      </c>
      <c r="F46" s="14">
        <v>15.08</v>
      </c>
      <c r="G46" s="6">
        <v>23.64</v>
      </c>
      <c r="H46" s="269">
        <v>25.3</v>
      </c>
      <c r="I46" s="269">
        <v>41.8</v>
      </c>
      <c r="J46" s="269">
        <v>44.45</v>
      </c>
      <c r="K46" s="250">
        <v>61.071907000000117</v>
      </c>
      <c r="L46" s="250">
        <v>45.523194256756781</v>
      </c>
      <c r="M46" s="250">
        <v>24.461513513513509</v>
      </c>
      <c r="N46" s="6">
        <f>SUM(B46:D46)</f>
        <v>67.16</v>
      </c>
      <c r="O46" s="6">
        <f>SUM(E46:G46)</f>
        <v>55.92</v>
      </c>
      <c r="P46" s="6">
        <f>SUM(H46:J46)</f>
        <v>111.55</v>
      </c>
      <c r="Q46" s="6">
        <f>SUM(K46:M46)</f>
        <v>131.05661477027041</v>
      </c>
      <c r="R46" s="146">
        <f>SUM(N46:Q46)</f>
        <v>365.68661477027041</v>
      </c>
      <c r="U46" s="3">
        <v>20928.5</v>
      </c>
      <c r="V46" s="3">
        <f>U46/1000</f>
        <v>20.9285</v>
      </c>
      <c r="W46" s="3">
        <f>V46*31/25</f>
        <v>25.951340000000002</v>
      </c>
    </row>
    <row r="47" spans="1:23">
      <c r="A47" s="153" t="s">
        <v>86</v>
      </c>
      <c r="B47" s="142">
        <v>73.599999999999994</v>
      </c>
      <c r="C47" s="142">
        <v>42.83</v>
      </c>
      <c r="D47" s="6">
        <v>36</v>
      </c>
      <c r="E47" s="6">
        <v>35.9</v>
      </c>
      <c r="F47" s="14">
        <v>54.11</v>
      </c>
      <c r="G47" s="6">
        <v>76.040000000000006</v>
      </c>
      <c r="H47" s="269">
        <v>135.69999999999999</v>
      </c>
      <c r="I47" s="269">
        <v>177</v>
      </c>
      <c r="J47" s="269">
        <v>179.48</v>
      </c>
      <c r="K47" s="250">
        <v>189.60795600000071</v>
      </c>
      <c r="L47" s="250">
        <v>189.60795600000071</v>
      </c>
      <c r="M47" s="250">
        <v>137.62332878625134</v>
      </c>
      <c r="N47" s="6">
        <f>SUM(B47:D47)</f>
        <v>152.43</v>
      </c>
      <c r="O47" s="6">
        <f>SUM(E47:G47)</f>
        <v>166.05</v>
      </c>
      <c r="P47" s="6">
        <f>SUM(H47:J47)</f>
        <v>492.17999999999995</v>
      </c>
      <c r="Q47" s="6">
        <f>SUM(K47:M47)</f>
        <v>516.83924078625273</v>
      </c>
      <c r="R47" s="146">
        <f>SUM(N47:Q47)</f>
        <v>1327.4992407862528</v>
      </c>
      <c r="U47" s="3">
        <v>102009.60000000001</v>
      </c>
      <c r="V47" s="3">
        <f t="shared" ref="V47:V48" si="14">U47/1000</f>
        <v>102.00960000000001</v>
      </c>
      <c r="W47" s="3">
        <f t="shared" ref="W47:W48" si="15">V47*31/25</f>
        <v>126.49190400000002</v>
      </c>
    </row>
    <row r="48" spans="1:23" ht="15.75" thickBot="1">
      <c r="A48" s="154" t="s">
        <v>133</v>
      </c>
      <c r="B48" s="147">
        <v>57.34</v>
      </c>
      <c r="C48" s="147">
        <v>34.67</v>
      </c>
      <c r="D48" s="148">
        <v>20.9</v>
      </c>
      <c r="E48" s="148">
        <v>29.1</v>
      </c>
      <c r="F48" s="149">
        <v>40.090000000000003</v>
      </c>
      <c r="G48" s="148">
        <v>59.65</v>
      </c>
      <c r="H48" s="270">
        <v>100.6</v>
      </c>
      <c r="I48" s="270">
        <v>135.4</v>
      </c>
      <c r="J48" s="270">
        <v>144.51</v>
      </c>
      <c r="K48" s="251">
        <v>154.0835330000003</v>
      </c>
      <c r="L48" s="251">
        <v>151.61003484427488</v>
      </c>
      <c r="M48" s="251">
        <v>94.623169465648829</v>
      </c>
      <c r="N48" s="148">
        <f>SUM(B48:D48)</f>
        <v>112.91</v>
      </c>
      <c r="O48" s="148">
        <f>SUM(E48:G48)</f>
        <v>128.84</v>
      </c>
      <c r="P48" s="148">
        <f>SUM(H48:J48)</f>
        <v>380.51</v>
      </c>
      <c r="Q48" s="148">
        <f>SUM(K48:M48)</f>
        <v>400.31673730992406</v>
      </c>
      <c r="R48" s="150">
        <f>SUM(N48:Q48)</f>
        <v>1022.5767373099241</v>
      </c>
      <c r="U48" s="3">
        <v>78412</v>
      </c>
      <c r="V48" s="3">
        <f t="shared" si="14"/>
        <v>78.412000000000006</v>
      </c>
      <c r="W48" s="3">
        <f t="shared" si="15"/>
        <v>97.230880000000013</v>
      </c>
    </row>
    <row r="50" spans="1:18">
      <c r="B50" s="238" t="s">
        <v>145</v>
      </c>
    </row>
    <row r="52" spans="1:18">
      <c r="A52" t="s">
        <v>146</v>
      </c>
    </row>
    <row r="54" spans="1:18">
      <c r="A54" s="7" t="s">
        <v>27</v>
      </c>
      <c r="B54" s="7">
        <v>1</v>
      </c>
      <c r="C54" s="7">
        <v>2</v>
      </c>
      <c r="D54" s="7">
        <v>3</v>
      </c>
      <c r="E54" s="7">
        <v>4</v>
      </c>
      <c r="F54" s="7">
        <v>5</v>
      </c>
      <c r="G54" s="7">
        <v>6</v>
      </c>
      <c r="H54" s="7">
        <v>7</v>
      </c>
      <c r="I54" s="7">
        <v>8</v>
      </c>
      <c r="J54" s="7">
        <v>9</v>
      </c>
      <c r="K54" s="7">
        <v>10</v>
      </c>
      <c r="L54" s="7">
        <v>11</v>
      </c>
      <c r="M54" s="7">
        <v>12</v>
      </c>
      <c r="N54" s="7" t="s">
        <v>36</v>
      </c>
      <c r="O54" s="7" t="s">
        <v>37</v>
      </c>
      <c r="P54" s="7" t="s">
        <v>128</v>
      </c>
      <c r="Q54" s="7" t="s">
        <v>129</v>
      </c>
      <c r="R54" s="7" t="s">
        <v>130</v>
      </c>
    </row>
    <row r="55" spans="1:18" ht="51">
      <c r="A55" s="13" t="s">
        <v>131</v>
      </c>
      <c r="B55" s="14">
        <f>SUM(B56:B58)</f>
        <v>137.63089794660749</v>
      </c>
      <c r="C55" s="14">
        <f t="shared" ref="C55:M55" si="16">SUM(C56:C58)</f>
        <v>77.759287472252197</v>
      </c>
      <c r="D55" s="14">
        <f t="shared" si="16"/>
        <v>52.295377005760606</v>
      </c>
      <c r="E55" s="437">
        <f t="shared" si="16"/>
        <v>53.308568007601863</v>
      </c>
      <c r="F55" s="437">
        <f t="shared" si="16"/>
        <v>106.99722372383624</v>
      </c>
      <c r="G55" s="437">
        <f t="shared" si="16"/>
        <v>189.90025806807813</v>
      </c>
      <c r="H55" s="437">
        <f t="shared" si="16"/>
        <v>247.08864370681542</v>
      </c>
      <c r="I55" s="437">
        <f t="shared" si="16"/>
        <v>377.94256225012589</v>
      </c>
      <c r="J55" s="437">
        <f t="shared" si="16"/>
        <v>400.199504613199</v>
      </c>
      <c r="K55" s="437">
        <f t="shared" si="16"/>
        <v>404.76339600000142</v>
      </c>
      <c r="L55" s="437">
        <f t="shared" si="16"/>
        <v>383.06101963900096</v>
      </c>
      <c r="M55" s="14">
        <f t="shared" si="16"/>
        <v>307.87488929251276</v>
      </c>
      <c r="N55" s="15">
        <f>SUM(B55:D55)</f>
        <v>267.68556242462029</v>
      </c>
      <c r="O55" s="15">
        <f>SUM(E55:G55)</f>
        <v>350.20604979951622</v>
      </c>
      <c r="P55" s="15">
        <f>SUM(H55:J55)</f>
        <v>1025.2307105701402</v>
      </c>
      <c r="Q55" s="140">
        <f>SUM(K55:M55)</f>
        <v>1095.6993049315151</v>
      </c>
      <c r="R55" s="16">
        <f>SUM(N55:Q55)</f>
        <v>2738.8216277257916</v>
      </c>
    </row>
    <row r="56" spans="1:18">
      <c r="A56" s="444" t="s">
        <v>80</v>
      </c>
      <c r="B56" s="437">
        <v>13.781805098073741</v>
      </c>
      <c r="C56" s="437">
        <v>8.7962208583574153</v>
      </c>
      <c r="D56" s="437">
        <v>7.4411295722443942</v>
      </c>
      <c r="E56" s="437">
        <v>6.8743897440387496</v>
      </c>
      <c r="F56" s="437">
        <v>10.65941795382318</v>
      </c>
      <c r="G56" s="437">
        <v>20.826642396809838</v>
      </c>
      <c r="H56" s="437">
        <v>26.058879816017285</v>
      </c>
      <c r="I56" s="437">
        <v>51.72000881608097</v>
      </c>
      <c r="J56" s="437">
        <v>56.508015613197742</v>
      </c>
      <c r="K56" s="437">
        <v>61.071907000000117</v>
      </c>
      <c r="L56" s="437">
        <v>39.36953063899967</v>
      </c>
      <c r="M56" s="14">
        <v>25.679651043484323</v>
      </c>
      <c r="N56" s="14">
        <f>SUM(B56:D56)</f>
        <v>30.019155528675547</v>
      </c>
      <c r="O56" s="14">
        <f>SUM(E56:G56)</f>
        <v>38.360450094671769</v>
      </c>
      <c r="P56" s="14">
        <f>SUM(H56:J56)</f>
        <v>134.286904245296</v>
      </c>
      <c r="Q56" s="14">
        <f>SUM(K56:M56)</f>
        <v>126.12108868248411</v>
      </c>
      <c r="R56" s="445">
        <f>SUM(N56:Q56)</f>
        <v>328.78759855112742</v>
      </c>
    </row>
    <row r="57" spans="1:18">
      <c r="A57" s="14" t="s">
        <v>132</v>
      </c>
      <c r="B57" s="437">
        <v>74.91984364472296</v>
      </c>
      <c r="C57" s="437">
        <v>41.448373682589775</v>
      </c>
      <c r="D57" s="437">
        <v>26.814078942631181</v>
      </c>
      <c r="E57" s="437">
        <v>27.801205165961029</v>
      </c>
      <c r="F57" s="437">
        <v>57.887041188666487</v>
      </c>
      <c r="G57" s="437">
        <v>100.41876642028004</v>
      </c>
      <c r="H57" s="437">
        <v>132.46923170153102</v>
      </c>
      <c r="I57" s="437">
        <v>189.607956000001</v>
      </c>
      <c r="J57" s="437">
        <v>189.607956000001</v>
      </c>
      <c r="K57" s="437">
        <v>189.607956000001</v>
      </c>
      <c r="L57" s="437">
        <v>189.607956000001</v>
      </c>
      <c r="M57" s="14">
        <v>169.42007928197734</v>
      </c>
      <c r="N57" s="14">
        <f t="shared" ref="N57:N58" si="17">SUM(B57:D57)</f>
        <v>143.18229626994392</v>
      </c>
      <c r="O57" s="14">
        <f t="shared" ref="O57:O58" si="18">SUM(E57:G57)</f>
        <v>186.10701277490756</v>
      </c>
      <c r="P57" s="14">
        <f t="shared" ref="P57:P58" si="19">SUM(H57:J57)</f>
        <v>511.68514370153298</v>
      </c>
      <c r="Q57" s="14">
        <f t="shared" ref="Q57:Q58" si="20">SUM(K57:M57)</f>
        <v>548.63599128197939</v>
      </c>
      <c r="R57" s="445">
        <f t="shared" ref="R57:R58" si="21">SUM(N57:Q57)</f>
        <v>1389.6104440283639</v>
      </c>
    </row>
    <row r="58" spans="1:18">
      <c r="A58" s="14" t="s">
        <v>133</v>
      </c>
      <c r="B58" s="437">
        <v>48.929249203810798</v>
      </c>
      <c r="C58" s="437">
        <v>27.514692931305014</v>
      </c>
      <c r="D58" s="437">
        <v>18.04016849088503</v>
      </c>
      <c r="E58" s="437">
        <v>18.632973097602083</v>
      </c>
      <c r="F58" s="437">
        <v>38.450764581346583</v>
      </c>
      <c r="G58" s="437">
        <v>68.654849250988264</v>
      </c>
      <c r="H58" s="437">
        <v>88.560532189267121</v>
      </c>
      <c r="I58" s="437">
        <v>136.61459743404396</v>
      </c>
      <c r="J58" s="437">
        <v>154.0835330000003</v>
      </c>
      <c r="K58" s="437">
        <v>154.0835330000003</v>
      </c>
      <c r="L58" s="437">
        <v>154.0835330000003</v>
      </c>
      <c r="M58" s="14">
        <v>112.77515896705111</v>
      </c>
      <c r="N58" s="14">
        <f t="shared" si="17"/>
        <v>94.484110626000842</v>
      </c>
      <c r="O58" s="14">
        <f t="shared" si="18"/>
        <v>125.73858692993693</v>
      </c>
      <c r="P58" s="14">
        <f t="shared" si="19"/>
        <v>379.25866262331135</v>
      </c>
      <c r="Q58" s="14">
        <f t="shared" si="20"/>
        <v>420.94222496705174</v>
      </c>
      <c r="R58" s="445">
        <f t="shared" si="21"/>
        <v>1020.4235851463009</v>
      </c>
    </row>
    <row r="60" spans="1:18">
      <c r="B60" s="443">
        <v>13.781805098073741</v>
      </c>
      <c r="C60" s="443">
        <v>8.7962208583574153</v>
      </c>
      <c r="D60" s="443">
        <v>7.4411295722443942</v>
      </c>
      <c r="E60" s="443">
        <v>6.8743897440387496</v>
      </c>
      <c r="F60" s="443">
        <v>10.65941795382318</v>
      </c>
      <c r="G60" s="443">
        <v>20.826642396809838</v>
      </c>
      <c r="H60" s="443">
        <v>26.058879816017285</v>
      </c>
      <c r="I60" s="443">
        <v>51.72000881608097</v>
      </c>
      <c r="J60" s="443">
        <v>56.508015613197742</v>
      </c>
      <c r="K60" s="443">
        <v>61.071907000000117</v>
      </c>
      <c r="L60" s="443">
        <v>39.36953063899967</v>
      </c>
      <c r="M60" s="443">
        <v>25.679651043484323</v>
      </c>
    </row>
    <row r="61" spans="1:18">
      <c r="B61" s="443">
        <v>74.91984364472296</v>
      </c>
      <c r="C61" s="443">
        <v>41.448373682589775</v>
      </c>
      <c r="D61" s="443">
        <v>26.814078942631181</v>
      </c>
      <c r="E61" s="443">
        <v>27.801205165961029</v>
      </c>
      <c r="F61" s="443">
        <v>57.887041188666487</v>
      </c>
      <c r="G61" s="443">
        <v>100.41876642028004</v>
      </c>
      <c r="H61" s="443">
        <v>132.46923170153102</v>
      </c>
      <c r="I61" s="443">
        <v>189.607956000001</v>
      </c>
      <c r="J61" s="443">
        <v>189.607956000001</v>
      </c>
      <c r="K61" s="443">
        <v>189.607956000001</v>
      </c>
      <c r="L61" s="443">
        <v>189.607956000001</v>
      </c>
      <c r="M61" s="443">
        <v>169.42007928197734</v>
      </c>
    </row>
    <row r="62" spans="1:18">
      <c r="B62" s="443">
        <v>48.929249203810798</v>
      </c>
      <c r="C62" s="443">
        <v>27.514692931305014</v>
      </c>
      <c r="D62" s="443">
        <v>18.04016849088503</v>
      </c>
      <c r="E62" s="443">
        <v>18.632973097602083</v>
      </c>
      <c r="F62" s="443">
        <v>38.450764581346583</v>
      </c>
      <c r="G62" s="443">
        <v>68.654849250988264</v>
      </c>
      <c r="H62" s="443">
        <v>88.560532189267121</v>
      </c>
      <c r="I62" s="443">
        <v>136.61459743404396</v>
      </c>
      <c r="J62" s="443">
        <v>154.0835330000003</v>
      </c>
      <c r="K62" s="443">
        <v>154.0835330000003</v>
      </c>
      <c r="L62" s="443">
        <v>154.0835330000003</v>
      </c>
      <c r="M62" s="443">
        <v>112.77515896705111</v>
      </c>
    </row>
    <row r="63" spans="1:18">
      <c r="B63" s="443"/>
      <c r="C63" s="443"/>
      <c r="D63" s="443"/>
      <c r="E63" s="443"/>
      <c r="F63" s="443"/>
      <c r="G63" s="443"/>
      <c r="H63" s="443"/>
      <c r="I63" s="443"/>
      <c r="J63" s="443"/>
      <c r="K63" s="443"/>
      <c r="L63" s="443"/>
      <c r="M63" s="443"/>
    </row>
    <row r="64" spans="1:18">
      <c r="A64" t="s">
        <v>146</v>
      </c>
      <c r="B64" s="443" t="s">
        <v>147</v>
      </c>
      <c r="C64" s="443"/>
      <c r="D64" s="443"/>
      <c r="E64" s="443"/>
      <c r="F64" s="443"/>
      <c r="G64" s="443"/>
      <c r="H64" s="443"/>
      <c r="I64" s="443"/>
      <c r="J64" s="443"/>
      <c r="K64" s="443"/>
      <c r="L64" s="443"/>
      <c r="M64" s="443"/>
    </row>
    <row r="65" spans="1:20">
      <c r="B65" s="443"/>
      <c r="C65" s="443"/>
      <c r="D65" s="443"/>
      <c r="E65" s="443"/>
      <c r="F65" s="443"/>
      <c r="G65" s="443"/>
      <c r="H65" s="443"/>
      <c r="I65" s="443"/>
      <c r="J65" s="443"/>
      <c r="K65" s="443"/>
      <c r="L65" s="443"/>
      <c r="M65" s="443"/>
    </row>
    <row r="66" spans="1:20">
      <c r="A66" t="s">
        <v>27</v>
      </c>
      <c r="B66" s="454">
        <v>1</v>
      </c>
      <c r="C66" s="454">
        <v>2</v>
      </c>
      <c r="D66" s="454">
        <v>3</v>
      </c>
      <c r="E66" s="454">
        <v>4</v>
      </c>
      <c r="F66" s="454">
        <v>5</v>
      </c>
      <c r="G66" s="454">
        <v>6</v>
      </c>
      <c r="H66" s="457">
        <v>7</v>
      </c>
      <c r="I66" s="457">
        <v>8</v>
      </c>
      <c r="J66" s="457">
        <v>9</v>
      </c>
      <c r="K66" s="457">
        <v>10</v>
      </c>
      <c r="L66" s="457">
        <v>11</v>
      </c>
      <c r="M66" s="457">
        <v>12</v>
      </c>
      <c r="N66" t="s">
        <v>36</v>
      </c>
      <c r="O66" t="s">
        <v>37</v>
      </c>
      <c r="P66" t="s">
        <v>128</v>
      </c>
      <c r="Q66" t="s">
        <v>129</v>
      </c>
      <c r="R66" t="s">
        <v>130</v>
      </c>
      <c r="S66" s="471" t="s">
        <v>148</v>
      </c>
      <c r="T66" t="s">
        <v>149</v>
      </c>
    </row>
    <row r="67" spans="1:20" ht="45">
      <c r="A67" s="460" t="s">
        <v>150</v>
      </c>
      <c r="B67" s="461">
        <f>SUM(B68:B70)</f>
        <v>206.07510510000003</v>
      </c>
      <c r="C67" s="461">
        <f t="shared" ref="C67:R67" si="22">SUM(C68:C70)</f>
        <v>127.76560330000001</v>
      </c>
      <c r="D67" s="461">
        <f t="shared" si="22"/>
        <v>139.43998400000001</v>
      </c>
      <c r="E67" s="461">
        <f t="shared" si="22"/>
        <v>108.54990179999999</v>
      </c>
      <c r="F67" s="461">
        <f t="shared" si="22"/>
        <v>104.082555</v>
      </c>
      <c r="G67" s="461">
        <f t="shared" si="22"/>
        <v>132.78615629999999</v>
      </c>
      <c r="H67" s="462">
        <f t="shared" si="22"/>
        <v>207.13973088432942</v>
      </c>
      <c r="I67" s="462">
        <f t="shared" si="22"/>
        <v>336.84827341435766</v>
      </c>
      <c r="J67" s="462">
        <f t="shared" si="22"/>
        <v>398.75708530630976</v>
      </c>
      <c r="K67" s="462">
        <f t="shared" si="22"/>
        <v>404.76339600000142</v>
      </c>
      <c r="L67" s="462">
        <f t="shared" si="22"/>
        <v>390.61497666399362</v>
      </c>
      <c r="M67" s="462">
        <f t="shared" si="22"/>
        <v>315.07143657230966</v>
      </c>
      <c r="N67" s="463">
        <f t="shared" si="22"/>
        <v>473.28069240000002</v>
      </c>
      <c r="O67" s="463">
        <f t="shared" si="22"/>
        <v>345.41861310000002</v>
      </c>
      <c r="P67" s="463">
        <f t="shared" si="22"/>
        <v>942.74508960499679</v>
      </c>
      <c r="Q67" s="463">
        <f t="shared" si="22"/>
        <v>1110.4498092363046</v>
      </c>
      <c r="R67" s="464">
        <f t="shared" si="22"/>
        <v>2871.8942043413017</v>
      </c>
      <c r="S67" s="477">
        <v>2623</v>
      </c>
      <c r="T67" s="478">
        <f>1-S67/R67</f>
        <v>8.6665519908449506E-2</v>
      </c>
    </row>
    <row r="68" spans="1:20">
      <c r="A68" t="s">
        <v>80</v>
      </c>
      <c r="B68" s="455">
        <v>26.021293799999999</v>
      </c>
      <c r="C68" s="455">
        <v>24.001324499999999</v>
      </c>
      <c r="D68" s="455">
        <v>27.454285800000001</v>
      </c>
      <c r="E68" s="455">
        <v>24.151494</v>
      </c>
      <c r="F68" s="455">
        <v>18.922208399999999</v>
      </c>
      <c r="G68" s="455">
        <v>18.093756799999998</v>
      </c>
      <c r="H68" s="458">
        <v>22.673160732139984</v>
      </c>
      <c r="I68" s="458">
        <v>42.081469810809999</v>
      </c>
      <c r="J68" s="458">
        <v>55.065596306308464</v>
      </c>
      <c r="K68" s="458">
        <v>61.071907000000117</v>
      </c>
      <c r="L68" s="458">
        <v>46.923487663992312</v>
      </c>
      <c r="M68" s="458">
        <v>30.608562162162155</v>
      </c>
      <c r="N68" s="456">
        <f>SUM(B68:D68)</f>
        <v>77.476904099999999</v>
      </c>
      <c r="O68" s="456">
        <f>SUM(E68:G68)</f>
        <v>61.167459199999996</v>
      </c>
      <c r="P68" s="456">
        <f>SUM(H68:J68)</f>
        <v>119.82022684925845</v>
      </c>
      <c r="Q68" s="456">
        <f>SUM(K68:M68)</f>
        <v>138.60395682615459</v>
      </c>
      <c r="R68" s="456">
        <f>SUM(N68:Q68)</f>
        <v>397.06854697541303</v>
      </c>
    </row>
    <row r="69" spans="1:20">
      <c r="A69" t="s">
        <v>132</v>
      </c>
      <c r="B69" s="455">
        <v>103.24910490000001</v>
      </c>
      <c r="C69" s="455">
        <v>57.568962500000005</v>
      </c>
      <c r="D69" s="455">
        <v>59.992719399999999</v>
      </c>
      <c r="E69" s="455">
        <v>44.5033636</v>
      </c>
      <c r="F69" s="455">
        <v>47.318828000000003</v>
      </c>
      <c r="G69" s="455">
        <v>64.155334400000001</v>
      </c>
      <c r="H69" s="458">
        <v>103.29052373997567</v>
      </c>
      <c r="I69" s="458">
        <v>167.23033703866216</v>
      </c>
      <c r="J69" s="458">
        <v>189.607956000001</v>
      </c>
      <c r="K69" s="458">
        <v>189.607956000001</v>
      </c>
      <c r="L69" s="458">
        <v>189.607956000001</v>
      </c>
      <c r="M69" s="458">
        <v>167.70677413533838</v>
      </c>
      <c r="N69" s="456">
        <f t="shared" ref="N69:N70" si="23">SUM(B69:D69)</f>
        <v>220.81078680000002</v>
      </c>
      <c r="O69" s="456">
        <f t="shared" ref="O69:O70" si="24">SUM(E69:G69)</f>
        <v>155.97752600000001</v>
      </c>
      <c r="P69" s="456">
        <f t="shared" ref="P69:P70" si="25">SUM(H69:J69)</f>
        <v>460.12881677863879</v>
      </c>
      <c r="Q69" s="456">
        <f t="shared" ref="Q69:Q70" si="26">SUM(K69:M69)</f>
        <v>546.92268613534043</v>
      </c>
      <c r="R69" s="456">
        <f t="shared" ref="R69:R70" si="27">SUM(N69:Q69)</f>
        <v>1383.8398157139793</v>
      </c>
    </row>
    <row r="70" spans="1:20">
      <c r="A70" t="s">
        <v>133</v>
      </c>
      <c r="B70" s="455">
        <v>76.804706400000001</v>
      </c>
      <c r="C70" s="455">
        <v>46.195316300000002</v>
      </c>
      <c r="D70" s="455">
        <v>51.992978799999996</v>
      </c>
      <c r="E70" s="455">
        <v>39.895044199999994</v>
      </c>
      <c r="F70" s="455">
        <v>37.841518600000001</v>
      </c>
      <c r="G70" s="455">
        <v>50.5370651</v>
      </c>
      <c r="H70" s="458">
        <v>81.176046412213751</v>
      </c>
      <c r="I70" s="458">
        <v>127.5364665648855</v>
      </c>
      <c r="J70" s="458">
        <v>154.0835330000003</v>
      </c>
      <c r="K70" s="458">
        <v>154.0835330000003</v>
      </c>
      <c r="L70" s="458">
        <v>154.0835330000003</v>
      </c>
      <c r="M70" s="458">
        <v>116.75610027480916</v>
      </c>
      <c r="N70" s="456">
        <f t="shared" si="23"/>
        <v>174.99300149999999</v>
      </c>
      <c r="O70" s="456">
        <f t="shared" si="24"/>
        <v>128.27362790000001</v>
      </c>
      <c r="P70" s="456">
        <f t="shared" si="25"/>
        <v>362.79604597709954</v>
      </c>
      <c r="Q70" s="456">
        <f t="shared" si="26"/>
        <v>424.92316627480977</v>
      </c>
      <c r="R70" s="456">
        <f t="shared" si="27"/>
        <v>1090.9858416519094</v>
      </c>
    </row>
    <row r="71" spans="1:20">
      <c r="B71" s="484" t="s">
        <v>151</v>
      </c>
      <c r="C71" s="484"/>
      <c r="D71" s="484"/>
      <c r="E71" s="484"/>
      <c r="F71" s="484"/>
      <c r="G71" s="484"/>
      <c r="H71" s="485" t="s">
        <v>152</v>
      </c>
      <c r="I71" s="485"/>
      <c r="J71" s="485"/>
      <c r="K71" s="485"/>
      <c r="L71" s="485"/>
      <c r="M71" s="485"/>
      <c r="T71" s="470">
        <f>(T67+T76)/2</f>
        <v>9.8042436215362294E-2</v>
      </c>
    </row>
    <row r="73" spans="1:20">
      <c r="A73" t="s">
        <v>146</v>
      </c>
      <c r="B73" s="443" t="s">
        <v>153</v>
      </c>
      <c r="C73" s="443"/>
      <c r="D73" s="443"/>
      <c r="E73" s="443"/>
      <c r="F73" s="443"/>
      <c r="G73" s="443"/>
      <c r="H73" s="443"/>
      <c r="I73" s="443"/>
      <c r="J73" s="443"/>
      <c r="K73" s="443"/>
      <c r="L73" s="443"/>
      <c r="M73" s="443"/>
    </row>
    <row r="74" spans="1:20">
      <c r="B74" s="443"/>
      <c r="C74" s="443"/>
      <c r="D74" s="443"/>
      <c r="E74" s="443"/>
      <c r="F74" s="443"/>
      <c r="G74" s="443"/>
      <c r="H74" s="443"/>
      <c r="I74" s="443"/>
      <c r="J74" s="443"/>
      <c r="K74" s="443"/>
      <c r="L74" s="443"/>
      <c r="M74" s="443"/>
    </row>
    <row r="75" spans="1:20">
      <c r="A75" t="s">
        <v>27</v>
      </c>
      <c r="B75" s="454">
        <v>1</v>
      </c>
      <c r="C75" s="454">
        <v>2</v>
      </c>
      <c r="D75" s="454">
        <v>3</v>
      </c>
      <c r="E75" s="454">
        <v>4</v>
      </c>
      <c r="F75" s="454">
        <v>5</v>
      </c>
      <c r="G75" s="454">
        <v>6</v>
      </c>
      <c r="H75" s="457">
        <v>7</v>
      </c>
      <c r="I75" s="457">
        <v>8</v>
      </c>
      <c r="J75" s="457">
        <v>9</v>
      </c>
      <c r="K75" s="457">
        <v>10</v>
      </c>
      <c r="L75" s="457">
        <v>11</v>
      </c>
      <c r="M75" s="457">
        <v>12</v>
      </c>
      <c r="N75" t="s">
        <v>36</v>
      </c>
      <c r="O75" t="s">
        <v>37</v>
      </c>
      <c r="P75" t="s">
        <v>128</v>
      </c>
      <c r="Q75" t="s">
        <v>129</v>
      </c>
      <c r="R75" t="s">
        <v>130</v>
      </c>
      <c r="S75" t="s">
        <v>154</v>
      </c>
    </row>
    <row r="76" spans="1:20" ht="45">
      <c r="A76" s="460" t="s">
        <v>150</v>
      </c>
      <c r="B76" s="461">
        <f>SUM(B77:B79)</f>
        <v>206.07510510000003</v>
      </c>
      <c r="C76" s="461">
        <f t="shared" ref="C76" si="28">SUM(C77:C79)</f>
        <v>127.76560330000001</v>
      </c>
      <c r="D76" s="461">
        <f t="shared" ref="D76" si="29">SUM(D77:D79)</f>
        <v>139.43998400000001</v>
      </c>
      <c r="E76" s="461">
        <f t="shared" ref="E76" si="30">SUM(E77:E79)</f>
        <v>108.54990179999999</v>
      </c>
      <c r="F76" s="461">
        <f t="shared" ref="F76" si="31">SUM(F77:F79)</f>
        <v>104.082555</v>
      </c>
      <c r="G76" s="461">
        <f t="shared" ref="G76" si="32">SUM(G77:G79)</f>
        <v>132.78615629999999</v>
      </c>
      <c r="H76" s="462">
        <f t="shared" ref="H76" si="33">SUM(H77:H79)</f>
        <v>175.31435192065163</v>
      </c>
      <c r="I76" s="462">
        <f t="shared" ref="I76" si="34">SUM(I77:I79)</f>
        <v>275.2602935231622</v>
      </c>
      <c r="J76" s="462">
        <f t="shared" ref="J76" si="35">SUM(J77:J79)</f>
        <v>345.50284119624416</v>
      </c>
      <c r="K76" s="462">
        <f t="shared" ref="K76" si="36">SUM(K77:K79)</f>
        <v>382.07987500470551</v>
      </c>
      <c r="L76" s="462">
        <f t="shared" ref="L76" si="37">SUM(L77:L79)</f>
        <v>325.12378022116877</v>
      </c>
      <c r="M76" s="462">
        <f t="shared" ref="M76" si="38">SUM(M77:M79)</f>
        <v>254.98998928102185</v>
      </c>
      <c r="N76" s="463">
        <f t="shared" ref="N76" si="39">SUM(N77:N79)</f>
        <v>473.28069240000002</v>
      </c>
      <c r="O76" s="463">
        <f t="shared" ref="O76" si="40">SUM(O77:O79)</f>
        <v>345.41861310000002</v>
      </c>
      <c r="P76" s="463">
        <f t="shared" ref="P76" si="41">SUM(P77:P79)</f>
        <v>796.07748664005794</v>
      </c>
      <c r="Q76" s="463">
        <f t="shared" ref="Q76" si="42">SUM(Q77:Q79)</f>
        <v>962.19364450689613</v>
      </c>
      <c r="R76" s="464">
        <f t="shared" ref="R76" si="43">SUM(R77:R79)</f>
        <v>2576.9704366469541</v>
      </c>
      <c r="S76" s="468">
        <v>2295</v>
      </c>
      <c r="T76" s="478">
        <f>1-S76/R76</f>
        <v>0.10941935252227508</v>
      </c>
    </row>
    <row r="77" spans="1:20">
      <c r="A77" t="s">
        <v>80</v>
      </c>
      <c r="B77" s="455">
        <v>26.021293799999999</v>
      </c>
      <c r="C77" s="455">
        <v>24.001324499999999</v>
      </c>
      <c r="D77" s="455">
        <v>27.454285800000001</v>
      </c>
      <c r="E77" s="455">
        <v>24.151494</v>
      </c>
      <c r="F77" s="455">
        <v>18.922208399999999</v>
      </c>
      <c r="G77" s="455">
        <v>18.093756799999998</v>
      </c>
      <c r="H77" s="458">
        <v>22.621621621621621</v>
      </c>
      <c r="I77" s="458">
        <v>34.686486486486487</v>
      </c>
      <c r="J77" s="458">
        <v>44.659459459459455</v>
      </c>
      <c r="K77" s="458">
        <v>48.259459459459435</v>
      </c>
      <c r="L77" s="458">
        <v>30.648648648648646</v>
      </c>
      <c r="M77" s="458">
        <v>22.169189189189186</v>
      </c>
      <c r="N77" s="456">
        <f>SUM(B77:D77)</f>
        <v>77.476904099999999</v>
      </c>
      <c r="O77" s="456">
        <f>SUM(E77:G77)</f>
        <v>61.167459199999996</v>
      </c>
      <c r="P77" s="456">
        <f>SUM(H77:J77)</f>
        <v>101.96756756756756</v>
      </c>
      <c r="Q77" s="456">
        <f>SUM(K77:M77)</f>
        <v>101.07729729729726</v>
      </c>
      <c r="R77" s="456">
        <f>SUM(N77:Q77)</f>
        <v>341.68922816486486</v>
      </c>
    </row>
    <row r="78" spans="1:20">
      <c r="A78" t="s">
        <v>132</v>
      </c>
      <c r="B78" s="455">
        <v>103.24910490000001</v>
      </c>
      <c r="C78" s="455">
        <v>57.568962500000005</v>
      </c>
      <c r="D78" s="455">
        <v>59.992719399999999</v>
      </c>
      <c r="E78" s="455">
        <v>44.5033636</v>
      </c>
      <c r="F78" s="455">
        <v>47.318828000000003</v>
      </c>
      <c r="G78" s="455">
        <v>64.155334400000001</v>
      </c>
      <c r="H78" s="458">
        <v>87.266165413533813</v>
      </c>
      <c r="I78" s="458">
        <v>134.25563909774439</v>
      </c>
      <c r="J78" s="458">
        <v>175.3984962406015</v>
      </c>
      <c r="K78" s="458">
        <v>188.65522470555138</v>
      </c>
      <c r="L78" s="458">
        <v>189.607956000001</v>
      </c>
      <c r="M78" s="458">
        <v>151.03759398496243</v>
      </c>
      <c r="N78" s="456">
        <f t="shared" ref="N78:N79" si="44">SUM(B78:D78)</f>
        <v>220.81078680000002</v>
      </c>
      <c r="O78" s="456">
        <f t="shared" ref="O78:O79" si="45">SUM(E78:G78)</f>
        <v>155.97752600000001</v>
      </c>
      <c r="P78" s="456">
        <f t="shared" ref="P78:P79" si="46">SUM(H78:J78)</f>
        <v>396.92030075187972</v>
      </c>
      <c r="Q78" s="456">
        <f t="shared" ref="Q78:Q79" si="47">SUM(K78:M78)</f>
        <v>529.3007746905148</v>
      </c>
      <c r="R78" s="456">
        <f t="shared" ref="R78:R79" si="48">SUM(N78:Q78)</f>
        <v>1303.0093882423946</v>
      </c>
    </row>
    <row r="79" spans="1:20">
      <c r="A79" t="s">
        <v>133</v>
      </c>
      <c r="B79" s="455">
        <v>76.804706400000001</v>
      </c>
      <c r="C79" s="455">
        <v>46.195316300000002</v>
      </c>
      <c r="D79" s="455">
        <v>51.992978799999996</v>
      </c>
      <c r="E79" s="455">
        <v>39.895044199999994</v>
      </c>
      <c r="F79" s="455">
        <v>37.841518600000001</v>
      </c>
      <c r="G79" s="455">
        <v>50.5370651</v>
      </c>
      <c r="H79" s="458">
        <v>65.426564885496177</v>
      </c>
      <c r="I79" s="458">
        <v>106.31816793893128</v>
      </c>
      <c r="J79" s="458">
        <v>125.44488549618319</v>
      </c>
      <c r="K79" s="458">
        <v>145.16519083969467</v>
      </c>
      <c r="L79" s="458">
        <v>104.8671755725191</v>
      </c>
      <c r="M79" s="458">
        <v>81.783206106870239</v>
      </c>
      <c r="N79" s="456">
        <f t="shared" si="44"/>
        <v>174.99300149999999</v>
      </c>
      <c r="O79" s="456">
        <f t="shared" si="45"/>
        <v>128.27362790000001</v>
      </c>
      <c r="P79" s="456">
        <f t="shared" si="46"/>
        <v>297.18961832061063</v>
      </c>
      <c r="Q79" s="456">
        <f t="shared" si="47"/>
        <v>331.81557251908401</v>
      </c>
      <c r="R79" s="456">
        <f t="shared" si="48"/>
        <v>932.27182023969476</v>
      </c>
    </row>
    <row r="80" spans="1:20">
      <c r="B80" s="484" t="s">
        <v>151</v>
      </c>
      <c r="C80" s="484"/>
      <c r="D80" s="484"/>
      <c r="E80" s="484"/>
      <c r="F80" s="484"/>
      <c r="G80" s="484"/>
      <c r="H80" s="485" t="s">
        <v>155</v>
      </c>
      <c r="I80" s="485"/>
      <c r="J80" s="485"/>
      <c r="K80" s="485"/>
      <c r="L80" s="485"/>
      <c r="M80" s="485"/>
    </row>
    <row r="82" spans="1:20">
      <c r="S82" t="s">
        <v>156</v>
      </c>
    </row>
    <row r="83" spans="1:20">
      <c r="S83" s="468">
        <f>(R67+R76)/2</f>
        <v>2724.4323204941279</v>
      </c>
      <c r="T83" s="467"/>
    </row>
    <row r="86" spans="1:20">
      <c r="A86" t="s">
        <v>146</v>
      </c>
      <c r="B86" s="443" t="s">
        <v>157</v>
      </c>
      <c r="C86" s="443"/>
      <c r="D86" s="443"/>
      <c r="E86" s="443"/>
      <c r="F86" s="443"/>
      <c r="G86" s="443"/>
      <c r="H86" s="443"/>
      <c r="I86" s="443"/>
      <c r="J86" s="443"/>
      <c r="K86" s="443"/>
      <c r="L86" s="443"/>
      <c r="M86" s="443"/>
    </row>
    <row r="87" spans="1:20">
      <c r="B87" s="443"/>
      <c r="C87" s="443"/>
      <c r="D87" s="443"/>
      <c r="E87" s="443"/>
      <c r="F87" s="443"/>
      <c r="G87" s="443"/>
      <c r="H87" s="482" t="s">
        <v>143</v>
      </c>
      <c r="I87" s="486" t="s">
        <v>158</v>
      </c>
      <c r="J87" s="486"/>
      <c r="K87" s="486"/>
      <c r="L87" s="486"/>
      <c r="M87" s="486"/>
    </row>
    <row r="88" spans="1:20">
      <c r="A88" t="s">
        <v>27</v>
      </c>
      <c r="B88" s="454">
        <v>1</v>
      </c>
      <c r="C88" s="454">
        <v>2</v>
      </c>
      <c r="D88" s="454">
        <v>3</v>
      </c>
      <c r="E88" s="454">
        <v>4</v>
      </c>
      <c r="F88" s="454">
        <v>5</v>
      </c>
      <c r="G88" s="454">
        <v>6</v>
      </c>
      <c r="H88" s="479">
        <v>7</v>
      </c>
      <c r="I88" s="457">
        <v>8</v>
      </c>
      <c r="J88" s="457">
        <v>9</v>
      </c>
      <c r="K88" s="457">
        <v>10</v>
      </c>
      <c r="L88" s="457">
        <v>11</v>
      </c>
      <c r="M88" s="457">
        <v>12</v>
      </c>
      <c r="N88" t="s">
        <v>36</v>
      </c>
      <c r="O88" t="s">
        <v>37</v>
      </c>
      <c r="P88" t="s">
        <v>128</v>
      </c>
      <c r="Q88" t="s">
        <v>129</v>
      </c>
      <c r="R88" t="s">
        <v>130</v>
      </c>
    </row>
    <row r="89" spans="1:20" ht="45">
      <c r="A89" s="460" t="s">
        <v>150</v>
      </c>
      <c r="B89" s="461">
        <f>SUM(B90:B92)</f>
        <v>206.07510510000003</v>
      </c>
      <c r="C89" s="461">
        <f t="shared" ref="C89:R89" si="49">SUM(C90:C92)</f>
        <v>127.76560330000001</v>
      </c>
      <c r="D89" s="461">
        <f t="shared" si="49"/>
        <v>139.43998400000001</v>
      </c>
      <c r="E89" s="461">
        <f t="shared" si="49"/>
        <v>108.54990179999999</v>
      </c>
      <c r="F89" s="461">
        <f t="shared" si="49"/>
        <v>104.082555</v>
      </c>
      <c r="G89" s="461">
        <f t="shared" si="49"/>
        <v>132.78615629999999</v>
      </c>
      <c r="H89" s="480">
        <f t="shared" si="49"/>
        <v>140.00013333333334</v>
      </c>
      <c r="I89" s="462">
        <f t="shared" si="49"/>
        <v>215.99067290977911</v>
      </c>
      <c r="J89" s="462">
        <f t="shared" si="49"/>
        <v>372.17715421494358</v>
      </c>
      <c r="K89" s="462">
        <f t="shared" si="49"/>
        <v>390.72302160235313</v>
      </c>
      <c r="L89" s="462">
        <f t="shared" si="49"/>
        <v>372.44910204961047</v>
      </c>
      <c r="M89" s="462">
        <f t="shared" si="49"/>
        <v>290.38325486031505</v>
      </c>
      <c r="N89" s="463">
        <f t="shared" si="49"/>
        <v>473.28069240000002</v>
      </c>
      <c r="O89" s="463">
        <f t="shared" si="49"/>
        <v>345.41861310000002</v>
      </c>
      <c r="P89" s="463">
        <f t="shared" si="49"/>
        <v>728.16796045805609</v>
      </c>
      <c r="Q89" s="463">
        <f t="shared" si="49"/>
        <v>1053.5553785122788</v>
      </c>
      <c r="R89" s="464">
        <f t="shared" si="49"/>
        <v>2600.4226444703345</v>
      </c>
    </row>
    <row r="90" spans="1:20">
      <c r="A90" t="s">
        <v>80</v>
      </c>
      <c r="B90" s="455">
        <v>26.021293799999999</v>
      </c>
      <c r="C90" s="455">
        <v>24.001324499999999</v>
      </c>
      <c r="D90" s="455">
        <v>27.454285800000001</v>
      </c>
      <c r="E90" s="455">
        <v>24.151494</v>
      </c>
      <c r="F90" s="455">
        <v>18.922208399999999</v>
      </c>
      <c r="G90" s="455">
        <v>18.093756799999998</v>
      </c>
      <c r="H90" s="481">
        <f>7.69/15*31</f>
        <v>15.892666666666669</v>
      </c>
      <c r="I90" s="458">
        <v>24.936921729729733</v>
      </c>
      <c r="J90" s="458">
        <v>55.065596306308464</v>
      </c>
      <c r="K90" s="458">
        <v>49.781037405405399</v>
      </c>
      <c r="L90" s="458">
        <v>44.733054446555997</v>
      </c>
      <c r="M90" s="458">
        <v>30.608562162162155</v>
      </c>
      <c r="N90" s="456">
        <f>SUM(B90:D90)</f>
        <v>77.476904099999999</v>
      </c>
      <c r="O90" s="456">
        <f>SUM(E90:G90)</f>
        <v>61.167459199999996</v>
      </c>
      <c r="P90" s="456">
        <f>SUM(H90:J90)</f>
        <v>95.895184702704867</v>
      </c>
      <c r="Q90" s="456">
        <f>SUM(K90:M90)</f>
        <v>125.12265401412355</v>
      </c>
      <c r="R90" s="456">
        <f>SUM(N90:Q90)</f>
        <v>359.66220201682842</v>
      </c>
    </row>
    <row r="91" spans="1:20">
      <c r="A91" t="s">
        <v>132</v>
      </c>
      <c r="B91" s="455">
        <v>103.24910490000001</v>
      </c>
      <c r="C91" s="455">
        <v>57.568962500000005</v>
      </c>
      <c r="D91" s="455">
        <v>59.992719399999999</v>
      </c>
      <c r="E91" s="455">
        <v>44.5033636</v>
      </c>
      <c r="F91" s="455">
        <v>47.318828000000003</v>
      </c>
      <c r="G91" s="455">
        <v>64.155334400000001</v>
      </c>
      <c r="H91" s="481">
        <f>27.85/15*31</f>
        <v>57.556666666666665</v>
      </c>
      <c r="I91" s="458">
        <v>109.16833270676693</v>
      </c>
      <c r="J91" s="458">
        <v>179.52194722161224</v>
      </c>
      <c r="K91" s="458">
        <v>189.607956000001</v>
      </c>
      <c r="L91" s="458">
        <v>189.607956000001</v>
      </c>
      <c r="M91" s="458">
        <v>153.60373453021396</v>
      </c>
      <c r="N91" s="456">
        <f t="shared" ref="N91:N92" si="50">SUM(B91:D91)</f>
        <v>220.81078680000002</v>
      </c>
      <c r="O91" s="456">
        <f t="shared" ref="O91:O92" si="51">SUM(E91:G91)</f>
        <v>155.97752600000001</v>
      </c>
      <c r="P91" s="456">
        <f t="shared" ref="P91:P92" si="52">SUM(H91:J91)</f>
        <v>346.24694659504587</v>
      </c>
      <c r="Q91" s="456">
        <f t="shared" ref="Q91:Q92" si="53">SUM(K91:M91)</f>
        <v>532.819646530216</v>
      </c>
      <c r="R91" s="456">
        <f t="shared" ref="R91:R92" si="54">SUM(N91:Q91)</f>
        <v>1255.8549059252618</v>
      </c>
    </row>
    <row r="92" spans="1:20">
      <c r="A92" t="s">
        <v>133</v>
      </c>
      <c r="B92" s="455">
        <v>76.804706400000001</v>
      </c>
      <c r="C92" s="455">
        <v>46.195316300000002</v>
      </c>
      <c r="D92" s="455">
        <v>51.992978799999996</v>
      </c>
      <c r="E92" s="455">
        <v>39.895044199999994</v>
      </c>
      <c r="F92" s="455">
        <v>37.841518600000001</v>
      </c>
      <c r="G92" s="455">
        <v>50.5370651</v>
      </c>
      <c r="H92" s="481">
        <f>32.202/15*31</f>
        <v>66.550799999999995</v>
      </c>
      <c r="I92" s="458">
        <v>81.885418473282442</v>
      </c>
      <c r="J92" s="458">
        <v>137.58961068702291</v>
      </c>
      <c r="K92" s="458">
        <v>151.33402819694675</v>
      </c>
      <c r="L92" s="458">
        <v>138.10809160305345</v>
      </c>
      <c r="M92" s="458">
        <v>106.17095816793893</v>
      </c>
      <c r="N92" s="456">
        <f t="shared" si="50"/>
        <v>174.99300149999999</v>
      </c>
      <c r="O92" s="456">
        <f t="shared" si="51"/>
        <v>128.27362790000001</v>
      </c>
      <c r="P92" s="456">
        <f t="shared" si="52"/>
        <v>286.02582916030536</v>
      </c>
      <c r="Q92" s="456">
        <f t="shared" si="53"/>
        <v>395.61307796793915</v>
      </c>
      <c r="R92" s="456">
        <f t="shared" si="54"/>
        <v>984.90553652824451</v>
      </c>
    </row>
    <row r="93" spans="1:20">
      <c r="B93" s="484" t="s">
        <v>151</v>
      </c>
      <c r="C93" s="484"/>
      <c r="D93" s="484"/>
      <c r="E93" s="484"/>
      <c r="F93" s="484"/>
      <c r="G93" s="484"/>
      <c r="H93" s="485" t="s">
        <v>159</v>
      </c>
      <c r="I93" s="485"/>
      <c r="J93" s="485"/>
      <c r="K93" s="485"/>
      <c r="L93" s="485"/>
      <c r="M93" s="485"/>
    </row>
    <row r="95" spans="1:20">
      <c r="A95" t="s">
        <v>146</v>
      </c>
      <c r="B95" s="443" t="s">
        <v>157</v>
      </c>
      <c r="C95" s="443"/>
      <c r="D95" s="443"/>
      <c r="E95" s="443"/>
      <c r="F95" s="443"/>
      <c r="G95" s="443"/>
      <c r="H95" s="443"/>
      <c r="I95" s="443"/>
      <c r="J95" s="443"/>
      <c r="K95" s="443"/>
      <c r="L95" s="443"/>
      <c r="M95" s="443"/>
    </row>
    <row r="96" spans="1:20">
      <c r="B96" s="443"/>
      <c r="C96" s="443"/>
      <c r="D96" s="443"/>
      <c r="E96" s="443"/>
      <c r="F96" s="443"/>
      <c r="G96" s="443"/>
      <c r="H96" s="482" t="s">
        <v>143</v>
      </c>
      <c r="I96" s="486" t="s">
        <v>160</v>
      </c>
      <c r="J96" s="486"/>
      <c r="K96" s="486"/>
      <c r="L96" s="486"/>
      <c r="M96" s="486"/>
    </row>
    <row r="97" spans="1:18">
      <c r="A97" t="s">
        <v>27</v>
      </c>
      <c r="B97" s="454">
        <v>1</v>
      </c>
      <c r="C97" s="454">
        <v>2</v>
      </c>
      <c r="D97" s="454">
        <v>3</v>
      </c>
      <c r="E97" s="454">
        <v>4</v>
      </c>
      <c r="F97" s="454">
        <v>5</v>
      </c>
      <c r="G97" s="454">
        <v>6</v>
      </c>
      <c r="H97" s="479">
        <v>7</v>
      </c>
      <c r="I97" s="457">
        <v>8</v>
      </c>
      <c r="J97" s="457">
        <v>9</v>
      </c>
      <c r="K97" s="457">
        <v>10</v>
      </c>
      <c r="L97" s="457">
        <v>11</v>
      </c>
      <c r="M97" s="457">
        <v>12</v>
      </c>
      <c r="N97" t="s">
        <v>36</v>
      </c>
      <c r="O97" t="s">
        <v>37</v>
      </c>
      <c r="P97" t="s">
        <v>128</v>
      </c>
      <c r="Q97" t="s">
        <v>129</v>
      </c>
      <c r="R97" t="s">
        <v>130</v>
      </c>
    </row>
    <row r="98" spans="1:18" ht="45">
      <c r="A98" s="460" t="s">
        <v>150</v>
      </c>
      <c r="B98" s="461">
        <f>SUM(B99:B101)</f>
        <v>206.07510510000003</v>
      </c>
      <c r="C98" s="461">
        <f t="shared" ref="C98:R98" si="55">SUM(C99:C101)</f>
        <v>127.76560330000001</v>
      </c>
      <c r="D98" s="461">
        <f t="shared" si="55"/>
        <v>139.43998400000001</v>
      </c>
      <c r="E98" s="461">
        <f t="shared" si="55"/>
        <v>108.54990179999999</v>
      </c>
      <c r="F98" s="461">
        <f t="shared" si="55"/>
        <v>104.082555</v>
      </c>
      <c r="G98" s="461">
        <f t="shared" si="55"/>
        <v>132.78615629999999</v>
      </c>
      <c r="H98" s="480">
        <f t="shared" si="55"/>
        <v>140.00013333333334</v>
      </c>
      <c r="I98" s="462">
        <f t="shared" si="55"/>
        <v>196.63456675821499</v>
      </c>
      <c r="J98" s="462">
        <f t="shared" si="55"/>
        <v>254.11706517750082</v>
      </c>
      <c r="K98" s="462">
        <f t="shared" si="55"/>
        <v>293.86762755239238</v>
      </c>
      <c r="L98" s="462">
        <f t="shared" si="55"/>
        <v>239.04250575727389</v>
      </c>
      <c r="M98" s="462">
        <f t="shared" si="55"/>
        <v>189.27324071386334</v>
      </c>
      <c r="N98" s="463">
        <f t="shared" si="55"/>
        <v>473.28069240000002</v>
      </c>
      <c r="O98" s="463">
        <f t="shared" si="55"/>
        <v>345.41861310000002</v>
      </c>
      <c r="P98" s="463">
        <f t="shared" si="55"/>
        <v>590.7517652690492</v>
      </c>
      <c r="Q98" s="463">
        <f t="shared" si="55"/>
        <v>722.1833740235295</v>
      </c>
      <c r="R98" s="464">
        <f t="shared" si="55"/>
        <v>2131.634444792579</v>
      </c>
    </row>
    <row r="99" spans="1:18">
      <c r="A99" t="s">
        <v>80</v>
      </c>
      <c r="B99" s="455">
        <v>26.021293799999999</v>
      </c>
      <c r="C99" s="455">
        <v>24.001324499999999</v>
      </c>
      <c r="D99" s="455">
        <v>27.454285800000001</v>
      </c>
      <c r="E99" s="455">
        <v>24.151494</v>
      </c>
      <c r="F99" s="455">
        <v>18.922208399999999</v>
      </c>
      <c r="G99" s="455">
        <v>18.093756799999998</v>
      </c>
      <c r="H99" s="481">
        <f>7.69/15*31</f>
        <v>15.892666666666669</v>
      </c>
      <c r="I99" s="458">
        <v>21.781605405405404</v>
      </c>
      <c r="J99" s="458">
        <v>35.231926382319969</v>
      </c>
      <c r="K99" s="458">
        <v>33.612397685106963</v>
      </c>
      <c r="L99" s="458">
        <v>29.232301491888471</v>
      </c>
      <c r="M99" s="458">
        <v>20.839855973873878</v>
      </c>
      <c r="N99" s="456">
        <f>SUM(B99:D99)</f>
        <v>77.476904099999999</v>
      </c>
      <c r="O99" s="456">
        <f>SUM(E99:G99)</f>
        <v>61.167459199999996</v>
      </c>
      <c r="P99" s="456">
        <f>SUM(H99:J99)</f>
        <v>72.90619845439204</v>
      </c>
      <c r="Q99" s="456">
        <f>SUM(K99:M99)</f>
        <v>83.684555150869315</v>
      </c>
      <c r="R99" s="456">
        <f>SUM(N99:Q99)</f>
        <v>295.23511690526135</v>
      </c>
    </row>
    <row r="100" spans="1:18">
      <c r="A100" t="s">
        <v>132</v>
      </c>
      <c r="B100" s="455">
        <v>103.24910490000001</v>
      </c>
      <c r="C100" s="455">
        <v>57.568962500000005</v>
      </c>
      <c r="D100" s="455">
        <v>59.992719399999999</v>
      </c>
      <c r="E100" s="455">
        <v>44.5033636</v>
      </c>
      <c r="F100" s="455">
        <v>47.318828000000003</v>
      </c>
      <c r="G100" s="455">
        <v>64.155334400000001</v>
      </c>
      <c r="H100" s="481">
        <f>27.85/15*31</f>
        <v>57.556666666666665</v>
      </c>
      <c r="I100" s="458">
        <v>97.178406390977528</v>
      </c>
      <c r="J100" s="458">
        <v>128.64852987239883</v>
      </c>
      <c r="K100" s="458">
        <v>141.87945826423197</v>
      </c>
      <c r="L100" s="458">
        <v>123.20178899820982</v>
      </c>
      <c r="M100" s="458">
        <v>98.473576495714667</v>
      </c>
      <c r="N100" s="456">
        <f t="shared" ref="N100:N101" si="56">SUM(B100:D100)</f>
        <v>220.81078680000002</v>
      </c>
      <c r="O100" s="456">
        <f t="shared" ref="O100:O101" si="57">SUM(E100:G100)</f>
        <v>155.97752600000001</v>
      </c>
      <c r="P100" s="456">
        <f t="shared" ref="P100:P101" si="58">SUM(H100:J100)</f>
        <v>283.38360293004303</v>
      </c>
      <c r="Q100" s="456">
        <f t="shared" ref="Q100:Q101" si="59">SUM(K100:M100)</f>
        <v>363.55482375815649</v>
      </c>
      <c r="R100" s="456">
        <f t="shared" ref="R100:R101" si="60">SUM(N100:Q100)</f>
        <v>1023.7267394881997</v>
      </c>
    </row>
    <row r="101" spans="1:18">
      <c r="A101" t="s">
        <v>133</v>
      </c>
      <c r="B101" s="455">
        <v>76.804706400000001</v>
      </c>
      <c r="C101" s="455">
        <v>46.195316300000002</v>
      </c>
      <c r="D101" s="455">
        <v>51.992978799999996</v>
      </c>
      <c r="E101" s="455">
        <v>39.895044199999994</v>
      </c>
      <c r="F101" s="455">
        <v>37.841518600000001</v>
      </c>
      <c r="G101" s="455">
        <v>50.5370651</v>
      </c>
      <c r="H101" s="481">
        <f>32.202/15*31</f>
        <v>66.550799999999995</v>
      </c>
      <c r="I101" s="458">
        <v>77.674554961832072</v>
      </c>
      <c r="J101" s="458">
        <v>90.236608922781997</v>
      </c>
      <c r="K101" s="458">
        <v>118.37577160305341</v>
      </c>
      <c r="L101" s="458">
        <v>86.608415267175587</v>
      </c>
      <c r="M101" s="458">
        <v>69.959808244274797</v>
      </c>
      <c r="N101" s="456">
        <f t="shared" si="56"/>
        <v>174.99300149999999</v>
      </c>
      <c r="O101" s="456">
        <f t="shared" si="57"/>
        <v>128.27362790000001</v>
      </c>
      <c r="P101" s="456">
        <f t="shared" si="58"/>
        <v>234.46196388461408</v>
      </c>
      <c r="Q101" s="456">
        <f t="shared" si="59"/>
        <v>274.94399511450376</v>
      </c>
      <c r="R101" s="456">
        <f t="shared" si="60"/>
        <v>812.6725883991179</v>
      </c>
    </row>
    <row r="102" spans="1:18">
      <c r="B102" s="484" t="s">
        <v>151</v>
      </c>
      <c r="C102" s="484"/>
      <c r="D102" s="484"/>
      <c r="E102" s="484"/>
      <c r="F102" s="484"/>
      <c r="G102" s="484"/>
      <c r="H102" s="485" t="s">
        <v>161</v>
      </c>
      <c r="I102" s="485"/>
      <c r="J102" s="485"/>
      <c r="K102" s="485"/>
      <c r="L102" s="485"/>
      <c r="M102" s="485"/>
    </row>
    <row r="104" spans="1:18">
      <c r="A104" t="s">
        <v>146</v>
      </c>
      <c r="B104" s="443" t="s">
        <v>157</v>
      </c>
      <c r="C104" s="443"/>
      <c r="D104" s="443"/>
      <c r="E104" s="443"/>
      <c r="F104" s="443"/>
      <c r="G104" s="443"/>
      <c r="H104" s="443"/>
      <c r="I104" s="443"/>
      <c r="J104" s="443"/>
      <c r="K104" s="443"/>
      <c r="L104" s="443"/>
      <c r="M104" s="443"/>
    </row>
    <row r="105" spans="1:18">
      <c r="B105" s="443"/>
      <c r="C105" s="443"/>
      <c r="D105" s="443"/>
      <c r="E105" s="443"/>
      <c r="F105" s="443"/>
      <c r="G105" s="443"/>
      <c r="H105" s="482" t="s">
        <v>143</v>
      </c>
      <c r="I105" s="486" t="s">
        <v>162</v>
      </c>
      <c r="J105" s="486"/>
      <c r="K105" s="486"/>
      <c r="L105" s="486"/>
      <c r="M105" s="486"/>
    </row>
    <row r="106" spans="1:18">
      <c r="A106" t="s">
        <v>27</v>
      </c>
      <c r="B106" s="454">
        <v>1</v>
      </c>
      <c r="C106" s="454">
        <v>2</v>
      </c>
      <c r="D106" s="454">
        <v>3</v>
      </c>
      <c r="E106" s="454">
        <v>4</v>
      </c>
      <c r="F106" s="454">
        <v>5</v>
      </c>
      <c r="G106" s="454">
        <v>6</v>
      </c>
      <c r="H106" s="479">
        <v>7</v>
      </c>
      <c r="I106" s="457">
        <v>8</v>
      </c>
      <c r="J106" s="457">
        <v>9</v>
      </c>
      <c r="K106" s="457">
        <v>10</v>
      </c>
      <c r="L106" s="457">
        <v>11</v>
      </c>
      <c r="M106" s="457">
        <v>12</v>
      </c>
      <c r="N106" t="s">
        <v>36</v>
      </c>
      <c r="O106" t="s">
        <v>37</v>
      </c>
      <c r="P106" t="s">
        <v>128</v>
      </c>
      <c r="Q106" t="s">
        <v>129</v>
      </c>
      <c r="R106" t="s">
        <v>130</v>
      </c>
    </row>
    <row r="107" spans="1:18" ht="45">
      <c r="A107" s="460" t="s">
        <v>150</v>
      </c>
      <c r="B107" s="461">
        <f>SUM(B108:B110)</f>
        <v>206.07510510000003</v>
      </c>
      <c r="C107" s="461">
        <f t="shared" ref="C107:R107" si="61">SUM(C108:C110)</f>
        <v>127.76560330000001</v>
      </c>
      <c r="D107" s="461">
        <f t="shared" si="61"/>
        <v>139.43998400000001</v>
      </c>
      <c r="E107" s="461">
        <f t="shared" si="61"/>
        <v>108.54990179999999</v>
      </c>
      <c r="F107" s="461">
        <f t="shared" si="61"/>
        <v>104.082555</v>
      </c>
      <c r="G107" s="461">
        <f t="shared" si="61"/>
        <v>132.78615629999999</v>
      </c>
      <c r="H107" s="480">
        <f t="shared" si="61"/>
        <v>140.00013333333334</v>
      </c>
      <c r="I107" s="462">
        <f t="shared" si="61"/>
        <v>377.91568401746326</v>
      </c>
      <c r="J107" s="462">
        <f t="shared" si="61"/>
        <v>404.76339600000142</v>
      </c>
      <c r="K107" s="462">
        <f t="shared" si="61"/>
        <v>404.76339600000142</v>
      </c>
      <c r="L107" s="462">
        <f t="shared" si="61"/>
        <v>402.92502483474084</v>
      </c>
      <c r="M107" s="462">
        <f t="shared" si="61"/>
        <v>385.36704557279472</v>
      </c>
      <c r="N107" s="463">
        <f t="shared" si="61"/>
        <v>473.28069240000002</v>
      </c>
      <c r="O107" s="463">
        <f t="shared" si="61"/>
        <v>345.41861310000002</v>
      </c>
      <c r="P107" s="463">
        <f t="shared" si="61"/>
        <v>922.67921335079802</v>
      </c>
      <c r="Q107" s="463">
        <f t="shared" si="61"/>
        <v>1193.0554664075371</v>
      </c>
      <c r="R107" s="464">
        <f t="shared" si="61"/>
        <v>2934.4339852583348</v>
      </c>
    </row>
    <row r="108" spans="1:18">
      <c r="A108" t="s">
        <v>80</v>
      </c>
      <c r="B108" s="455">
        <v>26.021293799999999</v>
      </c>
      <c r="C108" s="455">
        <v>24.001324499999999</v>
      </c>
      <c r="D108" s="455">
        <v>27.454285800000001</v>
      </c>
      <c r="E108" s="455">
        <v>24.151494</v>
      </c>
      <c r="F108" s="455">
        <v>18.922208399999999</v>
      </c>
      <c r="G108" s="455">
        <v>18.093756799999998</v>
      </c>
      <c r="H108" s="481">
        <f>7.69/15*31</f>
        <v>15.892666666666669</v>
      </c>
      <c r="I108" s="458">
        <v>49.402624969354065</v>
      </c>
      <c r="J108" s="458">
        <v>61.071907000000117</v>
      </c>
      <c r="K108" s="458">
        <v>61.071907000000117</v>
      </c>
      <c r="L108" s="458">
        <v>59.233535834739556</v>
      </c>
      <c r="M108" s="458">
        <v>41.675556572793447</v>
      </c>
      <c r="N108" s="456">
        <f>SUM(B108:D108)</f>
        <v>77.476904099999999</v>
      </c>
      <c r="O108" s="456">
        <f>SUM(E108:G108)</f>
        <v>61.167459199999996</v>
      </c>
      <c r="P108" s="456">
        <f>SUM(H108:J108)</f>
        <v>126.36719863602085</v>
      </c>
      <c r="Q108" s="456">
        <f>SUM(K108:M108)</f>
        <v>161.98099940753312</v>
      </c>
      <c r="R108" s="456">
        <f>SUM(N108:Q108)</f>
        <v>426.99256134355392</v>
      </c>
    </row>
    <row r="109" spans="1:18">
      <c r="A109" t="s">
        <v>132</v>
      </c>
      <c r="B109" s="455">
        <v>103.24910490000001</v>
      </c>
      <c r="C109" s="455">
        <v>57.568962500000005</v>
      </c>
      <c r="D109" s="455">
        <v>59.992719399999999</v>
      </c>
      <c r="E109" s="455">
        <v>44.5033636</v>
      </c>
      <c r="F109" s="455">
        <v>47.318828000000003</v>
      </c>
      <c r="G109" s="455">
        <v>64.155334400000001</v>
      </c>
      <c r="H109" s="481">
        <f>27.85/15*31</f>
        <v>57.556666666666665</v>
      </c>
      <c r="I109" s="458">
        <v>185.4682819488726</v>
      </c>
      <c r="J109" s="458">
        <v>189.607956000001</v>
      </c>
      <c r="K109" s="458">
        <v>189.607956000001</v>
      </c>
      <c r="L109" s="458">
        <v>189.607956000001</v>
      </c>
      <c r="M109" s="458">
        <v>189.607956000001</v>
      </c>
      <c r="N109" s="456">
        <f t="shared" ref="N109:N110" si="62">SUM(B109:D109)</f>
        <v>220.81078680000002</v>
      </c>
      <c r="O109" s="456">
        <f t="shared" ref="O109:O110" si="63">SUM(E109:G109)</f>
        <v>155.97752600000001</v>
      </c>
      <c r="P109" s="456">
        <f t="shared" ref="P109:P110" si="64">SUM(H109:J109)</f>
        <v>432.63290461554027</v>
      </c>
      <c r="Q109" s="456">
        <f t="shared" ref="Q109:Q110" si="65">SUM(K109:M109)</f>
        <v>568.82386800000302</v>
      </c>
      <c r="R109" s="456">
        <f t="shared" ref="R109:R110" si="66">SUM(N109:Q109)</f>
        <v>1378.2450854155431</v>
      </c>
    </row>
    <row r="110" spans="1:18">
      <c r="A110" t="s">
        <v>133</v>
      </c>
      <c r="B110" s="455">
        <v>76.804706400000001</v>
      </c>
      <c r="C110" s="455">
        <v>46.195316300000002</v>
      </c>
      <c r="D110" s="455">
        <v>51.992978799999996</v>
      </c>
      <c r="E110" s="455">
        <v>39.895044199999994</v>
      </c>
      <c r="F110" s="455">
        <v>37.841518600000001</v>
      </c>
      <c r="G110" s="455">
        <v>50.5370651</v>
      </c>
      <c r="H110" s="481">
        <f>32.202/15*31</f>
        <v>66.550799999999995</v>
      </c>
      <c r="I110" s="458">
        <v>143.04477709923663</v>
      </c>
      <c r="J110" s="458">
        <v>154.0835330000003</v>
      </c>
      <c r="K110" s="458">
        <v>154.0835330000003</v>
      </c>
      <c r="L110" s="458">
        <v>154.0835330000003</v>
      </c>
      <c r="M110" s="458">
        <v>154.0835330000003</v>
      </c>
      <c r="N110" s="456">
        <f t="shared" si="62"/>
        <v>174.99300149999999</v>
      </c>
      <c r="O110" s="456">
        <f t="shared" si="63"/>
        <v>128.27362790000001</v>
      </c>
      <c r="P110" s="456">
        <f t="shared" si="64"/>
        <v>363.67911009923694</v>
      </c>
      <c r="Q110" s="456">
        <f t="shared" si="65"/>
        <v>462.25059900000088</v>
      </c>
      <c r="R110" s="456">
        <f t="shared" si="66"/>
        <v>1129.1963384992378</v>
      </c>
    </row>
    <row r="111" spans="1:18">
      <c r="B111" s="484" t="s">
        <v>151</v>
      </c>
      <c r="C111" s="484"/>
      <c r="D111" s="484"/>
      <c r="E111" s="484"/>
      <c r="F111" s="484"/>
      <c r="G111" s="484"/>
      <c r="H111" s="485" t="s">
        <v>163</v>
      </c>
      <c r="I111" s="485"/>
      <c r="J111" s="485"/>
      <c r="K111" s="485"/>
      <c r="L111" s="485"/>
      <c r="M111" s="485"/>
    </row>
  </sheetData>
  <mergeCells count="13">
    <mergeCell ref="I96:M96"/>
    <mergeCell ref="B71:G71"/>
    <mergeCell ref="H71:M71"/>
    <mergeCell ref="B80:G80"/>
    <mergeCell ref="H80:M80"/>
    <mergeCell ref="B93:G93"/>
    <mergeCell ref="H93:M93"/>
    <mergeCell ref="I87:M87"/>
    <mergeCell ref="B102:G102"/>
    <mergeCell ref="H102:M102"/>
    <mergeCell ref="I105:M105"/>
    <mergeCell ref="B111:G111"/>
    <mergeCell ref="H111:M111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5"/>
  <sheetViews>
    <sheetView workbookViewId="0">
      <selection activeCell="O29" sqref="O29"/>
    </sheetView>
  </sheetViews>
  <sheetFormatPr defaultRowHeight="15"/>
  <sheetData>
    <row r="1" spans="1:18" ht="15.75">
      <c r="A1" s="360" t="s">
        <v>164</v>
      </c>
      <c r="B1" s="360"/>
      <c r="C1" s="360"/>
      <c r="D1" s="360"/>
      <c r="E1" s="360"/>
      <c r="F1" s="360"/>
      <c r="G1" s="360"/>
      <c r="H1" s="360"/>
    </row>
    <row r="2" spans="1:18" ht="15.75">
      <c r="A2" s="431" t="s">
        <v>165</v>
      </c>
      <c r="B2" s="431"/>
      <c r="C2" s="431"/>
      <c r="D2" s="431"/>
      <c r="E2" s="431"/>
      <c r="F2" s="431"/>
      <c r="G2" s="431"/>
      <c r="H2" s="431"/>
    </row>
    <row r="3" spans="1:18" ht="15.75">
      <c r="A3" s="17" t="s">
        <v>166</v>
      </c>
      <c r="B3" s="17"/>
      <c r="C3" s="17"/>
      <c r="D3" s="17"/>
      <c r="E3" s="17"/>
      <c r="F3" s="17"/>
      <c r="G3" s="17"/>
      <c r="H3" s="17"/>
    </row>
    <row r="4" spans="1:18" ht="15.75">
      <c r="A4" s="17"/>
      <c r="B4" s="17"/>
      <c r="C4" s="17"/>
      <c r="D4" s="17"/>
      <c r="E4" s="17"/>
      <c r="F4" s="17"/>
      <c r="G4" s="17"/>
      <c r="H4" s="17"/>
    </row>
    <row r="5" spans="1:18" ht="15.75">
      <c r="A5" s="429" t="s">
        <v>167</v>
      </c>
      <c r="B5" s="429" t="s">
        <v>168</v>
      </c>
      <c r="C5" s="429"/>
      <c r="D5" s="429"/>
      <c r="E5" s="429"/>
      <c r="F5" s="429"/>
      <c r="G5" s="432"/>
      <c r="H5" s="487" t="s">
        <v>169</v>
      </c>
      <c r="I5" s="487"/>
      <c r="J5" s="487"/>
      <c r="K5" s="487" t="s">
        <v>170</v>
      </c>
      <c r="L5" s="487"/>
      <c r="M5" s="487"/>
      <c r="N5" s="427" t="s">
        <v>171</v>
      </c>
    </row>
    <row r="6" spans="1:18" ht="15.75">
      <c r="A6" s="429"/>
      <c r="B6" s="429" t="s">
        <v>80</v>
      </c>
      <c r="C6" s="429"/>
      <c r="D6" s="429" t="s">
        <v>86</v>
      </c>
      <c r="E6" s="429"/>
      <c r="F6" s="429" t="s">
        <v>87</v>
      </c>
      <c r="G6" s="429"/>
      <c r="H6" s="428"/>
      <c r="I6" s="428"/>
      <c r="J6" s="428"/>
      <c r="K6" s="428"/>
      <c r="L6" s="428"/>
      <c r="M6" s="428"/>
      <c r="N6" s="427"/>
    </row>
    <row r="7" spans="1:18" ht="15.75">
      <c r="A7" s="20"/>
      <c r="B7" s="18" t="s">
        <v>172</v>
      </c>
      <c r="C7" s="18" t="s">
        <v>173</v>
      </c>
      <c r="D7" s="18" t="s">
        <v>172</v>
      </c>
      <c r="E7" s="18" t="s">
        <v>173</v>
      </c>
      <c r="F7" s="18" t="s">
        <v>172</v>
      </c>
      <c r="G7" s="18" t="s">
        <v>173</v>
      </c>
      <c r="H7" s="155" t="s">
        <v>174</v>
      </c>
      <c r="I7" s="155" t="s">
        <v>175</v>
      </c>
      <c r="J7" s="155" t="s">
        <v>176</v>
      </c>
      <c r="K7" s="155" t="s">
        <v>174</v>
      </c>
      <c r="L7" s="155" t="s">
        <v>175</v>
      </c>
      <c r="M7" s="155" t="s">
        <v>176</v>
      </c>
      <c r="N7" s="427"/>
    </row>
    <row r="8" spans="1:18" ht="15.75">
      <c r="A8" s="18">
        <v>1</v>
      </c>
      <c r="B8" s="271">
        <v>50</v>
      </c>
      <c r="C8" s="430" t="e">
        <f>#REF!</f>
        <v>#REF!</v>
      </c>
      <c r="D8" s="271">
        <v>180</v>
      </c>
      <c r="E8" s="430" t="e">
        <f>#REF!</f>
        <v>#REF!</v>
      </c>
      <c r="F8" s="271">
        <v>225</v>
      </c>
      <c r="G8" s="430" t="e">
        <f>#REF!</f>
        <v>#REF!</v>
      </c>
      <c r="H8" s="446">
        <v>45.692364572466708</v>
      </c>
      <c r="I8" s="441">
        <v>111.60774198866665</v>
      </c>
      <c r="J8" s="442">
        <v>119.6559820359023</v>
      </c>
      <c r="K8" s="156">
        <f>'Bảng tra TS-SL BTS'!AJ6</f>
        <v>53.860650792339996</v>
      </c>
      <c r="L8" s="156">
        <f>'Bảng tra TS-SL BK'!AJ6</f>
        <v>46.483127338821816</v>
      </c>
      <c r="M8" s="156">
        <f>'Bảng tra TS-SL SP3'!AJ6</f>
        <v>53.524454424498714</v>
      </c>
      <c r="N8" s="157"/>
      <c r="O8" s="2"/>
      <c r="P8">
        <v>55.1</v>
      </c>
      <c r="R8" s="446">
        <v>38.6</v>
      </c>
    </row>
    <row r="9" spans="1:18" ht="15.75">
      <c r="A9" s="18">
        <v>2</v>
      </c>
      <c r="B9" s="271">
        <v>33</v>
      </c>
      <c r="C9" s="430"/>
      <c r="D9" s="271">
        <v>110</v>
      </c>
      <c r="E9" s="430"/>
      <c r="F9" s="271">
        <v>130</v>
      </c>
      <c r="G9" s="430"/>
      <c r="H9" s="446">
        <v>31.174345953948691</v>
      </c>
      <c r="I9" s="156">
        <v>66.003755984009103</v>
      </c>
      <c r="J9" s="271">
        <v>71.927378152956493</v>
      </c>
      <c r="K9" s="156">
        <f>'Bảng tra TS-SL BTS'!AJ7</f>
        <v>57.584505646212932</v>
      </c>
      <c r="L9" s="156">
        <f>'Bảng tra TS-SL BK'!AJ7</f>
        <v>61.411582741036128</v>
      </c>
      <c r="M9" s="156">
        <f>'Bảng tra TS-SL SP3'!AJ7</f>
        <v>70.86914844092189</v>
      </c>
      <c r="N9" s="157"/>
      <c r="O9" s="2"/>
      <c r="P9">
        <v>41.1</v>
      </c>
      <c r="R9" s="446">
        <v>26.9</v>
      </c>
    </row>
    <row r="10" spans="1:18" ht="15.75">
      <c r="A10" s="18">
        <v>3</v>
      </c>
      <c r="B10" s="271">
        <v>27</v>
      </c>
      <c r="C10" s="430"/>
      <c r="D10" s="271">
        <v>100</v>
      </c>
      <c r="E10" s="430"/>
      <c r="F10" s="271">
        <v>120</v>
      </c>
      <c r="G10" s="430"/>
      <c r="H10" s="446">
        <v>24.670411664251137</v>
      </c>
      <c r="I10" s="156">
        <v>39.944808460684889</v>
      </c>
      <c r="J10" s="271">
        <v>44.117048840836659</v>
      </c>
      <c r="K10" s="156">
        <f>'Bảng tra TS-SL BTS'!AJ8</f>
        <v>56.130191741762545</v>
      </c>
      <c r="L10" s="156">
        <f>'Bảng tra TS-SL BK'!AJ8</f>
        <v>81.49178291221321</v>
      </c>
      <c r="M10" s="156">
        <f>'Bảng tra TS-SL SP3'!AJ8</f>
        <v>85.180947770427679</v>
      </c>
      <c r="N10" s="157"/>
      <c r="P10">
        <v>35.200000000000003</v>
      </c>
      <c r="R10" s="446">
        <v>18.2</v>
      </c>
    </row>
    <row r="11" spans="1:18" ht="15.75">
      <c r="A11" s="18">
        <v>4</v>
      </c>
      <c r="B11" s="271">
        <v>30</v>
      </c>
      <c r="C11" s="430"/>
      <c r="D11" s="271">
        <v>90</v>
      </c>
      <c r="E11" s="430"/>
      <c r="F11" s="271">
        <v>100</v>
      </c>
      <c r="G11" s="430"/>
      <c r="H11" s="446">
        <v>23.551150049021633</v>
      </c>
      <c r="I11" s="156">
        <v>42.795836655935368</v>
      </c>
      <c r="J11" s="271">
        <v>47.085638035992929</v>
      </c>
      <c r="K11" s="156">
        <f>'Bảng tra TS-SL BTS'!AJ9</f>
        <v>70.128612458280344</v>
      </c>
      <c r="L11" s="156">
        <f>'Bảng tra TS-SL BK'!AJ9</f>
        <v>78.513114486794279</v>
      </c>
      <c r="M11" s="156">
        <f>'Bảng tra TS-SL SP3'!AJ9</f>
        <v>83.179313222037081</v>
      </c>
      <c r="N11" s="237"/>
      <c r="P11">
        <v>36.200000000000003</v>
      </c>
      <c r="R11" s="446">
        <v>12.5</v>
      </c>
    </row>
    <row r="12" spans="1:18" ht="15.75">
      <c r="A12" s="18">
        <v>5</v>
      </c>
      <c r="B12" s="271">
        <v>43</v>
      </c>
      <c r="C12" s="430"/>
      <c r="D12" s="271">
        <v>90</v>
      </c>
      <c r="E12" s="430"/>
      <c r="F12" s="271">
        <v>95</v>
      </c>
      <c r="G12" s="430"/>
      <c r="H12" s="446">
        <v>35.340364183822359</v>
      </c>
      <c r="I12" s="156">
        <v>86.234055534191796</v>
      </c>
      <c r="J12" s="271">
        <v>94.03095430399496</v>
      </c>
      <c r="K12" s="156">
        <f>'Bảng tra TS-SL BTS'!AJ10</f>
        <v>63.029396250117692</v>
      </c>
      <c r="L12" s="156">
        <f>'Bảng tra TS-SL BK'!AJ10</f>
        <v>42.482929453118174</v>
      </c>
      <c r="M12" s="156">
        <f>'Bảng tra TS-SL SP3'!AJ10</f>
        <v>63.081389947533225</v>
      </c>
      <c r="N12" s="237"/>
      <c r="P12">
        <v>40</v>
      </c>
      <c r="R12" s="446">
        <v>33</v>
      </c>
    </row>
    <row r="13" spans="1:18" ht="15.75">
      <c r="A13" s="18">
        <v>6</v>
      </c>
      <c r="B13" s="271">
        <v>70</v>
      </c>
      <c r="C13" s="430"/>
      <c r="D13" s="271">
        <v>105</v>
      </c>
      <c r="E13" s="430"/>
      <c r="F13" s="271">
        <v>130</v>
      </c>
      <c r="G13" s="430"/>
      <c r="H13" s="446">
        <v>71.350534137218901</v>
      </c>
      <c r="I13" s="156">
        <v>154.57981404973663</v>
      </c>
      <c r="J13" s="271">
        <v>173.49122785261306</v>
      </c>
      <c r="K13" s="156">
        <f>'Bảng tra TS-SL BTS'!AJ11</f>
        <v>41.972604441942892</v>
      </c>
      <c r="L13" s="156">
        <f>'Bảng tra TS-SL BK'!AJ11</f>
        <v>38.601702121231831</v>
      </c>
      <c r="M13" s="156">
        <f>'Bảng tra TS-SL SP3'!AJ11</f>
        <v>46.626221241316244</v>
      </c>
      <c r="N13" s="237"/>
      <c r="P13">
        <v>47.8</v>
      </c>
      <c r="R13" s="446">
        <v>48</v>
      </c>
    </row>
    <row r="14" spans="1:18" ht="15.75">
      <c r="A14" s="18">
        <v>7</v>
      </c>
      <c r="B14" s="271">
        <v>120</v>
      </c>
      <c r="C14" s="430"/>
      <c r="D14" s="271">
        <v>140</v>
      </c>
      <c r="E14" s="430"/>
      <c r="F14" s="271">
        <v>250</v>
      </c>
      <c r="G14" s="430"/>
      <c r="H14" s="465">
        <v>75</v>
      </c>
      <c r="I14" s="272">
        <v>130</v>
      </c>
      <c r="J14" s="466">
        <v>160</v>
      </c>
      <c r="K14" s="156">
        <f>'Bảng tra TS-SL BTS'!AJ12</f>
        <v>69.179686281203473</v>
      </c>
      <c r="L14" s="156">
        <f>'Bảng tra TS-SL BK'!AJ12</f>
        <v>83.804090125845448</v>
      </c>
      <c r="M14" s="156">
        <f>'Bảng tra TS-SL SP3'!AJ12</f>
        <v>83.930600006961228</v>
      </c>
      <c r="N14" s="237"/>
      <c r="P14">
        <v>109</v>
      </c>
      <c r="R14" s="446">
        <v>90</v>
      </c>
    </row>
    <row r="15" spans="1:18" ht="15.75">
      <c r="A15" s="18">
        <v>8</v>
      </c>
      <c r="B15" s="271">
        <v>175</v>
      </c>
      <c r="C15" s="430"/>
      <c r="D15" s="271">
        <v>200</v>
      </c>
      <c r="E15" s="430"/>
      <c r="F15" s="271">
        <v>300</v>
      </c>
      <c r="G15" s="430"/>
      <c r="H15" s="465">
        <v>115</v>
      </c>
      <c r="I15" s="272">
        <v>200</v>
      </c>
      <c r="J15" s="466">
        <v>260</v>
      </c>
      <c r="K15" s="156">
        <f>'Bảng tra TS-SL BTS'!AJ13</f>
        <v>67.46875</v>
      </c>
      <c r="L15" s="156">
        <f>'Bảng tra TS-SL BK'!AJ13</f>
        <v>69.97766220688186</v>
      </c>
      <c r="M15" s="156">
        <f>'Bảng tra TS-SL SP3'!AJ13</f>
        <v>65.583633567324256</v>
      </c>
      <c r="N15" s="157"/>
      <c r="P15">
        <v>201</v>
      </c>
      <c r="R15" s="446">
        <v>125</v>
      </c>
    </row>
    <row r="16" spans="1:18" ht="15.75">
      <c r="A16" s="18">
        <v>9</v>
      </c>
      <c r="B16" s="271">
        <v>175</v>
      </c>
      <c r="C16" s="430"/>
      <c r="D16" s="271">
        <v>280</v>
      </c>
      <c r="E16" s="430"/>
      <c r="F16" s="271">
        <v>380</v>
      </c>
      <c r="G16" s="430"/>
      <c r="H16" s="465">
        <v>153</v>
      </c>
      <c r="I16" s="272">
        <v>270</v>
      </c>
      <c r="J16" s="466">
        <v>317</v>
      </c>
      <c r="K16" s="156">
        <f>'Bảng tra TS-SL BTS'!AJ14</f>
        <v>72.885958080574071</v>
      </c>
      <c r="L16" s="156">
        <f>'Bảng tra TS-SL BK'!AJ14</f>
        <v>73.181551859143454</v>
      </c>
      <c r="M16" s="156">
        <f>'Bảng tra TS-SL SP3'!AJ14</f>
        <v>84.169381107491873</v>
      </c>
      <c r="N16" s="157"/>
      <c r="P16">
        <v>164</v>
      </c>
      <c r="R16" s="446">
        <v>155</v>
      </c>
    </row>
    <row r="17" spans="1:18" ht="15.75">
      <c r="A17" s="18">
        <v>10</v>
      </c>
      <c r="B17" s="271">
        <v>165</v>
      </c>
      <c r="C17" s="430"/>
      <c r="D17" s="271">
        <v>300</v>
      </c>
      <c r="E17" s="430"/>
      <c r="F17" s="271">
        <v>400</v>
      </c>
      <c r="G17" s="430"/>
      <c r="H17" s="465">
        <v>160</v>
      </c>
      <c r="I17" s="272">
        <v>300</v>
      </c>
      <c r="J17" s="272">
        <v>355</v>
      </c>
      <c r="K17" s="156">
        <f>'Bảng tra TS-SL BTS'!AJ15</f>
        <v>63.355184498501046</v>
      </c>
      <c r="L17" s="156">
        <f>'Bảng tra TS-SL BK'!AJ15</f>
        <v>80.468932486264265</v>
      </c>
      <c r="M17" s="156">
        <f>'Bảng tra TS-SL SP3'!AJ15</f>
        <v>76.953125</v>
      </c>
      <c r="N17" s="157"/>
      <c r="P17">
        <v>230</v>
      </c>
      <c r="R17" s="446">
        <v>130</v>
      </c>
    </row>
    <row r="18" spans="1:18" ht="15.75">
      <c r="A18" s="18">
        <v>11</v>
      </c>
      <c r="B18" s="271">
        <v>140</v>
      </c>
      <c r="C18" s="430"/>
      <c r="D18" s="271">
        <v>350</v>
      </c>
      <c r="E18" s="430"/>
      <c r="F18" s="271">
        <v>460</v>
      </c>
      <c r="G18" s="430"/>
      <c r="H18" s="465">
        <v>105</v>
      </c>
      <c r="I18" s="272">
        <v>320</v>
      </c>
      <c r="J18" s="272">
        <v>265</v>
      </c>
      <c r="K18" s="156">
        <f>'Bảng tra TS-SL BTS'!AJ16</f>
        <v>61.703678199163512</v>
      </c>
      <c r="L18" s="156">
        <f>'Bảng tra TS-SL BK'!AJ16</f>
        <v>46.164927529294815</v>
      </c>
      <c r="M18" s="156">
        <f>'Bảng tra TS-SL SP3'!AJ16</f>
        <v>72.831990190980491</v>
      </c>
      <c r="N18" s="157"/>
      <c r="P18">
        <v>70.5</v>
      </c>
      <c r="R18" s="446">
        <v>100</v>
      </c>
    </row>
    <row r="19" spans="1:18" ht="15.75">
      <c r="A19" s="18">
        <v>12</v>
      </c>
      <c r="B19" s="271">
        <v>85</v>
      </c>
      <c r="C19" s="430"/>
      <c r="D19" s="271">
        <v>280</v>
      </c>
      <c r="E19" s="430"/>
      <c r="F19" s="271">
        <v>380</v>
      </c>
      <c r="G19" s="430"/>
      <c r="H19" s="465">
        <v>73.5</v>
      </c>
      <c r="I19" s="272">
        <v>225</v>
      </c>
      <c r="J19" s="272">
        <v>200</v>
      </c>
      <c r="K19" s="156">
        <f>'Bảng tra TS-SL BTS'!AJ17</f>
        <v>56.508825694899883</v>
      </c>
      <c r="L19" s="156">
        <f>'Bảng tra TS-SL BK'!AJ17</f>
        <v>47.323392183175486</v>
      </c>
      <c r="M19" s="156">
        <f>'Bảng tra TS-SL SP3'!AJ17</f>
        <v>63.977959528095539</v>
      </c>
      <c r="N19" s="157"/>
      <c r="P19">
        <v>51.5</v>
      </c>
      <c r="R19" s="446">
        <v>70</v>
      </c>
    </row>
    <row r="20" spans="1:18" ht="15.75">
      <c r="A20" s="18" t="s">
        <v>28</v>
      </c>
      <c r="B20" s="19">
        <f>AVERAGE(B8:B19)</f>
        <v>92.75</v>
      </c>
      <c r="C20" s="19" t="e">
        <f t="shared" ref="C20:F20" si="0">AVERAGE(C8:C19)</f>
        <v>#REF!</v>
      </c>
      <c r="D20" s="19">
        <f t="shared" si="0"/>
        <v>185.41666666666666</v>
      </c>
      <c r="E20" s="19" t="e">
        <f t="shared" si="0"/>
        <v>#REF!</v>
      </c>
      <c r="F20" s="19">
        <f t="shared" si="0"/>
        <v>247.5</v>
      </c>
      <c r="G20" s="20"/>
      <c r="H20" s="156"/>
      <c r="I20" s="156"/>
      <c r="J20" s="156"/>
      <c r="K20" s="156"/>
      <c r="L20" s="156"/>
      <c r="M20" s="156"/>
      <c r="N20" s="157"/>
    </row>
    <row r="22" spans="1:18">
      <c r="H22" s="249"/>
      <c r="I22" t="s">
        <v>177</v>
      </c>
    </row>
    <row r="24" spans="1:18">
      <c r="H24" s="453">
        <v>45.692364572466708</v>
      </c>
      <c r="I24" s="443">
        <v>111.60774198866665</v>
      </c>
      <c r="J24" s="443">
        <v>119.6559820359023</v>
      </c>
    </row>
    <row r="25" spans="1:18">
      <c r="H25" s="453">
        <v>31.174345953948691</v>
      </c>
      <c r="I25" s="443">
        <v>66.003755984009103</v>
      </c>
      <c r="J25" s="443">
        <v>71.927378152956493</v>
      </c>
    </row>
    <row r="26" spans="1:18">
      <c r="H26" s="453">
        <v>24.670411664251137</v>
      </c>
      <c r="I26" s="443">
        <v>39.944808460684889</v>
      </c>
      <c r="J26" s="443">
        <v>44.117048840836659</v>
      </c>
    </row>
    <row r="27" spans="1:18">
      <c r="H27" s="453">
        <v>23.551150049021633</v>
      </c>
      <c r="I27" s="443">
        <v>42.795836655935368</v>
      </c>
      <c r="J27" s="443">
        <v>47.085638035992929</v>
      </c>
    </row>
    <row r="28" spans="1:18">
      <c r="H28" s="453">
        <v>35.340364183822359</v>
      </c>
      <c r="I28" s="443">
        <v>86.234055534191796</v>
      </c>
      <c r="J28" s="443">
        <v>94.03095430399496</v>
      </c>
    </row>
    <row r="29" spans="1:18">
      <c r="H29" s="453">
        <v>71.350534137218901</v>
      </c>
      <c r="I29" s="443">
        <v>154.57981404973663</v>
      </c>
      <c r="J29" s="443">
        <v>173.49122785261306</v>
      </c>
    </row>
    <row r="30" spans="1:18">
      <c r="H30" s="453">
        <v>86.395927705433678</v>
      </c>
      <c r="I30" s="443">
        <v>197.33879722562304</v>
      </c>
      <c r="J30" s="443">
        <v>216.57388210860952</v>
      </c>
    </row>
    <row r="31" spans="1:18">
      <c r="H31" s="453">
        <v>171.47314750851217</v>
      </c>
      <c r="I31" s="443">
        <v>297.06147631520361</v>
      </c>
      <c r="J31" s="443">
        <v>334.08961066046447</v>
      </c>
    </row>
    <row r="32" spans="1:18">
      <c r="H32" s="453">
        <v>193.5922757118812</v>
      </c>
      <c r="I32" s="443">
        <v>392.55950602464299</v>
      </c>
      <c r="J32" s="443">
        <v>443.54873889732642</v>
      </c>
    </row>
    <row r="33" spans="8:10">
      <c r="H33" s="453">
        <v>232.20791413835002</v>
      </c>
      <c r="I33" s="443">
        <v>498.88070173592837</v>
      </c>
      <c r="J33" s="443">
        <v>559.69069198501529</v>
      </c>
    </row>
    <row r="34" spans="8:10">
      <c r="H34" s="453">
        <v>134.87709570768411</v>
      </c>
      <c r="I34" s="443">
        <v>382.44414992445473</v>
      </c>
      <c r="J34" s="443">
        <v>422.50400916002746</v>
      </c>
    </row>
    <row r="35" spans="8:10">
      <c r="H35" s="453">
        <v>85.138628011551987</v>
      </c>
      <c r="I35" s="443">
        <v>252.38430269380581</v>
      </c>
      <c r="J35" s="443">
        <v>275.79050598647871</v>
      </c>
    </row>
  </sheetData>
  <mergeCells count="2">
    <mergeCell ref="K5:M5"/>
    <mergeCell ref="H5:J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46"/>
  <sheetViews>
    <sheetView topLeftCell="A13" workbookViewId="0">
      <selection activeCell="I9" sqref="I9"/>
    </sheetView>
  </sheetViews>
  <sheetFormatPr defaultRowHeight="15"/>
  <sheetData>
    <row r="1" spans="1:19" ht="25.5">
      <c r="A1" s="181" t="s">
        <v>178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9" ht="25.5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N2" s="233" t="s">
        <v>179</v>
      </c>
      <c r="O2" s="367" t="s">
        <v>180</v>
      </c>
      <c r="P2" s="367"/>
      <c r="Q2" s="367"/>
      <c r="R2" s="367"/>
      <c r="S2" s="233" t="s">
        <v>181</v>
      </c>
    </row>
    <row r="3" spans="1:19" ht="20.25">
      <c r="A3" s="182" t="s">
        <v>182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N3" s="234">
        <v>44938</v>
      </c>
      <c r="O3" s="234" t="s">
        <v>183</v>
      </c>
      <c r="P3" s="234">
        <v>45293</v>
      </c>
      <c r="Q3" s="234" t="s">
        <v>184</v>
      </c>
      <c r="R3" s="234">
        <v>45297</v>
      </c>
      <c r="S3" s="158" t="s">
        <v>185</v>
      </c>
    </row>
    <row r="4" spans="1:19" ht="20.25">
      <c r="A4" s="408"/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182"/>
    </row>
    <row r="5" spans="1:19" ht="56.25">
      <c r="A5" s="409" t="s">
        <v>186</v>
      </c>
      <c r="B5" s="410"/>
      <c r="C5" s="412" t="s">
        <v>172</v>
      </c>
      <c r="D5" s="410"/>
      <c r="E5" s="413" t="s">
        <v>187</v>
      </c>
      <c r="F5" s="414"/>
      <c r="G5" s="413" t="s">
        <v>188</v>
      </c>
      <c r="H5" s="414"/>
      <c r="I5" s="412" t="s">
        <v>189</v>
      </c>
      <c r="J5" s="416"/>
      <c r="K5" s="417" t="s">
        <v>190</v>
      </c>
      <c r="L5" s="183"/>
      <c r="N5" s="233" t="s">
        <v>191</v>
      </c>
      <c r="O5" s="233" t="s">
        <v>192</v>
      </c>
    </row>
    <row r="6" spans="1:19" ht="18.75">
      <c r="A6" s="411"/>
      <c r="B6" s="403"/>
      <c r="C6" s="403"/>
      <c r="D6" s="403"/>
      <c r="E6" s="415"/>
      <c r="F6" s="415"/>
      <c r="G6" s="415"/>
      <c r="H6" s="415"/>
      <c r="I6" s="403"/>
      <c r="J6" s="404"/>
      <c r="K6" s="418"/>
      <c r="L6" s="184"/>
      <c r="N6" s="234">
        <f ca="1">TODAY()</f>
        <v>46221</v>
      </c>
      <c r="O6" s="158" t="b">
        <f ca="1">AND(N6&gt;N3,N6&lt;O3)</f>
        <v>1</v>
      </c>
    </row>
    <row r="7" spans="1:19" ht="18.75">
      <c r="A7" s="402" t="s">
        <v>193</v>
      </c>
      <c r="B7" s="403"/>
      <c r="C7" s="403" t="s">
        <v>194</v>
      </c>
      <c r="D7" s="403"/>
      <c r="E7" s="403" t="s">
        <v>172</v>
      </c>
      <c r="F7" s="403"/>
      <c r="G7" s="403" t="s">
        <v>172</v>
      </c>
      <c r="H7" s="403"/>
      <c r="I7" s="403" t="s">
        <v>172</v>
      </c>
      <c r="J7" s="404"/>
      <c r="K7" s="185"/>
      <c r="L7" s="186"/>
    </row>
    <row r="8" spans="1:19" ht="18.75">
      <c r="A8" s="405">
        <v>471.35</v>
      </c>
      <c r="B8" s="406"/>
      <c r="C8" s="406">
        <f>24*31</f>
        <v>744</v>
      </c>
      <c r="D8" s="406"/>
      <c r="E8" s="406">
        <v>47</v>
      </c>
      <c r="F8" s="406"/>
      <c r="G8" s="406">
        <v>60</v>
      </c>
      <c r="H8" s="406"/>
      <c r="I8" s="406">
        <v>0</v>
      </c>
      <c r="J8" s="407"/>
      <c r="K8" s="187"/>
      <c r="L8" s="188"/>
      <c r="N8" s="158">
        <v>15</v>
      </c>
      <c r="O8" s="158">
        <v>24</v>
      </c>
    </row>
    <row r="9" spans="1:19" ht="18.75">
      <c r="A9" s="386" t="e">
        <f>VLOOKUP(A8,DT_BTS,2,1)</f>
        <v>#NAME?</v>
      </c>
      <c r="B9" s="387"/>
      <c r="C9" s="424" t="s">
        <v>195</v>
      </c>
      <c r="D9" s="425"/>
      <c r="E9" s="425"/>
      <c r="F9" s="426"/>
      <c r="G9" s="419" t="s">
        <v>196</v>
      </c>
      <c r="H9" s="420"/>
      <c r="I9" s="392" t="e">
        <f>VLOOKUP(I10,DT_BTS,2,1)</f>
        <v>#NAME?</v>
      </c>
      <c r="J9" s="393"/>
      <c r="K9" s="189" t="e">
        <f>A9-I9</f>
        <v>#NAME?</v>
      </c>
      <c r="L9" s="190"/>
      <c r="N9" s="191">
        <v>90</v>
      </c>
      <c r="O9" s="191">
        <f>N9*N8/O8</f>
        <v>56.25</v>
      </c>
      <c r="P9" s="191"/>
      <c r="Q9" s="191"/>
      <c r="R9" s="191"/>
    </row>
    <row r="10" spans="1:19" ht="22.5">
      <c r="A10" s="394" t="s">
        <v>197</v>
      </c>
      <c r="B10" s="395"/>
      <c r="C10" s="395"/>
      <c r="D10" s="395"/>
      <c r="E10" s="395"/>
      <c r="F10" s="395"/>
      <c r="G10" s="395"/>
      <c r="H10" s="395"/>
      <c r="I10" s="398" t="e">
        <f>VLOOKUP(VLOOKUP(A8,DT_BTS,2,1)+((E8-G8-I8)*C8*3600/10^6),DT_MNH,2,1)</f>
        <v>#NAME?</v>
      </c>
      <c r="J10" s="399"/>
      <c r="K10" s="376" t="e">
        <f>A8-I10</f>
        <v>#NAME?</v>
      </c>
      <c r="L10" s="192"/>
      <c r="N10" s="191" t="s">
        <v>198</v>
      </c>
      <c r="O10" s="191"/>
      <c r="P10" s="191"/>
      <c r="Q10" s="239" t="s">
        <v>33</v>
      </c>
      <c r="R10" s="240" t="s">
        <v>199</v>
      </c>
    </row>
    <row r="11" spans="1:19" ht="22.5">
      <c r="A11" s="396"/>
      <c r="B11" s="397"/>
      <c r="C11" s="397"/>
      <c r="D11" s="397"/>
      <c r="E11" s="397"/>
      <c r="F11" s="397"/>
      <c r="G11" s="397"/>
      <c r="H11" s="397"/>
      <c r="I11" s="400"/>
      <c r="J11" s="401"/>
      <c r="K11" s="377"/>
      <c r="L11" s="193"/>
      <c r="N11" s="191" t="s">
        <v>200</v>
      </c>
      <c r="O11" s="191"/>
      <c r="P11" s="191"/>
      <c r="Q11" s="191">
        <v>180</v>
      </c>
      <c r="R11" s="191">
        <v>86</v>
      </c>
    </row>
    <row r="12" spans="1:19">
      <c r="A12" s="378"/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8"/>
      <c r="N12" s="191"/>
      <c r="O12" s="191"/>
      <c r="P12" s="191"/>
      <c r="Q12" s="191">
        <f>G8</f>
        <v>60</v>
      </c>
      <c r="R12" s="191">
        <f>R11*Q12/Q11</f>
        <v>28.666666666666668</v>
      </c>
    </row>
    <row r="13" spans="1:19" ht="20.25">
      <c r="A13" s="194" t="s">
        <v>201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N13" s="191"/>
      <c r="O13" s="191"/>
      <c r="P13" s="191"/>
      <c r="Q13" s="191"/>
      <c r="R13" s="191"/>
    </row>
    <row r="14" spans="1:19" ht="20.25">
      <c r="A14" s="423"/>
      <c r="B14" s="423"/>
      <c r="C14" s="423"/>
      <c r="D14" s="423"/>
      <c r="E14" s="423"/>
      <c r="F14" s="423"/>
      <c r="G14" s="423"/>
      <c r="H14" s="423"/>
      <c r="I14" s="423"/>
      <c r="J14" s="423"/>
      <c r="K14" s="423"/>
      <c r="L14" s="194"/>
      <c r="N14" s="191"/>
      <c r="O14" s="191"/>
      <c r="P14" s="191"/>
      <c r="Q14" s="191"/>
      <c r="R14" s="191"/>
    </row>
    <row r="15" spans="1:19" ht="56.25">
      <c r="A15" s="409" t="s">
        <v>186</v>
      </c>
      <c r="B15" s="410"/>
      <c r="C15" s="412" t="s">
        <v>172</v>
      </c>
      <c r="D15" s="410"/>
      <c r="E15" s="413" t="s">
        <v>187</v>
      </c>
      <c r="F15" s="414"/>
      <c r="G15" s="413" t="s">
        <v>188</v>
      </c>
      <c r="H15" s="414"/>
      <c r="I15" s="412" t="s">
        <v>189</v>
      </c>
      <c r="J15" s="416"/>
      <c r="K15" s="417" t="s">
        <v>190</v>
      </c>
      <c r="L15" s="183"/>
    </row>
    <row r="16" spans="1:19" ht="18.75">
      <c r="A16" s="411"/>
      <c r="B16" s="403"/>
      <c r="C16" s="403"/>
      <c r="D16" s="403"/>
      <c r="E16" s="415"/>
      <c r="F16" s="415"/>
      <c r="G16" s="415"/>
      <c r="H16" s="415"/>
      <c r="I16" s="403"/>
      <c r="J16" s="404"/>
      <c r="K16" s="418"/>
      <c r="L16" s="184"/>
    </row>
    <row r="17" spans="1:20" ht="18.75">
      <c r="A17" s="402" t="s">
        <v>193</v>
      </c>
      <c r="B17" s="403"/>
      <c r="C17" s="403" t="s">
        <v>194</v>
      </c>
      <c r="D17" s="403"/>
      <c r="E17" s="403" t="s">
        <v>172</v>
      </c>
      <c r="F17" s="403"/>
      <c r="G17" s="403" t="s">
        <v>172</v>
      </c>
      <c r="H17" s="403"/>
      <c r="I17" s="403" t="s">
        <v>172</v>
      </c>
      <c r="J17" s="404"/>
      <c r="K17" s="195"/>
      <c r="L17" s="196"/>
    </row>
    <row r="18" spans="1:20" ht="18.75">
      <c r="A18" s="421">
        <v>409.5</v>
      </c>
      <c r="B18" s="422"/>
      <c r="C18" s="406">
        <v>9</v>
      </c>
      <c r="D18" s="406"/>
      <c r="E18" s="406">
        <v>250</v>
      </c>
      <c r="F18" s="406"/>
      <c r="G18" s="406">
        <v>305</v>
      </c>
      <c r="H18" s="406"/>
      <c r="I18" s="406">
        <v>0</v>
      </c>
      <c r="J18" s="407"/>
      <c r="K18" s="187"/>
      <c r="L18" s="188"/>
    </row>
    <row r="19" spans="1:20" ht="18.75">
      <c r="A19" s="386" t="e">
        <f>VLOOKUP(A18,DT_BK,2,1)</f>
        <v>#NAME?</v>
      </c>
      <c r="B19" s="387"/>
      <c r="C19" s="388" t="s">
        <v>202</v>
      </c>
      <c r="D19" s="388"/>
      <c r="E19" s="388"/>
      <c r="F19" s="389"/>
      <c r="G19" s="419" t="s">
        <v>196</v>
      </c>
      <c r="H19" s="420"/>
      <c r="I19" s="392" t="e">
        <f>VLOOKUP(I20,DT_BK,2,1)</f>
        <v>#NAME?</v>
      </c>
      <c r="J19" s="393"/>
      <c r="K19" s="189" t="e">
        <f>A19-I19</f>
        <v>#NAME?</v>
      </c>
      <c r="L19" s="190"/>
      <c r="P19" s="158">
        <f>30*109.6/19</f>
        <v>173.05263157894737</v>
      </c>
    </row>
    <row r="20" spans="1:20" ht="22.5">
      <c r="A20" s="394" t="s">
        <v>197</v>
      </c>
      <c r="B20" s="395"/>
      <c r="C20" s="395"/>
      <c r="D20" s="395"/>
      <c r="E20" s="395"/>
      <c r="F20" s="395"/>
      <c r="G20" s="395"/>
      <c r="H20" s="395"/>
      <c r="I20" s="398" t="e">
        <f>VLOOKUP(VLOOKUP(A18,DT_BK,2,1)+((E18-G18-I18)*C18*3600/10^6),DT_MNHBK,2,1)</f>
        <v>#NAME?</v>
      </c>
      <c r="J20" s="399"/>
      <c r="K20" s="376" t="e">
        <f>A18-I20</f>
        <v>#NAME?</v>
      </c>
      <c r="L20" s="192"/>
    </row>
    <row r="21" spans="1:20" ht="22.5">
      <c r="A21" s="396"/>
      <c r="B21" s="397"/>
      <c r="C21" s="397"/>
      <c r="D21" s="397"/>
      <c r="E21" s="397"/>
      <c r="F21" s="397"/>
      <c r="G21" s="397"/>
      <c r="H21" s="397"/>
      <c r="I21" s="400"/>
      <c r="J21" s="401"/>
      <c r="K21" s="377"/>
      <c r="L21" s="193"/>
      <c r="N21" s="191"/>
      <c r="O21" s="191"/>
      <c r="P21" s="191"/>
      <c r="Q21" s="191"/>
      <c r="R21" s="191"/>
    </row>
    <row r="22" spans="1:20">
      <c r="A22" s="378"/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</row>
    <row r="23" spans="1:20" ht="20.25">
      <c r="A23" s="182" t="s">
        <v>203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N23" s="197">
        <f>E18*C18*3600/10^6</f>
        <v>8.1</v>
      </c>
      <c r="O23" s="197"/>
      <c r="P23" s="197"/>
      <c r="Q23" s="197"/>
      <c r="R23" s="197"/>
      <c r="S23" s="197"/>
      <c r="T23" s="197"/>
    </row>
    <row r="24" spans="1:20" ht="20.25">
      <c r="A24" s="40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182"/>
      <c r="N24" s="198"/>
      <c r="O24" s="198"/>
      <c r="P24" s="198"/>
      <c r="Q24" s="198"/>
      <c r="R24" s="198"/>
      <c r="S24" s="199"/>
      <c r="T24" s="197"/>
    </row>
    <row r="25" spans="1:20" ht="56.25">
      <c r="A25" s="409" t="s">
        <v>186</v>
      </c>
      <c r="B25" s="410"/>
      <c r="C25" s="412" t="s">
        <v>172</v>
      </c>
      <c r="D25" s="410"/>
      <c r="E25" s="413" t="s">
        <v>187</v>
      </c>
      <c r="F25" s="414"/>
      <c r="G25" s="413" t="s">
        <v>188</v>
      </c>
      <c r="H25" s="414"/>
      <c r="I25" s="412" t="s">
        <v>189</v>
      </c>
      <c r="J25" s="416"/>
      <c r="K25" s="417" t="s">
        <v>190</v>
      </c>
      <c r="L25" s="183"/>
      <c r="N25" s="197"/>
      <c r="O25" s="197"/>
      <c r="P25" s="197"/>
      <c r="Q25" s="197"/>
      <c r="R25" s="197"/>
      <c r="S25" s="199"/>
      <c r="T25" s="197"/>
    </row>
    <row r="26" spans="1:20" ht="18.75">
      <c r="A26" s="411"/>
      <c r="B26" s="403"/>
      <c r="C26" s="403"/>
      <c r="D26" s="403"/>
      <c r="E26" s="415"/>
      <c r="F26" s="415"/>
      <c r="G26" s="415"/>
      <c r="H26" s="415"/>
      <c r="I26" s="403"/>
      <c r="J26" s="404"/>
      <c r="K26" s="418"/>
      <c r="L26" s="184"/>
      <c r="N26" s="197"/>
      <c r="O26" s="197"/>
      <c r="P26" s="197"/>
      <c r="Q26" s="197"/>
      <c r="R26" s="197"/>
      <c r="S26" s="200"/>
      <c r="T26" s="197"/>
    </row>
    <row r="27" spans="1:20" ht="18.75">
      <c r="A27" s="402" t="s">
        <v>193</v>
      </c>
      <c r="B27" s="403"/>
      <c r="C27" s="403" t="s">
        <v>194</v>
      </c>
      <c r="D27" s="403"/>
      <c r="E27" s="403" t="s">
        <v>172</v>
      </c>
      <c r="F27" s="403"/>
      <c r="G27" s="403" t="s">
        <v>172</v>
      </c>
      <c r="H27" s="403"/>
      <c r="I27" s="403" t="s">
        <v>172</v>
      </c>
      <c r="J27" s="404"/>
      <c r="K27" s="195"/>
      <c r="L27" s="196"/>
      <c r="N27" s="197"/>
      <c r="O27" s="197"/>
      <c r="P27" s="197"/>
      <c r="Q27" s="197"/>
      <c r="R27" s="197"/>
      <c r="S27" s="197"/>
      <c r="T27" s="197"/>
    </row>
    <row r="28" spans="1:20" ht="18.75">
      <c r="A28" s="405">
        <v>270.95</v>
      </c>
      <c r="B28" s="406"/>
      <c r="C28" s="406">
        <f>24*5</f>
        <v>120</v>
      </c>
      <c r="D28" s="406"/>
      <c r="E28" s="406">
        <v>280</v>
      </c>
      <c r="F28" s="406"/>
      <c r="G28" s="406">
        <v>350</v>
      </c>
      <c r="H28" s="406"/>
      <c r="I28" s="406"/>
      <c r="J28" s="407"/>
      <c r="K28" s="187"/>
      <c r="L28" s="188"/>
    </row>
    <row r="29" spans="1:20" ht="23.25">
      <c r="A29" s="386" t="e">
        <f>VLOOKUP(A28,DT_SP3,2,1)</f>
        <v>#NAME?</v>
      </c>
      <c r="B29" s="387"/>
      <c r="C29" s="388" t="s">
        <v>202</v>
      </c>
      <c r="D29" s="388"/>
      <c r="E29" s="388"/>
      <c r="F29" s="389"/>
      <c r="G29" s="390" t="s">
        <v>204</v>
      </c>
      <c r="H29" s="391"/>
      <c r="I29" s="392" t="e">
        <f>VLOOKUP(I30,DT_SP3,2,1)</f>
        <v>#NAME?</v>
      </c>
      <c r="J29" s="393"/>
      <c r="K29" s="189" t="e">
        <f>A29-I29</f>
        <v>#NAME?</v>
      </c>
      <c r="L29" s="190"/>
    </row>
    <row r="30" spans="1:20" ht="22.5">
      <c r="A30" s="394" t="s">
        <v>197</v>
      </c>
      <c r="B30" s="395"/>
      <c r="C30" s="395"/>
      <c r="D30" s="395"/>
      <c r="E30" s="395"/>
      <c r="F30" s="395"/>
      <c r="G30" s="395"/>
      <c r="H30" s="395"/>
      <c r="I30" s="398" t="e">
        <f>VLOOKUP(VLOOKUP(A28,DT_SP3,2,1)+((E28-G28-I28)*C28*3600/10^6),DT_MNHSP3,2,1)</f>
        <v>#NAME?</v>
      </c>
      <c r="J30" s="399"/>
      <c r="K30" s="376" t="e">
        <f>A28-I30</f>
        <v>#NAME?</v>
      </c>
      <c r="L30" s="192"/>
    </row>
    <row r="31" spans="1:20" ht="22.5">
      <c r="A31" s="396"/>
      <c r="B31" s="397"/>
      <c r="C31" s="397"/>
      <c r="D31" s="397"/>
      <c r="E31" s="397"/>
      <c r="F31" s="397"/>
      <c r="G31" s="397"/>
      <c r="H31" s="397"/>
      <c r="I31" s="400"/>
      <c r="J31" s="401"/>
      <c r="K31" s="377"/>
      <c r="L31" s="193"/>
    </row>
    <row r="32" spans="1:20">
      <c r="A32" s="378"/>
      <c r="B32" s="378"/>
      <c r="C32" s="378"/>
      <c r="D32" s="378"/>
      <c r="E32" s="378"/>
      <c r="F32" s="378"/>
      <c r="G32" s="378"/>
      <c r="H32" s="378"/>
      <c r="I32" s="378"/>
      <c r="J32" s="378"/>
      <c r="K32" s="378"/>
      <c r="L32" s="378"/>
      <c r="N32" s="191"/>
      <c r="O32" s="191"/>
      <c r="P32" s="191"/>
      <c r="Q32" s="191"/>
      <c r="R32" s="191"/>
    </row>
    <row r="33" spans="1:22">
      <c r="A33" s="201"/>
      <c r="B33" s="379" t="s">
        <v>205</v>
      </c>
      <c r="C33" s="379"/>
      <c r="D33" s="379"/>
      <c r="E33" s="379"/>
      <c r="F33" s="379"/>
      <c r="G33" s="379"/>
      <c r="I33" s="380" t="s">
        <v>206</v>
      </c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2"/>
    </row>
    <row r="34" spans="1:22" ht="47.25">
      <c r="A34" s="201"/>
      <c r="B34" s="379"/>
      <c r="C34" s="379"/>
      <c r="D34" s="379"/>
      <c r="E34" s="379"/>
      <c r="F34" s="379"/>
      <c r="G34" s="379"/>
      <c r="I34" s="202" t="s">
        <v>207</v>
      </c>
      <c r="J34" s="203" t="s">
        <v>208</v>
      </c>
      <c r="K34" s="203" t="s">
        <v>209</v>
      </c>
      <c r="L34" s="203" t="s">
        <v>210</v>
      </c>
      <c r="M34" s="203" t="s">
        <v>211</v>
      </c>
      <c r="N34" s="203" t="s">
        <v>212</v>
      </c>
      <c r="O34" s="203"/>
      <c r="P34" s="203"/>
      <c r="Q34" s="203"/>
      <c r="R34" s="203"/>
      <c r="S34" s="203" t="s">
        <v>213</v>
      </c>
      <c r="T34" s="203" t="s">
        <v>214</v>
      </c>
      <c r="U34" s="203" t="s">
        <v>215</v>
      </c>
      <c r="V34" s="204" t="s">
        <v>216</v>
      </c>
    </row>
    <row r="35" spans="1:22" ht="15.75">
      <c r="A35" s="201"/>
      <c r="B35" s="383" t="s">
        <v>217</v>
      </c>
      <c r="C35" s="383"/>
      <c r="D35" s="383"/>
      <c r="E35" s="383"/>
      <c r="F35" s="383"/>
      <c r="G35" s="383"/>
      <c r="I35" s="205" t="s">
        <v>218</v>
      </c>
      <c r="J35" s="206">
        <v>487.5</v>
      </c>
      <c r="K35" s="207">
        <v>40</v>
      </c>
      <c r="L35" s="207">
        <v>55</v>
      </c>
      <c r="M35" s="208" t="e">
        <f t="shared" ref="M35:M40" si="0">VLOOKUP(J35,DT_BTS,2,1)</f>
        <v>#NAME?</v>
      </c>
      <c r="N35" s="209">
        <v>487.43900000000002</v>
      </c>
      <c r="O35" s="209"/>
      <c r="P35" s="209"/>
      <c r="Q35" s="209"/>
      <c r="R35" s="209"/>
      <c r="S35" s="210">
        <v>60.156740964755059</v>
      </c>
      <c r="T35" s="210">
        <v>79.940763440860252</v>
      </c>
      <c r="U35" s="208" t="e">
        <f t="shared" ref="U35:U40" si="1">VLOOKUP(N35,DT_BTS,2,1)</f>
        <v>#NAME?</v>
      </c>
      <c r="V35" s="211">
        <f t="shared" ref="V35:V37" si="2">IF(N35=0,"SL",J35-N35)</f>
        <v>6.0999999999978627E-2</v>
      </c>
    </row>
    <row r="36" spans="1:22" ht="60">
      <c r="A36" s="201"/>
      <c r="B36" s="212" t="s">
        <v>219</v>
      </c>
      <c r="C36" s="212" t="s">
        <v>220</v>
      </c>
      <c r="D36" s="212" t="s">
        <v>221</v>
      </c>
      <c r="E36" s="212" t="s">
        <v>222</v>
      </c>
      <c r="F36" s="212" t="s">
        <v>223</v>
      </c>
      <c r="G36" s="212" t="s">
        <v>224</v>
      </c>
      <c r="I36" s="213" t="s">
        <v>225</v>
      </c>
      <c r="J36" s="206">
        <v>485.25</v>
      </c>
      <c r="K36" s="207">
        <v>32</v>
      </c>
      <c r="L36" s="207">
        <v>55</v>
      </c>
      <c r="M36" s="208" t="e">
        <f t="shared" si="0"/>
        <v>#NAME?</v>
      </c>
      <c r="N36" s="209">
        <v>485.95299999948088</v>
      </c>
      <c r="O36" s="209"/>
      <c r="P36" s="209"/>
      <c r="Q36" s="209"/>
      <c r="R36" s="209"/>
      <c r="S36" s="210">
        <v>39.041922395718593</v>
      </c>
      <c r="T36" s="210">
        <v>78.208297101449276</v>
      </c>
      <c r="U36" s="208" t="e">
        <f t="shared" si="1"/>
        <v>#NAME?</v>
      </c>
      <c r="V36" s="211">
        <f t="shared" si="2"/>
        <v>-0.70299999948088043</v>
      </c>
    </row>
    <row r="37" spans="1:22" ht="15.75">
      <c r="A37" s="201"/>
      <c r="B37" s="214">
        <v>482.49</v>
      </c>
      <c r="C37" s="214">
        <f>15*31</f>
        <v>465</v>
      </c>
      <c r="D37" s="215">
        <f>C37*32</f>
        <v>14880</v>
      </c>
      <c r="E37" s="214">
        <v>23.08</v>
      </c>
      <c r="F37" s="214">
        <v>0</v>
      </c>
      <c r="G37" s="384" t="e">
        <f>VLOOKUP(F38,MNH_DUNGTICH_BTS,2,1)</f>
        <v>#NAME?</v>
      </c>
      <c r="I37" s="205" t="s">
        <v>226</v>
      </c>
      <c r="J37" s="206">
        <v>482.19</v>
      </c>
      <c r="K37" s="207">
        <v>25</v>
      </c>
      <c r="L37" s="207">
        <v>55</v>
      </c>
      <c r="M37" s="208" t="e">
        <f t="shared" si="0"/>
        <v>#NAME?</v>
      </c>
      <c r="N37" s="209">
        <v>482.96099999955163</v>
      </c>
      <c r="O37" s="209"/>
      <c r="P37" s="209"/>
      <c r="Q37" s="209"/>
      <c r="R37" s="209"/>
      <c r="S37" s="210">
        <v>36.13144236323707</v>
      </c>
      <c r="T37" s="210">
        <v>91.472903225806462</v>
      </c>
      <c r="U37" s="208" t="e">
        <f t="shared" si="1"/>
        <v>#NAME?</v>
      </c>
      <c r="V37" s="211">
        <f t="shared" si="2"/>
        <v>-0.77099999955163412</v>
      </c>
    </row>
    <row r="38" spans="1:22" ht="15.75">
      <c r="A38" s="201"/>
      <c r="B38" s="385" t="s">
        <v>227</v>
      </c>
      <c r="C38" s="385"/>
      <c r="D38" s="385"/>
      <c r="E38" s="216" t="s">
        <v>228</v>
      </c>
      <c r="F38" s="217" t="e">
        <f>VLOOKUP((VLOOKUP(B37,MNH_DUNGTICH_BTS,2,1)+E37*C37*3600/10^6-VLOOKUP(B37,SHN_BTS,2,1)*D37/10^3-F37*C37*3600/10^6),DUNGTICH_MNH_BTS,2,1)</f>
        <v>#NAME?</v>
      </c>
      <c r="G38" s="384"/>
      <c r="I38" s="218" t="s">
        <v>229</v>
      </c>
      <c r="J38" s="219">
        <v>477.59</v>
      </c>
      <c r="K38" s="219">
        <v>20</v>
      </c>
      <c r="L38" s="219">
        <v>55</v>
      </c>
      <c r="M38" s="220" t="e">
        <f t="shared" si="0"/>
        <v>#NAME?</v>
      </c>
      <c r="N38" s="221">
        <v>477.22300000000001</v>
      </c>
      <c r="O38" s="221"/>
      <c r="P38" s="221"/>
      <c r="Q38" s="221"/>
      <c r="R38" s="221"/>
      <c r="S38" s="221">
        <v>29.832382908950844</v>
      </c>
      <c r="T38" s="221">
        <v>86.226722222222222</v>
      </c>
      <c r="U38" s="220" t="e">
        <f t="shared" si="1"/>
        <v>#NAME?</v>
      </c>
      <c r="V38" s="222">
        <f>IF(N38=0,"SL",J38-N38)</f>
        <v>0.3669999999999618</v>
      </c>
    </row>
    <row r="39" spans="1:22" ht="15.75">
      <c r="A39" s="223"/>
      <c r="B39" s="368" t="s">
        <v>230</v>
      </c>
      <c r="C39" s="368"/>
      <c r="D39" s="368"/>
      <c r="E39" s="368"/>
      <c r="F39" s="368"/>
      <c r="G39" s="368"/>
      <c r="I39" s="205" t="s">
        <v>231</v>
      </c>
      <c r="J39" s="206">
        <v>470.56</v>
      </c>
      <c r="K39" s="207">
        <v>35</v>
      </c>
      <c r="L39" s="207">
        <v>55</v>
      </c>
      <c r="M39" s="208" t="e">
        <f t="shared" si="0"/>
        <v>#NAME?</v>
      </c>
      <c r="N39" s="209">
        <v>469.81599999999997</v>
      </c>
      <c r="O39" s="209"/>
      <c r="P39" s="209"/>
      <c r="Q39" s="209"/>
      <c r="R39" s="209"/>
      <c r="S39" s="210">
        <v>53.662190486857497</v>
      </c>
      <c r="T39" s="210">
        <v>61.435114942528735</v>
      </c>
      <c r="U39" s="208" t="e">
        <f t="shared" si="1"/>
        <v>#NAME?</v>
      </c>
      <c r="V39" s="211">
        <f t="shared" ref="V39:V40" si="3">IF(N39=0,"SL",J39-N39)</f>
        <v>0.74400000000002819</v>
      </c>
    </row>
    <row r="40" spans="1:22" ht="60">
      <c r="A40" s="224"/>
      <c r="B40" s="225" t="s">
        <v>219</v>
      </c>
      <c r="C40" s="225" t="s">
        <v>220</v>
      </c>
      <c r="D40" s="225" t="s">
        <v>221</v>
      </c>
      <c r="E40" s="225" t="s">
        <v>222</v>
      </c>
      <c r="F40" s="225" t="s">
        <v>223</v>
      </c>
      <c r="G40" s="225" t="s">
        <v>224</v>
      </c>
      <c r="I40" s="213" t="s">
        <v>232</v>
      </c>
      <c r="J40" s="206">
        <v>466.22</v>
      </c>
      <c r="K40" s="207">
        <v>35</v>
      </c>
      <c r="L40" s="207">
        <v>55</v>
      </c>
      <c r="M40" s="208" t="e">
        <f t="shared" si="0"/>
        <v>#NAME?</v>
      </c>
      <c r="N40" s="209">
        <v>469.74599999986413</v>
      </c>
      <c r="O40" s="209"/>
      <c r="P40" s="209"/>
      <c r="Q40" s="209"/>
      <c r="R40" s="209"/>
      <c r="S40" s="210">
        <f>S39</f>
        <v>53.662190486857497</v>
      </c>
      <c r="T40" s="210">
        <f>T39</f>
        <v>61.435114942528735</v>
      </c>
      <c r="U40" s="208" t="e">
        <f t="shared" si="1"/>
        <v>#NAME?</v>
      </c>
      <c r="V40" s="211">
        <f t="shared" si="3"/>
        <v>-3.5259999998640978</v>
      </c>
    </row>
    <row r="41" spans="1:22" ht="15.75">
      <c r="A41" s="226"/>
      <c r="B41" s="227">
        <v>409.71</v>
      </c>
      <c r="C41" s="228">
        <v>2</v>
      </c>
      <c r="D41" s="229">
        <v>0</v>
      </c>
      <c r="E41" s="227">
        <v>285</v>
      </c>
      <c r="F41" s="227">
        <v>0</v>
      </c>
      <c r="G41" s="365" t="e">
        <f>VLOOKUP(F42,MNH_DUNGTICH_BK,2,1)</f>
        <v>#NAME?</v>
      </c>
      <c r="I41" s="369" t="s">
        <v>233</v>
      </c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1"/>
    </row>
    <row r="42" spans="1:22">
      <c r="A42" s="201"/>
      <c r="B42" s="366" t="s">
        <v>227</v>
      </c>
      <c r="C42" s="366"/>
      <c r="D42" s="366"/>
      <c r="E42" s="230" t="s">
        <v>228</v>
      </c>
      <c r="F42" s="231" t="e">
        <f>VLOOKUP((VLOOKUP(B41,MNH_DUNGTICH_BK,2,1)+E41*C41*3600/10^6-SHN_BK*D41/10^3-F41*C41*3600/10^6-F41*86400/10^6),DUNGTICH_MNH_BK,2,1)</f>
        <v>#NAME?</v>
      </c>
      <c r="G42" s="365"/>
      <c r="I42" s="372" t="s">
        <v>234</v>
      </c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4"/>
    </row>
    <row r="43" spans="1:22" ht="15.75">
      <c r="A43" s="223"/>
      <c r="B43" s="375" t="s">
        <v>235</v>
      </c>
      <c r="C43" s="375"/>
      <c r="D43" s="375"/>
      <c r="E43" s="375"/>
      <c r="F43" s="375"/>
      <c r="G43" s="375"/>
      <c r="N43" s="232"/>
      <c r="O43" s="232"/>
      <c r="P43" s="232"/>
      <c r="Q43" s="232"/>
      <c r="R43" s="232"/>
      <c r="S43" s="232"/>
      <c r="T43" s="232"/>
      <c r="U43" s="232"/>
    </row>
    <row r="44" spans="1:22" ht="60">
      <c r="A44" s="224"/>
      <c r="B44" s="225" t="s">
        <v>219</v>
      </c>
      <c r="C44" s="225" t="s">
        <v>220</v>
      </c>
      <c r="D44" s="225" t="s">
        <v>221</v>
      </c>
      <c r="E44" s="225" t="s">
        <v>222</v>
      </c>
      <c r="F44" s="225" t="s">
        <v>223</v>
      </c>
      <c r="G44" s="225" t="s">
        <v>224</v>
      </c>
      <c r="N44" s="232"/>
      <c r="O44" s="232"/>
      <c r="P44" s="232"/>
      <c r="Q44" s="232"/>
      <c r="R44" s="232"/>
      <c r="S44" s="232"/>
      <c r="T44" s="232"/>
      <c r="U44" s="232"/>
    </row>
    <row r="45" spans="1:22" ht="15.75">
      <c r="A45" s="226"/>
      <c r="B45" s="227">
        <v>269.52</v>
      </c>
      <c r="C45" s="227">
        <v>24</v>
      </c>
      <c r="D45" s="229">
        <f>110*2*24</f>
        <v>5280</v>
      </c>
      <c r="E45" s="227">
        <v>540</v>
      </c>
      <c r="F45" s="227">
        <v>178</v>
      </c>
      <c r="G45" s="365" t="e">
        <f>VLOOKUP(F46,MNH_DUNGTICH_SP3,2,1)</f>
        <v>#NAME?</v>
      </c>
      <c r="N45" s="232"/>
      <c r="O45" s="232"/>
      <c r="P45" s="232"/>
      <c r="Q45" s="232"/>
      <c r="R45" s="232"/>
      <c r="S45" s="232"/>
      <c r="T45" s="232"/>
      <c r="U45" s="232"/>
    </row>
    <row r="46" spans="1:22" ht="15.75">
      <c r="A46" s="201"/>
      <c r="B46" s="366" t="s">
        <v>227</v>
      </c>
      <c r="C46" s="366"/>
      <c r="D46" s="366"/>
      <c r="E46" s="230" t="s">
        <v>228</v>
      </c>
      <c r="F46" s="231" t="e">
        <f>VLOOKUP((VLOOKUP(B45,MNH_DUNGTICH_SP3,2,1)+E45*C45*3600/10^6-SHN_SP3*D45/10^3-F45*C45*3600/10^6),DUNGTICH_MNH_SP3,2,1)</f>
        <v>#NAME?</v>
      </c>
      <c r="G46" s="365"/>
      <c r="N46" s="232"/>
      <c r="O46" s="232"/>
      <c r="P46" s="232"/>
      <c r="Q46" s="232"/>
      <c r="R46" s="232"/>
      <c r="S46" s="232"/>
      <c r="T46" s="232"/>
      <c r="U46" s="2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C0B1-D329-48B8-9E99-42067CBAD310}">
  <dimension ref="B3:G23"/>
  <sheetViews>
    <sheetView workbookViewId="0">
      <selection activeCell="I32" sqref="I32"/>
    </sheetView>
  </sheetViews>
  <sheetFormatPr defaultRowHeight="15"/>
  <cols>
    <col min="2" max="2" width="11.7109375" bestFit="1" customWidth="1"/>
    <col min="3" max="6" width="12.7109375" customWidth="1"/>
  </cols>
  <sheetData>
    <row r="3" spans="2:7">
      <c r="B3" s="488" t="s">
        <v>236</v>
      </c>
      <c r="C3" s="489"/>
      <c r="D3" s="489"/>
      <c r="E3" s="489"/>
      <c r="F3" s="489"/>
    </row>
    <row r="4" spans="2:7" s="447" customFormat="1" ht="30">
      <c r="B4" s="449" t="s">
        <v>170</v>
      </c>
      <c r="C4" s="448" t="s">
        <v>237</v>
      </c>
      <c r="D4" s="448" t="s">
        <v>238</v>
      </c>
      <c r="E4" s="449" t="s">
        <v>239</v>
      </c>
      <c r="F4" s="449" t="s">
        <v>240</v>
      </c>
    </row>
    <row r="5" spans="2:7">
      <c r="B5">
        <v>5</v>
      </c>
      <c r="C5" s="450">
        <f>'Bảng tra TS-SL BTS'!AC6</f>
        <v>469.47043547939779</v>
      </c>
      <c r="D5" s="450">
        <f>'Bảng tra TS-SL BK'!AC6</f>
        <v>1821.7533498265771</v>
      </c>
      <c r="E5" s="450">
        <f>'Bảng tra TS-SL SP3'!AC6</f>
        <v>1408.2523952071986</v>
      </c>
      <c r="F5" s="450">
        <f>SUM(C5:E5)</f>
        <v>3699.4761805131739</v>
      </c>
    </row>
    <row r="6" spans="2:7">
      <c r="B6">
        <v>10</v>
      </c>
      <c r="C6" s="450">
        <f>'Bảng tra TS-SL BTS'!AC7</f>
        <v>447.91680680683385</v>
      </c>
      <c r="D6" s="450">
        <f>'Bảng tra TS-SL BK'!AC7</f>
        <v>1770.2895874616129</v>
      </c>
      <c r="E6" s="450">
        <f>'Bảng tra TS-SL SP3'!AC7</f>
        <v>1354.9609624878776</v>
      </c>
      <c r="F6" s="450">
        <f t="shared" ref="F6:F23" si="0">SUM(C6:E6)</f>
        <v>3573.1673567563244</v>
      </c>
    </row>
    <row r="7" spans="2:7">
      <c r="B7">
        <v>15</v>
      </c>
      <c r="C7" s="450">
        <f>'Bảng tra TS-SL BTS'!AC8</f>
        <v>421.2713922847804</v>
      </c>
      <c r="D7" s="450">
        <f>'Bảng tra TS-SL BK'!AC8</f>
        <v>1703.9664874376613</v>
      </c>
      <c r="E7" s="450">
        <f>'Bảng tra TS-SL SP3'!AC8</f>
        <v>1311.2425637576644</v>
      </c>
      <c r="F7" s="450">
        <f t="shared" si="0"/>
        <v>3436.4804434801063</v>
      </c>
    </row>
    <row r="8" spans="2:7">
      <c r="B8">
        <v>20</v>
      </c>
      <c r="C8" s="450">
        <f>'Bảng tra TS-SL BTS'!AC9</f>
        <v>407.61404900825625</v>
      </c>
      <c r="D8" s="450">
        <f>'Bảng tra TS-SL BK'!AC9</f>
        <v>1630.0526704075496</v>
      </c>
      <c r="E8" s="450">
        <f>'Bảng tra TS-SL SP3'!AC9</f>
        <v>1283.6488314122155</v>
      </c>
      <c r="F8" s="450">
        <f t="shared" si="0"/>
        <v>3321.3155508280215</v>
      </c>
    </row>
    <row r="9" spans="2:7">
      <c r="B9">
        <v>25</v>
      </c>
      <c r="C9" s="450">
        <f>'Bảng tra TS-SL BTS'!AC10</f>
        <v>394.40418926757309</v>
      </c>
      <c r="D9" s="450">
        <f>'Bảng tra TS-SL BK'!AC10</f>
        <v>1583.3809723199861</v>
      </c>
      <c r="E9" s="450">
        <f>'Bảng tra TS-SL SP3'!AC10</f>
        <v>1235.0800756870244</v>
      </c>
      <c r="F9" s="450">
        <f t="shared" si="0"/>
        <v>3212.8652372745837</v>
      </c>
    </row>
    <row r="10" spans="2:7">
      <c r="B10">
        <v>30</v>
      </c>
      <c r="C10" s="450">
        <f>'Bảng tra TS-SL BTS'!AC11</f>
        <v>382.11339492676916</v>
      </c>
      <c r="D10" s="450">
        <f>'Bảng tra TS-SL BK'!AC11</f>
        <v>1543.1848341787975</v>
      </c>
      <c r="E10" s="450">
        <f>'Bảng tra TS-SL SP3'!AC11</f>
        <v>1200.7049495807494</v>
      </c>
      <c r="F10" s="450">
        <f t="shared" si="0"/>
        <v>3126.003178686316</v>
      </c>
    </row>
    <row r="11" spans="2:7">
      <c r="B11">
        <v>35</v>
      </c>
      <c r="C11" s="450">
        <f>'Bảng tra TS-SL BTS'!AC12</f>
        <v>366.50218089109052</v>
      </c>
      <c r="D11" s="450">
        <f>'Bảng tra TS-SL BK'!AC12</f>
        <v>1475.8932483101642</v>
      </c>
      <c r="E11" s="450">
        <f>'Bảng tra TS-SL SP3'!AC12</f>
        <v>1153.2795364810538</v>
      </c>
      <c r="F11" s="450">
        <f t="shared" si="0"/>
        <v>2995.6749656823085</v>
      </c>
      <c r="G11" s="2" t="s">
        <v>241</v>
      </c>
    </row>
    <row r="12" spans="2:7">
      <c r="B12">
        <v>40</v>
      </c>
      <c r="C12" s="450">
        <f>'Bảng tra TS-SL BTS'!AC13</f>
        <v>342.30712086008282</v>
      </c>
      <c r="D12" s="450">
        <f>'Bảng tra TS-SL BK'!AC13</f>
        <v>1429.5014863006281</v>
      </c>
      <c r="E12" s="450">
        <f>'Bảng tra TS-SL SP3'!AC13</f>
        <v>1098.8013993969475</v>
      </c>
      <c r="F12" s="450">
        <f t="shared" si="0"/>
        <v>2870.6100065576584</v>
      </c>
    </row>
    <row r="13" spans="2:7">
      <c r="B13">
        <v>45</v>
      </c>
      <c r="C13" s="450">
        <f>'Bảng tra TS-SL BTS'!AC14</f>
        <v>320.61096736756059</v>
      </c>
      <c r="D13" s="450">
        <f>'Bảng tra TS-SL BK'!AC14</f>
        <v>1385.1200587012156</v>
      </c>
      <c r="E13" s="450">
        <f>'Bảng tra TS-SL SP3'!AC14</f>
        <v>1057.4299413980377</v>
      </c>
      <c r="F13" s="450">
        <f t="shared" si="0"/>
        <v>2763.1609674668139</v>
      </c>
    </row>
    <row r="14" spans="2:7">
      <c r="B14">
        <v>50</v>
      </c>
      <c r="C14" s="450">
        <f>'Bảng tra TS-SL BTS'!AC15</f>
        <v>307.51307528572988</v>
      </c>
      <c r="D14" s="450">
        <f>'Bảng tra TS-SL BK'!AC15</f>
        <v>1355.489272059616</v>
      </c>
      <c r="E14" s="450">
        <f>'Bảng tra TS-SL SP3'!AC15</f>
        <v>1016.1877347022909</v>
      </c>
      <c r="F14" s="450">
        <f t="shared" si="0"/>
        <v>2679.1900820476367</v>
      </c>
    </row>
    <row r="15" spans="2:7">
      <c r="B15">
        <v>55</v>
      </c>
      <c r="C15" s="450">
        <f>'Bảng tra TS-SL BTS'!AC16</f>
        <v>292.5443085743243</v>
      </c>
      <c r="D15" s="450">
        <f>'Bảng tra TS-SL BK'!AC16</f>
        <v>1300.5678598179552</v>
      </c>
      <c r="E15" s="450">
        <f>'Bảng tra TS-SL SP3'!AC16</f>
        <v>971.00035092109795</v>
      </c>
      <c r="F15" s="450">
        <f t="shared" si="0"/>
        <v>2564.1125193133776</v>
      </c>
    </row>
    <row r="16" spans="2:7">
      <c r="B16">
        <v>60</v>
      </c>
      <c r="C16" s="450">
        <f>'Bảng tra TS-SL BTS'!AC17</f>
        <v>282.67722323348528</v>
      </c>
      <c r="D16" s="450">
        <f>'Bảng tra TS-SL BK'!AC17</f>
        <v>1254.8935616401457</v>
      </c>
      <c r="E16" s="450">
        <f>'Bảng tra TS-SL SP3'!AC17</f>
        <v>939.95534622129844</v>
      </c>
      <c r="F16" s="450">
        <f t="shared" si="0"/>
        <v>2477.5261310949295</v>
      </c>
    </row>
    <row r="17" spans="2:6">
      <c r="B17" s="249">
        <v>65</v>
      </c>
      <c r="C17" s="451">
        <f>'Bảng tra TS-SL BTS'!AC18</f>
        <v>266.42998746249447</v>
      </c>
      <c r="D17" s="451">
        <f>'Bảng tra TS-SL BK'!AC18</f>
        <v>1204.8646981290265</v>
      </c>
      <c r="E17" s="451">
        <f>'Bảng tra TS-SL SP3'!AC18</f>
        <v>909.59568440641237</v>
      </c>
      <c r="F17" s="451">
        <f t="shared" si="0"/>
        <v>2380.8903699979332</v>
      </c>
    </row>
    <row r="18" spans="2:6">
      <c r="B18">
        <v>70</v>
      </c>
      <c r="C18" s="450">
        <f>'Bảng tra TS-SL BTS'!AC19</f>
        <v>253.33040797340462</v>
      </c>
      <c r="D18" s="450">
        <f>'Bảng tra TS-SL BK'!AC19</f>
        <v>1150.6337663951133</v>
      </c>
      <c r="E18" s="450">
        <f>'Bảng tra TS-SL SP3'!AC19</f>
        <v>864.77141550381725</v>
      </c>
      <c r="F18" s="450">
        <f t="shared" si="0"/>
        <v>2268.7355898723354</v>
      </c>
    </row>
    <row r="19" spans="2:6">
      <c r="B19" s="249">
        <v>75</v>
      </c>
      <c r="C19" s="451">
        <f>'Bảng tra TS-SL BTS'!AC20</f>
        <v>239.98797483143036</v>
      </c>
      <c r="D19" s="451">
        <f>'Bảng tra TS-SL BK'!AC20</f>
        <v>1077.3107773502236</v>
      </c>
      <c r="E19" s="451">
        <f>'Bảng tra TS-SL SP3'!AC20</f>
        <v>816.59413069296988</v>
      </c>
      <c r="F19" s="451">
        <f t="shared" si="0"/>
        <v>2133.8928828746239</v>
      </c>
    </row>
    <row r="20" spans="2:6">
      <c r="B20">
        <v>80</v>
      </c>
      <c r="C20" s="450">
        <f>'Bảng tra TS-SL BTS'!AC21</f>
        <v>227.33253071332325</v>
      </c>
      <c r="D20" s="450">
        <f>'Bảng tra TS-SL BK'!AC21</f>
        <v>1034.037351089225</v>
      </c>
      <c r="E20" s="450">
        <f>'Bảng tra TS-SL SP3'!AC21</f>
        <v>778.21130403175562</v>
      </c>
      <c r="F20" s="450">
        <f t="shared" si="0"/>
        <v>2039.5811858343038</v>
      </c>
    </row>
    <row r="21" spans="2:6">
      <c r="B21">
        <v>85</v>
      </c>
      <c r="C21" s="450">
        <f>'Bảng tra TS-SL BTS'!AC22</f>
        <v>212.40086094946847</v>
      </c>
      <c r="D21" s="450">
        <f>'Bảng tra TS-SL BK'!AC22</f>
        <v>950.87191993791532</v>
      </c>
      <c r="E21" s="450">
        <f>'Bảng tra TS-SL SP3'!AC22</f>
        <v>710.82386050703701</v>
      </c>
      <c r="F21" s="450">
        <f t="shared" si="0"/>
        <v>1874.0966413944207</v>
      </c>
    </row>
    <row r="22" spans="2:6">
      <c r="B22">
        <v>90</v>
      </c>
      <c r="C22" s="450">
        <f>'Bảng tra TS-SL BTS'!AC23</f>
        <v>194.00515388054052</v>
      </c>
      <c r="D22" s="450">
        <f>'Bảng tra TS-SL BK'!AC23</f>
        <v>860.64082154089283</v>
      </c>
      <c r="E22" s="450">
        <f>'Bảng tra TS-SL SP3'!AC23</f>
        <v>631.1665929770993</v>
      </c>
      <c r="F22" s="450">
        <f t="shared" si="0"/>
        <v>1685.8125683985327</v>
      </c>
    </row>
    <row r="23" spans="2:6">
      <c r="B23">
        <v>95</v>
      </c>
      <c r="C23" s="450">
        <f>'Bảng tra TS-SL BTS'!AC24</f>
        <v>168.02582218842733</v>
      </c>
      <c r="D23" s="450">
        <f>'Bảng tra TS-SL BK'!AC24</f>
        <v>743.42706238316555</v>
      </c>
      <c r="E23" s="450">
        <f>'Bảng tra TS-SL SP3'!AC24</f>
        <v>564.40636083117897</v>
      </c>
      <c r="F23" s="450">
        <f t="shared" si="0"/>
        <v>1475.8592454027719</v>
      </c>
    </row>
  </sheetData>
  <mergeCells count="1">
    <mergeCell ref="B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1BA0-98DA-4C6A-B9F5-8B5A15BF25E3}">
  <dimension ref="B2:S32"/>
  <sheetViews>
    <sheetView topLeftCell="B10" workbookViewId="0">
      <selection activeCell="M30" sqref="M30"/>
    </sheetView>
  </sheetViews>
  <sheetFormatPr defaultRowHeight="15"/>
  <cols>
    <col min="2" max="2" width="13.85546875" bestFit="1" customWidth="1"/>
    <col min="3" max="3" width="12.7109375" bestFit="1" customWidth="1"/>
    <col min="4" max="15" width="9.28515625" bestFit="1" customWidth="1"/>
    <col min="16" max="16" width="9.5703125" bestFit="1" customWidth="1"/>
  </cols>
  <sheetData>
    <row r="2" spans="2:19">
      <c r="B2" s="447" t="s">
        <v>242</v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</row>
    <row r="3" spans="2:19">
      <c r="B3" s="472" t="s">
        <v>61</v>
      </c>
      <c r="C3" s="472" t="s">
        <v>243</v>
      </c>
      <c r="D3" s="472" t="s">
        <v>244</v>
      </c>
      <c r="E3" s="472" t="s">
        <v>245</v>
      </c>
      <c r="F3" s="472" t="s">
        <v>246</v>
      </c>
      <c r="G3" s="472" t="s">
        <v>247</v>
      </c>
      <c r="H3" s="472" t="s">
        <v>96</v>
      </c>
      <c r="I3" s="472" t="s">
        <v>97</v>
      </c>
      <c r="J3" s="472" t="s">
        <v>248</v>
      </c>
      <c r="K3" s="472" t="s">
        <v>249</v>
      </c>
      <c r="L3" s="472" t="s">
        <v>250</v>
      </c>
      <c r="M3" s="472" t="s">
        <v>251</v>
      </c>
      <c r="N3" s="472" t="s">
        <v>252</v>
      </c>
      <c r="O3" s="472" t="s">
        <v>253</v>
      </c>
      <c r="P3" s="472" t="s">
        <v>254</v>
      </c>
      <c r="Q3" s="447"/>
      <c r="R3" s="447"/>
      <c r="S3" s="447"/>
    </row>
    <row r="4" spans="2:19">
      <c r="B4" s="472" t="s">
        <v>80</v>
      </c>
      <c r="C4" s="471">
        <v>2008</v>
      </c>
      <c r="D4" s="474">
        <v>26.02</v>
      </c>
      <c r="E4" s="474">
        <v>24</v>
      </c>
      <c r="F4" s="474">
        <v>27.45</v>
      </c>
      <c r="G4" s="475">
        <v>10.33</v>
      </c>
      <c r="H4" s="475">
        <v>15.84</v>
      </c>
      <c r="I4" s="475">
        <v>14.86</v>
      </c>
      <c r="J4" s="475">
        <v>18.73</v>
      </c>
      <c r="K4" s="475">
        <v>31.97</v>
      </c>
      <c r="L4" s="475">
        <v>34.44</v>
      </c>
      <c r="M4" s="475">
        <v>38</v>
      </c>
      <c r="N4" s="475">
        <v>40.57</v>
      </c>
      <c r="O4" s="475">
        <v>23.92</v>
      </c>
      <c r="P4" s="476">
        <v>306.14</v>
      </c>
      <c r="Q4" s="447"/>
      <c r="R4" s="447"/>
      <c r="S4" s="447"/>
    </row>
    <row r="5" spans="2:19">
      <c r="B5" s="472" t="s">
        <v>86</v>
      </c>
      <c r="C5" s="471">
        <v>2025</v>
      </c>
      <c r="D5" s="474">
        <v>103.25</v>
      </c>
      <c r="E5" s="474">
        <v>57.57</v>
      </c>
      <c r="F5" s="474">
        <v>59.99</v>
      </c>
      <c r="G5" s="475">
        <v>53.98</v>
      </c>
      <c r="H5" s="475">
        <v>82.25</v>
      </c>
      <c r="I5" s="475">
        <v>130.41</v>
      </c>
      <c r="J5" s="475">
        <v>130.68</v>
      </c>
      <c r="K5" s="475">
        <v>144.11000000000001</v>
      </c>
      <c r="L5" s="475">
        <v>186.05</v>
      </c>
      <c r="M5" s="475">
        <v>192.95</v>
      </c>
      <c r="N5" s="475">
        <v>172.11</v>
      </c>
      <c r="O5" s="475">
        <v>195.32</v>
      </c>
      <c r="P5" s="476">
        <v>1508.66</v>
      </c>
      <c r="Q5" s="447"/>
      <c r="R5" s="447"/>
      <c r="S5" s="447"/>
    </row>
    <row r="6" spans="2:19">
      <c r="B6" s="472" t="s">
        <v>255</v>
      </c>
      <c r="C6" s="471">
        <v>2025</v>
      </c>
      <c r="D6" s="474">
        <v>76.8</v>
      </c>
      <c r="E6" s="474">
        <v>46.2</v>
      </c>
      <c r="F6" s="474">
        <v>51.99</v>
      </c>
      <c r="G6" s="475">
        <v>42.58</v>
      </c>
      <c r="H6" s="475">
        <v>55.54</v>
      </c>
      <c r="I6" s="475">
        <v>113.3</v>
      </c>
      <c r="J6" s="475">
        <v>104.73</v>
      </c>
      <c r="K6" s="475">
        <v>109.25</v>
      </c>
      <c r="L6" s="475">
        <v>149.71</v>
      </c>
      <c r="M6" s="475">
        <v>152.61000000000001</v>
      </c>
      <c r="N6" s="475">
        <v>142.26</v>
      </c>
      <c r="O6" s="475">
        <v>139.88999999999999</v>
      </c>
      <c r="P6" s="476">
        <v>1184.8499999999999</v>
      </c>
      <c r="Q6" s="447"/>
      <c r="R6" s="447"/>
      <c r="S6" s="447"/>
    </row>
    <row r="7" spans="2:19"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64">
        <f>SUM(P4:P6)</f>
        <v>2999.65</v>
      </c>
      <c r="Q7" s="447"/>
      <c r="R7" s="447"/>
      <c r="S7" s="447"/>
    </row>
    <row r="8" spans="2:19">
      <c r="B8" s="447" t="s">
        <v>256</v>
      </c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</row>
    <row r="9" spans="2:19">
      <c r="B9" s="472" t="s">
        <v>61</v>
      </c>
      <c r="C9" s="472" t="s">
        <v>243</v>
      </c>
      <c r="D9" s="472" t="s">
        <v>244</v>
      </c>
      <c r="E9" s="472" t="s">
        <v>245</v>
      </c>
      <c r="F9" s="472" t="s">
        <v>246</v>
      </c>
      <c r="G9" s="472" t="s">
        <v>247</v>
      </c>
      <c r="H9" s="472" t="s">
        <v>96</v>
      </c>
      <c r="I9" s="472" t="s">
        <v>97</v>
      </c>
      <c r="J9" s="472" t="s">
        <v>248</v>
      </c>
      <c r="K9" s="472" t="s">
        <v>249</v>
      </c>
      <c r="L9" s="472" t="s">
        <v>250</v>
      </c>
      <c r="M9" s="472" t="s">
        <v>251</v>
      </c>
      <c r="N9" s="472" t="s">
        <v>252</v>
      </c>
      <c r="O9" s="472" t="s">
        <v>253</v>
      </c>
      <c r="P9" s="472" t="s">
        <v>254</v>
      </c>
      <c r="Q9" s="447"/>
      <c r="R9" s="447"/>
      <c r="S9" s="447"/>
    </row>
    <row r="10" spans="2:19">
      <c r="B10" s="472" t="s">
        <v>80</v>
      </c>
      <c r="C10" s="471">
        <v>2008</v>
      </c>
      <c r="D10" s="461">
        <v>26.02</v>
      </c>
      <c r="E10" s="461">
        <v>24</v>
      </c>
      <c r="F10" s="461">
        <v>27.45</v>
      </c>
      <c r="G10" s="461">
        <v>24.15</v>
      </c>
      <c r="H10" s="462">
        <v>15.84</v>
      </c>
      <c r="I10" s="462">
        <v>14.86</v>
      </c>
      <c r="J10" s="462">
        <v>18.73</v>
      </c>
      <c r="K10" s="462">
        <v>31.97</v>
      </c>
      <c r="L10" s="462">
        <v>34.44</v>
      </c>
      <c r="M10" s="462">
        <v>38</v>
      </c>
      <c r="N10" s="462">
        <v>40.57</v>
      </c>
      <c r="O10" s="462">
        <v>23.92</v>
      </c>
      <c r="P10" s="463">
        <v>319.95999999999998</v>
      </c>
      <c r="Q10" s="447"/>
      <c r="R10" s="447"/>
      <c r="S10" s="447"/>
    </row>
    <row r="11" spans="2:19">
      <c r="B11" s="472" t="s">
        <v>86</v>
      </c>
      <c r="C11" s="471">
        <v>2025</v>
      </c>
      <c r="D11" s="461">
        <v>103.25</v>
      </c>
      <c r="E11" s="461">
        <v>57.57</v>
      </c>
      <c r="F11" s="461">
        <v>59.99</v>
      </c>
      <c r="G11" s="461">
        <v>44.5</v>
      </c>
      <c r="H11" s="462">
        <v>82.25</v>
      </c>
      <c r="I11" s="462">
        <v>130.41</v>
      </c>
      <c r="J11" s="462">
        <v>130.68</v>
      </c>
      <c r="K11" s="462">
        <v>144.11000000000001</v>
      </c>
      <c r="L11" s="462">
        <v>186.05</v>
      </c>
      <c r="M11" s="462">
        <v>192.95</v>
      </c>
      <c r="N11" s="462">
        <v>172.11</v>
      </c>
      <c r="O11" s="462">
        <v>195.32</v>
      </c>
      <c r="P11" s="463">
        <v>1499.19</v>
      </c>
      <c r="Q11" s="447"/>
      <c r="R11" s="447"/>
      <c r="S11" s="447"/>
    </row>
    <row r="12" spans="2:19">
      <c r="B12" s="472" t="s">
        <v>255</v>
      </c>
      <c r="C12" s="471">
        <v>2025</v>
      </c>
      <c r="D12" s="461">
        <v>76.8</v>
      </c>
      <c r="E12" s="461">
        <v>46.2</v>
      </c>
      <c r="F12" s="461">
        <v>51.99</v>
      </c>
      <c r="G12" s="461">
        <v>39.9</v>
      </c>
      <c r="H12" s="462">
        <v>55.54</v>
      </c>
      <c r="I12" s="462">
        <v>113.3</v>
      </c>
      <c r="J12" s="462">
        <v>104.73</v>
      </c>
      <c r="K12" s="462">
        <v>109.25</v>
      </c>
      <c r="L12" s="462">
        <v>149.71</v>
      </c>
      <c r="M12" s="462">
        <v>152.61000000000001</v>
      </c>
      <c r="N12" s="462">
        <v>142.26</v>
      </c>
      <c r="O12" s="462">
        <v>139.88999999999999</v>
      </c>
      <c r="P12" s="463">
        <v>1182.17</v>
      </c>
      <c r="Q12" s="447"/>
      <c r="R12" s="447"/>
      <c r="S12" s="447"/>
    </row>
    <row r="13" spans="2:19"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73">
        <f>SUM(P10:P12)</f>
        <v>3001.32</v>
      </c>
      <c r="Q13" s="447"/>
      <c r="R13" s="447"/>
      <c r="S13" s="447"/>
    </row>
    <row r="14" spans="2:19">
      <c r="B14" s="447" t="s">
        <v>257</v>
      </c>
      <c r="C14" s="447"/>
      <c r="D14" s="447"/>
      <c r="E14" s="447"/>
      <c r="F14" s="447"/>
      <c r="G14" s="447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</row>
    <row r="15" spans="2:19">
      <c r="B15" s="472" t="s">
        <v>61</v>
      </c>
      <c r="C15" s="472" t="s">
        <v>243</v>
      </c>
      <c r="D15" s="472" t="s">
        <v>244</v>
      </c>
      <c r="E15" s="472" t="s">
        <v>245</v>
      </c>
      <c r="F15" s="472" t="s">
        <v>246</v>
      </c>
      <c r="G15" s="472" t="s">
        <v>247</v>
      </c>
      <c r="H15" s="472" t="s">
        <v>96</v>
      </c>
      <c r="I15" s="472" t="s">
        <v>97</v>
      </c>
      <c r="J15" s="472" t="s">
        <v>248</v>
      </c>
      <c r="K15" s="472" t="s">
        <v>249</v>
      </c>
      <c r="L15" s="472" t="s">
        <v>250</v>
      </c>
      <c r="M15" s="472" t="s">
        <v>251</v>
      </c>
      <c r="N15" s="472" t="s">
        <v>252</v>
      </c>
      <c r="O15" s="472" t="s">
        <v>253</v>
      </c>
      <c r="P15" s="472" t="s">
        <v>254</v>
      </c>
      <c r="Q15" s="447"/>
      <c r="R15" s="447"/>
      <c r="S15" s="447"/>
    </row>
    <row r="16" spans="2:19">
      <c r="B16" s="472" t="s">
        <v>80</v>
      </c>
      <c r="C16" s="471">
        <v>2001</v>
      </c>
      <c r="D16" s="461">
        <v>26.02</v>
      </c>
      <c r="E16" s="461">
        <v>24</v>
      </c>
      <c r="F16" s="461">
        <v>27.45</v>
      </c>
      <c r="G16" s="461">
        <v>24.15</v>
      </c>
      <c r="H16" s="461">
        <v>18.920000000000002</v>
      </c>
      <c r="I16" s="462">
        <v>21.19</v>
      </c>
      <c r="J16" s="462">
        <v>28.65</v>
      </c>
      <c r="K16" s="462">
        <v>61.07</v>
      </c>
      <c r="L16" s="462">
        <v>59.55</v>
      </c>
      <c r="M16" s="462">
        <v>44.64</v>
      </c>
      <c r="N16" s="462">
        <v>35.32</v>
      </c>
      <c r="O16" s="462">
        <v>21.6</v>
      </c>
      <c r="P16" s="463">
        <v>392.57</v>
      </c>
      <c r="Q16" s="447"/>
      <c r="R16" s="447"/>
      <c r="S16" s="447"/>
    </row>
    <row r="17" spans="2:19">
      <c r="B17" s="472" t="s">
        <v>86</v>
      </c>
      <c r="C17" s="471">
        <v>2021</v>
      </c>
      <c r="D17" s="461">
        <v>103.25</v>
      </c>
      <c r="E17" s="461">
        <v>57.57</v>
      </c>
      <c r="F17" s="461">
        <v>59.99</v>
      </c>
      <c r="G17" s="461">
        <v>44.5</v>
      </c>
      <c r="H17" s="461">
        <v>47.32</v>
      </c>
      <c r="I17" s="462">
        <v>49.8</v>
      </c>
      <c r="J17" s="462">
        <v>81.11</v>
      </c>
      <c r="K17" s="462">
        <v>86.79</v>
      </c>
      <c r="L17" s="462">
        <v>166.62</v>
      </c>
      <c r="M17" s="462">
        <v>192.77</v>
      </c>
      <c r="N17" s="462">
        <v>192.9</v>
      </c>
      <c r="O17" s="462">
        <v>181.47</v>
      </c>
      <c r="P17" s="463">
        <v>1264.0899999999999</v>
      </c>
      <c r="Q17" s="447"/>
      <c r="R17" s="447"/>
      <c r="S17" s="447"/>
    </row>
    <row r="18" spans="2:19">
      <c r="B18" s="472" t="s">
        <v>255</v>
      </c>
      <c r="C18" s="471">
        <v>2021</v>
      </c>
      <c r="D18" s="461">
        <v>76.8</v>
      </c>
      <c r="E18" s="461">
        <v>46.2</v>
      </c>
      <c r="F18" s="461">
        <v>51.99</v>
      </c>
      <c r="G18" s="461">
        <v>39.9</v>
      </c>
      <c r="H18" s="461">
        <v>37.840000000000003</v>
      </c>
      <c r="I18" s="462">
        <v>39.46</v>
      </c>
      <c r="J18" s="462">
        <v>62</v>
      </c>
      <c r="K18" s="462">
        <v>69.88</v>
      </c>
      <c r="L18" s="462">
        <v>133.28</v>
      </c>
      <c r="M18" s="462">
        <v>157.51</v>
      </c>
      <c r="N18" s="462">
        <v>157.49</v>
      </c>
      <c r="O18" s="462">
        <v>142.26</v>
      </c>
      <c r="P18" s="463">
        <v>1014.61</v>
      </c>
      <c r="Q18" s="447"/>
      <c r="R18" s="447"/>
      <c r="S18" s="447"/>
    </row>
    <row r="19" spans="2:19"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73">
        <f>SUM(P16:P18)</f>
        <v>2671.27</v>
      </c>
      <c r="Q19" s="447"/>
      <c r="R19" s="447"/>
      <c r="S19" s="447"/>
    </row>
    <row r="20" spans="2:19">
      <c r="B20" s="447" t="s">
        <v>258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73"/>
      <c r="Q20" s="447"/>
      <c r="R20" s="447"/>
      <c r="S20" s="447"/>
    </row>
    <row r="21" spans="2:19">
      <c r="B21" s="472" t="s">
        <v>61</v>
      </c>
      <c r="C21" s="472" t="s">
        <v>243</v>
      </c>
      <c r="D21" s="472" t="s">
        <v>244</v>
      </c>
      <c r="E21" s="472" t="s">
        <v>245</v>
      </c>
      <c r="F21" s="472" t="s">
        <v>246</v>
      </c>
      <c r="G21" s="472" t="s">
        <v>247</v>
      </c>
      <c r="H21" s="472" t="s">
        <v>96</v>
      </c>
      <c r="I21" s="472" t="s">
        <v>97</v>
      </c>
      <c r="J21" s="472" t="s">
        <v>248</v>
      </c>
      <c r="K21" s="472" t="s">
        <v>249</v>
      </c>
      <c r="L21" s="472" t="s">
        <v>250</v>
      </c>
      <c r="M21" s="472" t="s">
        <v>251</v>
      </c>
      <c r="N21" s="472" t="s">
        <v>252</v>
      </c>
      <c r="O21" s="472" t="s">
        <v>253</v>
      </c>
      <c r="P21" s="472" t="s">
        <v>254</v>
      </c>
      <c r="Q21" s="447"/>
      <c r="R21" s="447"/>
      <c r="S21" s="447"/>
    </row>
    <row r="22" spans="2:19">
      <c r="B22" s="472" t="s">
        <v>80</v>
      </c>
      <c r="C22" s="471">
        <v>1994</v>
      </c>
      <c r="D22" s="461">
        <v>26.02</v>
      </c>
      <c r="E22" s="461">
        <v>24</v>
      </c>
      <c r="F22" s="461">
        <v>27.45</v>
      </c>
      <c r="G22" s="461">
        <v>24.15</v>
      </c>
      <c r="H22" s="461">
        <v>18.920000000000002</v>
      </c>
      <c r="I22" s="461">
        <v>18.09</v>
      </c>
      <c r="J22" s="462">
        <v>36.5</v>
      </c>
      <c r="K22" s="462">
        <v>37.4</v>
      </c>
      <c r="L22" s="462">
        <v>58.67</v>
      </c>
      <c r="M22" s="462">
        <v>52.48</v>
      </c>
      <c r="N22" s="462">
        <v>22.39</v>
      </c>
      <c r="O22" s="462">
        <v>15.08</v>
      </c>
      <c r="P22" s="463">
        <v>361.16</v>
      </c>
      <c r="Q22" s="447"/>
      <c r="R22" s="447"/>
      <c r="S22" s="447"/>
    </row>
    <row r="23" spans="2:19">
      <c r="B23" s="472" t="s">
        <v>86</v>
      </c>
      <c r="C23" s="471">
        <v>2018</v>
      </c>
      <c r="D23" s="461">
        <v>103.25</v>
      </c>
      <c r="E23" s="461">
        <v>57.57</v>
      </c>
      <c r="F23" s="461">
        <v>59.99</v>
      </c>
      <c r="G23" s="461">
        <v>44.5</v>
      </c>
      <c r="H23" s="461">
        <v>47.32</v>
      </c>
      <c r="I23" s="461">
        <v>64.16</v>
      </c>
      <c r="J23" s="462">
        <v>118.96</v>
      </c>
      <c r="K23" s="462">
        <v>141.02000000000001</v>
      </c>
      <c r="L23" s="462">
        <v>164.5</v>
      </c>
      <c r="M23" s="462">
        <v>147.83000000000001</v>
      </c>
      <c r="N23" s="462">
        <v>88.37</v>
      </c>
      <c r="O23" s="462">
        <v>114.6</v>
      </c>
      <c r="P23" s="463">
        <v>1152.07</v>
      </c>
      <c r="Q23" s="447"/>
      <c r="R23" s="447"/>
      <c r="S23" s="447"/>
    </row>
    <row r="24" spans="2:19">
      <c r="B24" s="472" t="s">
        <v>255</v>
      </c>
      <c r="C24" s="471">
        <v>2018</v>
      </c>
      <c r="D24" s="461">
        <v>76.8</v>
      </c>
      <c r="E24" s="461">
        <v>46.2</v>
      </c>
      <c r="F24" s="461">
        <v>51.99</v>
      </c>
      <c r="G24" s="461">
        <v>39.9</v>
      </c>
      <c r="H24" s="461">
        <v>37.840000000000003</v>
      </c>
      <c r="I24" s="461">
        <v>50.54</v>
      </c>
      <c r="J24" s="462">
        <v>93.6</v>
      </c>
      <c r="K24" s="462">
        <v>113.87</v>
      </c>
      <c r="L24" s="462">
        <v>131.24</v>
      </c>
      <c r="M24" s="462">
        <v>110.51</v>
      </c>
      <c r="N24" s="462">
        <v>56.48</v>
      </c>
      <c r="O24" s="462">
        <v>83.64</v>
      </c>
      <c r="P24" s="463">
        <v>892.61</v>
      </c>
      <c r="Q24" s="447"/>
      <c r="R24" s="447"/>
      <c r="S24" s="447"/>
    </row>
    <row r="25" spans="2:19">
      <c r="B25" s="447"/>
      <c r="C25" s="447"/>
      <c r="D25" s="447"/>
      <c r="E25" s="447"/>
      <c r="F25" s="447"/>
      <c r="G25" s="447"/>
      <c r="H25" s="447"/>
      <c r="I25" s="447"/>
      <c r="J25" s="483">
        <f>SUM(J22:J24)</f>
        <v>249.05999999999997</v>
      </c>
      <c r="K25" s="483">
        <f>SUM(K22:K24)</f>
        <v>292.29000000000002</v>
      </c>
      <c r="L25" s="483">
        <f t="shared" ref="L25:O25" si="0">SUM(L22:L24)</f>
        <v>354.41</v>
      </c>
      <c r="M25" s="483">
        <f t="shared" si="0"/>
        <v>310.82</v>
      </c>
      <c r="N25" s="483">
        <f t="shared" si="0"/>
        <v>167.24</v>
      </c>
      <c r="O25" s="483">
        <f t="shared" si="0"/>
        <v>213.32</v>
      </c>
      <c r="P25" s="473">
        <f>SUM(P22:P24)</f>
        <v>2405.84</v>
      </c>
      <c r="Q25" s="447"/>
      <c r="R25" s="447"/>
      <c r="S25" s="447"/>
    </row>
    <row r="29" spans="2:19"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</row>
    <row r="30" spans="2:19"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</row>
    <row r="31" spans="2:19">
      <c r="D31" s="456"/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</row>
    <row r="32" spans="2:19">
      <c r="P32" s="469"/>
      <c r="R32" s="47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FA8CE14917604EA97F0B0FDCCFA9EE" ma:contentTypeVersion="9" ma:contentTypeDescription="Create a new document." ma:contentTypeScope="" ma:versionID="68892816ea0a2370cbf8c841e349fb89">
  <xsd:schema xmlns:xsd="http://www.w3.org/2001/XMLSchema" xmlns:xs="http://www.w3.org/2001/XMLSchema" xmlns:p="http://schemas.microsoft.com/office/2006/metadata/properties" xmlns:ns3="716d7379-1a75-45b4-b337-4bbde9978c86" targetNamespace="http://schemas.microsoft.com/office/2006/metadata/properties" ma:root="true" ma:fieldsID="552e7b7aa5de42ae0fee3ca64bf10b64" ns3:_="">
    <xsd:import namespace="716d7379-1a75-45b4-b337-4bbde9978c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d7379-1a75-45b4-b337-4bbde9978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6d7379-1a75-45b4-b337-4bbde9978c86" xsi:nil="true"/>
  </documentManagement>
</p:properties>
</file>

<file path=customXml/itemProps1.xml><?xml version="1.0" encoding="utf-8"?>
<ds:datastoreItem xmlns:ds="http://schemas.openxmlformats.org/officeDocument/2006/customXml" ds:itemID="{B5222A82-24E6-4433-A14F-09745C6A21C7}"/>
</file>

<file path=customXml/itemProps2.xml><?xml version="1.0" encoding="utf-8"?>
<ds:datastoreItem xmlns:ds="http://schemas.openxmlformats.org/officeDocument/2006/customXml" ds:itemID="{DB465FF6-7863-405F-BD07-4FADFE60D6DA}"/>
</file>

<file path=customXml/itemProps3.xml><?xml version="1.0" encoding="utf-8"?>
<ds:datastoreItem xmlns:ds="http://schemas.openxmlformats.org/officeDocument/2006/customXml" ds:itemID="{64E2EA02-103D-4D54-888A-3A2777547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Ky Hai</dc:creator>
  <cp:keywords/>
  <dc:description/>
  <cp:lastModifiedBy/>
  <cp:revision/>
  <dcterms:created xsi:type="dcterms:W3CDTF">2023-05-25T00:53:24Z</dcterms:created>
  <dcterms:modified xsi:type="dcterms:W3CDTF">2026-07-18T16:25:25Z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0x010100BEFA8CE14917604EA97F0B0FDCCFA9EE</vt:lpwstr>
  </property>
</Properties>
</file>