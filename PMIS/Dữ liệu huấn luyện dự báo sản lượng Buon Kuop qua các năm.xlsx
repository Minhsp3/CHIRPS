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evngenco3pm-my.sharepoint.com/personal/haitk_genco3_evn_vn/Documents/KTSX/Thủy điện/Buôn Kuốp/2025/"/>
    </mc:Choice>
  </mc:AlternateContent>
  <xr:revisionPtr revIDLastSave="0" documentId="8_{C3E0E486-F3F4-4140-A9CB-641CBC857143}" xr6:coauthVersionLast="47" xr6:coauthVersionMax="47" xr10:uidLastSave="{00000000-0000-0000-0000-000000000000}"/>
  <bookViews>
    <workbookView xWindow="-120" yWindow="-120" windowWidth="20970" windowHeight="12480" firstSheet="17" activeTab="17" xr2:uid="{D63F8CB8-B65C-4A8D-A7ED-246AB912CBB0}"/>
  </bookViews>
  <sheets>
    <sheet name="2011" sheetId="2" r:id="rId1"/>
    <sheet name="2012" sheetId="3" r:id="rId2"/>
    <sheet name="2013" sheetId="4" r:id="rId3"/>
    <sheet name="2014" sheetId="5" r:id="rId4"/>
    <sheet name="2015" sheetId="6" r:id="rId5"/>
    <sheet name="2016" sheetId="7" r:id="rId6"/>
    <sheet name="2017" sheetId="8" r:id="rId7"/>
    <sheet name="2018" sheetId="9" r:id="rId8"/>
    <sheet name="2019" sheetId="10" r:id="rId9"/>
    <sheet name="2020" sheetId="11" r:id="rId10"/>
    <sheet name="2021" sheetId="12" r:id="rId11"/>
    <sheet name="2022" sheetId="13" r:id="rId12"/>
    <sheet name="2023" sheetId="14" r:id="rId13"/>
    <sheet name="2024" sheetId="15" r:id="rId14"/>
    <sheet name="BTS" sheetId="16" r:id="rId15"/>
    <sheet name="SP3" sheetId="24" r:id="rId16"/>
    <sheet name="BK" sheetId="19" r:id="rId17"/>
    <sheet name="Gộp" sheetId="21" r:id="rId18"/>
    <sheet name="Sheet1" sheetId="22" r:id="rId19"/>
    <sheet name="Sheet2" sheetId="23" r:id="rId20"/>
  </sheets>
  <externalReferences>
    <externalReference r:id="rId21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5" i="21" l="1"/>
  <c r="N65" i="21"/>
  <c r="M65" i="21"/>
  <c r="L65" i="21"/>
  <c r="K65" i="21"/>
  <c r="J65" i="21"/>
  <c r="I65" i="21"/>
  <c r="H65" i="21"/>
  <c r="G65" i="21"/>
  <c r="F65" i="21"/>
  <c r="E65" i="21"/>
  <c r="D65" i="21"/>
  <c r="P64" i="21"/>
  <c r="P63" i="21"/>
  <c r="P62" i="21"/>
  <c r="P65" i="21" s="1"/>
  <c r="O51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O50" i="24" s="1"/>
  <c r="N49" i="24"/>
  <c r="O49" i="24" s="1"/>
  <c r="M49" i="24"/>
  <c r="L49" i="24"/>
  <c r="K49" i="24"/>
  <c r="J49" i="24"/>
  <c r="I49" i="24"/>
  <c r="H49" i="24"/>
  <c r="G49" i="24"/>
  <c r="F49" i="24"/>
  <c r="E49" i="24"/>
  <c r="D49" i="24"/>
  <c r="C49" i="24"/>
  <c r="N48" i="24"/>
  <c r="M48" i="24"/>
  <c r="L48" i="24"/>
  <c r="K48" i="24"/>
  <c r="O48" i="24" s="1"/>
  <c r="J48" i="24"/>
  <c r="I48" i="24"/>
  <c r="H48" i="24"/>
  <c r="G48" i="24"/>
  <c r="F48" i="24"/>
  <c r="E48" i="24"/>
  <c r="D48" i="24"/>
  <c r="C48" i="24"/>
  <c r="N47" i="24"/>
  <c r="M47" i="24"/>
  <c r="L47" i="24"/>
  <c r="K47" i="24"/>
  <c r="J47" i="24"/>
  <c r="I47" i="24"/>
  <c r="H47" i="24"/>
  <c r="O47" i="24" s="1"/>
  <c r="G47" i="24"/>
  <c r="F47" i="24"/>
  <c r="E47" i="24"/>
  <c r="D47" i="24"/>
  <c r="C47" i="24"/>
  <c r="N46" i="24"/>
  <c r="M46" i="24"/>
  <c r="L46" i="24"/>
  <c r="K46" i="24"/>
  <c r="J46" i="24"/>
  <c r="I46" i="24"/>
  <c r="H46" i="24"/>
  <c r="G46" i="24"/>
  <c r="F46" i="24"/>
  <c r="E46" i="24"/>
  <c r="O46" i="24" s="1"/>
  <c r="D46" i="24"/>
  <c r="C46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O45" i="24" s="1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N43" i="24"/>
  <c r="M43" i="24"/>
  <c r="L43" i="24"/>
  <c r="O43" i="24" s="1"/>
  <c r="K43" i="24"/>
  <c r="J43" i="24"/>
  <c r="I43" i="24"/>
  <c r="H43" i="24"/>
  <c r="G43" i="24"/>
  <c r="F43" i="24"/>
  <c r="E43" i="24"/>
  <c r="D43" i="24"/>
  <c r="C43" i="24"/>
  <c r="N42" i="24"/>
  <c r="M42" i="24"/>
  <c r="L42" i="24"/>
  <c r="K42" i="24"/>
  <c r="J42" i="24"/>
  <c r="I42" i="24"/>
  <c r="O42" i="24" s="1"/>
  <c r="H42" i="24"/>
  <c r="G42" i="24"/>
  <c r="F42" i="24"/>
  <c r="E42" i="24"/>
  <c r="D42" i="24"/>
  <c r="C42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O41" i="24" s="1"/>
  <c r="N40" i="24"/>
  <c r="M40" i="24"/>
  <c r="L40" i="24"/>
  <c r="K40" i="24"/>
  <c r="J40" i="24"/>
  <c r="I40" i="24"/>
  <c r="H40" i="24"/>
  <c r="G40" i="24"/>
  <c r="F40" i="24"/>
  <c r="E40" i="24"/>
  <c r="D40" i="24"/>
  <c r="C40" i="24"/>
  <c r="O40" i="24" s="1"/>
  <c r="N39" i="24"/>
  <c r="M39" i="24"/>
  <c r="L39" i="24"/>
  <c r="K39" i="24"/>
  <c r="J39" i="24"/>
  <c r="I39" i="24"/>
  <c r="H39" i="24"/>
  <c r="G39" i="24"/>
  <c r="F39" i="24"/>
  <c r="E39" i="24"/>
  <c r="D39" i="24"/>
  <c r="C39" i="24"/>
  <c r="O39" i="24" s="1"/>
  <c r="N38" i="24"/>
  <c r="M38" i="24"/>
  <c r="O38" i="24" s="1"/>
  <c r="L38" i="24"/>
  <c r="K38" i="24"/>
  <c r="J38" i="24"/>
  <c r="I38" i="24"/>
  <c r="H38" i="24"/>
  <c r="G38" i="24"/>
  <c r="F38" i="24"/>
  <c r="E38" i="24"/>
  <c r="D38" i="24"/>
  <c r="C38" i="24"/>
  <c r="N37" i="24"/>
  <c r="M37" i="24"/>
  <c r="L37" i="24"/>
  <c r="K37" i="24"/>
  <c r="J37" i="24"/>
  <c r="O37" i="24" s="1"/>
  <c r="I37" i="24"/>
  <c r="H37" i="24"/>
  <c r="G37" i="24"/>
  <c r="F37" i="24"/>
  <c r="E37" i="24"/>
  <c r="D37" i="24"/>
  <c r="C37" i="24"/>
  <c r="N36" i="24"/>
  <c r="M36" i="24"/>
  <c r="L36" i="24"/>
  <c r="K36" i="24"/>
  <c r="J36" i="24"/>
  <c r="I36" i="24"/>
  <c r="H36" i="24"/>
  <c r="G36" i="24"/>
  <c r="O36" i="24" s="1"/>
  <c r="F36" i="24"/>
  <c r="E36" i="24"/>
  <c r="D36" i="24"/>
  <c r="C36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O35" i="24" s="1"/>
  <c r="N34" i="24"/>
  <c r="M34" i="24"/>
  <c r="L34" i="24"/>
  <c r="K34" i="24"/>
  <c r="J34" i="24"/>
  <c r="I34" i="24"/>
  <c r="H34" i="24"/>
  <c r="G34" i="24"/>
  <c r="F34" i="24"/>
  <c r="E34" i="24"/>
  <c r="D34" i="24"/>
  <c r="C34" i="24"/>
  <c r="O34" i="24" s="1"/>
  <c r="N33" i="24"/>
  <c r="O33" i="24" s="1"/>
  <c r="M33" i="24"/>
  <c r="L33" i="24"/>
  <c r="K33" i="24"/>
  <c r="J33" i="24"/>
  <c r="I33" i="24"/>
  <c r="H33" i="24"/>
  <c r="G33" i="24"/>
  <c r="F33" i="24"/>
  <c r="E33" i="24"/>
  <c r="D33" i="24"/>
  <c r="C33" i="24"/>
  <c r="N32" i="24"/>
  <c r="M32" i="24"/>
  <c r="L32" i="24"/>
  <c r="K32" i="24"/>
  <c r="O32" i="24" s="1"/>
  <c r="J32" i="24"/>
  <c r="I32" i="24"/>
  <c r="H32" i="24"/>
  <c r="G32" i="24"/>
  <c r="F32" i="24"/>
  <c r="E32" i="24"/>
  <c r="D32" i="24"/>
  <c r="C32" i="24"/>
  <c r="N31" i="24"/>
  <c r="M31" i="24"/>
  <c r="L31" i="24"/>
  <c r="K31" i="24"/>
  <c r="J31" i="24"/>
  <c r="I31" i="24"/>
  <c r="H31" i="24"/>
  <c r="O31" i="24" s="1"/>
  <c r="G31" i="24"/>
  <c r="F31" i="24"/>
  <c r="E31" i="24"/>
  <c r="D31" i="24"/>
  <c r="C31" i="24"/>
  <c r="N30" i="24"/>
  <c r="M30" i="24"/>
  <c r="L30" i="24"/>
  <c r="K30" i="24"/>
  <c r="J30" i="24"/>
  <c r="I30" i="24"/>
  <c r="H30" i="24"/>
  <c r="G30" i="24"/>
  <c r="F30" i="24"/>
  <c r="E30" i="24"/>
  <c r="O30" i="24" s="1"/>
  <c r="D30" i="24"/>
  <c r="C30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O29" i="24" s="1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N27" i="24"/>
  <c r="M27" i="24"/>
  <c r="L27" i="24"/>
  <c r="O27" i="24" s="1"/>
  <c r="K27" i="24"/>
  <c r="J27" i="24"/>
  <c r="I27" i="24"/>
  <c r="H27" i="24"/>
  <c r="G27" i="24"/>
  <c r="F27" i="24"/>
  <c r="E27" i="24"/>
  <c r="D27" i="24"/>
  <c r="C27" i="24"/>
  <c r="N26" i="24"/>
  <c r="M26" i="24"/>
  <c r="L26" i="24"/>
  <c r="K26" i="24"/>
  <c r="J26" i="24"/>
  <c r="I26" i="24"/>
  <c r="O26" i="24" s="1"/>
  <c r="H26" i="24"/>
  <c r="G26" i="24"/>
  <c r="F26" i="24"/>
  <c r="E26" i="24"/>
  <c r="D26" i="24"/>
  <c r="C26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O25" i="24" s="1"/>
  <c r="N24" i="24"/>
  <c r="M24" i="24"/>
  <c r="L24" i="24"/>
  <c r="K24" i="24"/>
  <c r="J24" i="24"/>
  <c r="I24" i="24"/>
  <c r="H24" i="24"/>
  <c r="G24" i="24"/>
  <c r="F24" i="24"/>
  <c r="E24" i="24"/>
  <c r="D24" i="24"/>
  <c r="C24" i="24"/>
  <c r="O24" i="24" s="1"/>
  <c r="N23" i="24"/>
  <c r="M23" i="24"/>
  <c r="L23" i="24"/>
  <c r="K23" i="24"/>
  <c r="J23" i="24"/>
  <c r="I23" i="24"/>
  <c r="H23" i="24"/>
  <c r="G23" i="24"/>
  <c r="F23" i="24"/>
  <c r="E23" i="24"/>
  <c r="D23" i="24"/>
  <c r="C23" i="24"/>
  <c r="O23" i="24" s="1"/>
  <c r="N22" i="24"/>
  <c r="M22" i="24"/>
  <c r="O22" i="24" s="1"/>
  <c r="L22" i="24"/>
  <c r="K22" i="24"/>
  <c r="J22" i="24"/>
  <c r="I22" i="24"/>
  <c r="H22" i="24"/>
  <c r="G22" i="24"/>
  <c r="F22" i="24"/>
  <c r="E22" i="24"/>
  <c r="D22" i="24"/>
  <c r="C22" i="24"/>
  <c r="N21" i="24"/>
  <c r="M21" i="24"/>
  <c r="L21" i="24"/>
  <c r="K21" i="24"/>
  <c r="J21" i="24"/>
  <c r="O21" i="24" s="1"/>
  <c r="I21" i="24"/>
  <c r="H21" i="24"/>
  <c r="G21" i="24"/>
  <c r="F21" i="24"/>
  <c r="E21" i="24"/>
  <c r="D21" i="24"/>
  <c r="C21" i="24"/>
  <c r="N20" i="24"/>
  <c r="M20" i="24"/>
  <c r="L20" i="24"/>
  <c r="K20" i="24"/>
  <c r="J20" i="24"/>
  <c r="I20" i="24"/>
  <c r="H20" i="24"/>
  <c r="G20" i="24"/>
  <c r="O20" i="24" s="1"/>
  <c r="F20" i="24"/>
  <c r="E20" i="24"/>
  <c r="D20" i="24"/>
  <c r="C20" i="24"/>
  <c r="N19" i="24"/>
  <c r="M19" i="24"/>
  <c r="L19" i="24"/>
  <c r="K19" i="24"/>
  <c r="J19" i="24"/>
  <c r="I19" i="24"/>
  <c r="H19" i="24"/>
  <c r="G19" i="24"/>
  <c r="F19" i="24"/>
  <c r="E19" i="24"/>
  <c r="D19" i="24"/>
  <c r="O19" i="24" s="1"/>
  <c r="C19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O18" i="24" s="1"/>
  <c r="N17" i="24"/>
  <c r="O17" i="24" s="1"/>
  <c r="M17" i="24"/>
  <c r="L17" i="24"/>
  <c r="K17" i="24"/>
  <c r="J17" i="24"/>
  <c r="I17" i="24"/>
  <c r="H17" i="24"/>
  <c r="G17" i="24"/>
  <c r="F17" i="24"/>
  <c r="E17" i="24"/>
  <c r="D17" i="24"/>
  <c r="C17" i="24"/>
  <c r="N16" i="24"/>
  <c r="M16" i="24"/>
  <c r="L16" i="24"/>
  <c r="K16" i="24"/>
  <c r="O16" i="24" s="1"/>
  <c r="J16" i="24"/>
  <c r="I16" i="24"/>
  <c r="H16" i="24"/>
  <c r="G16" i="24"/>
  <c r="F16" i="24"/>
  <c r="E16" i="24"/>
  <c r="D16" i="24"/>
  <c r="C16" i="24"/>
  <c r="N15" i="24"/>
  <c r="M15" i="24"/>
  <c r="L15" i="24"/>
  <c r="K15" i="24"/>
  <c r="J15" i="24"/>
  <c r="I15" i="24"/>
  <c r="H15" i="24"/>
  <c r="O15" i="24" s="1"/>
  <c r="G15" i="24"/>
  <c r="F15" i="24"/>
  <c r="E15" i="24"/>
  <c r="D15" i="24"/>
  <c r="C15" i="24"/>
  <c r="N14" i="24"/>
  <c r="M14" i="24"/>
  <c r="L14" i="24"/>
  <c r="K14" i="24"/>
  <c r="J14" i="24"/>
  <c r="I14" i="24"/>
  <c r="H14" i="24"/>
  <c r="G14" i="24"/>
  <c r="F14" i="24"/>
  <c r="E14" i="24"/>
  <c r="O14" i="24" s="1"/>
  <c r="D14" i="24"/>
  <c r="C14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O13" i="24" s="1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N11" i="24"/>
  <c r="M11" i="24"/>
  <c r="L11" i="24"/>
  <c r="O11" i="24" s="1"/>
  <c r="K11" i="24"/>
  <c r="J11" i="24"/>
  <c r="I11" i="24"/>
  <c r="H11" i="24"/>
  <c r="G11" i="24"/>
  <c r="F11" i="24"/>
  <c r="E11" i="24"/>
  <c r="D11" i="24"/>
  <c r="C11" i="24"/>
  <c r="N10" i="24"/>
  <c r="M10" i="24"/>
  <c r="L10" i="24"/>
  <c r="K10" i="24"/>
  <c r="J10" i="24"/>
  <c r="I10" i="24"/>
  <c r="O10" i="24" s="1"/>
  <c r="H10" i="24"/>
  <c r="G10" i="24"/>
  <c r="F10" i="24"/>
  <c r="E10" i="24"/>
  <c r="D10" i="24"/>
  <c r="C10" i="24"/>
  <c r="N9" i="24"/>
  <c r="M9" i="24"/>
  <c r="L9" i="24"/>
  <c r="K9" i="24"/>
  <c r="J9" i="24"/>
  <c r="I9" i="24"/>
  <c r="H9" i="24"/>
  <c r="G9" i="24"/>
  <c r="F9" i="24"/>
  <c r="E9" i="24"/>
  <c r="D9" i="24"/>
  <c r="C9" i="24"/>
  <c r="O9" i="24" s="1"/>
  <c r="N8" i="24"/>
  <c r="M8" i="24"/>
  <c r="L8" i="24"/>
  <c r="K8" i="24"/>
  <c r="J8" i="24"/>
  <c r="I8" i="24"/>
  <c r="H8" i="24"/>
  <c r="G8" i="24"/>
  <c r="F8" i="24"/>
  <c r="E8" i="24"/>
  <c r="D8" i="24"/>
  <c r="C8" i="24"/>
  <c r="O8" i="24" s="1"/>
  <c r="N7" i="24"/>
  <c r="M7" i="24"/>
  <c r="L7" i="24"/>
  <c r="K7" i="24"/>
  <c r="J7" i="24"/>
  <c r="I7" i="24"/>
  <c r="H7" i="24"/>
  <c r="G7" i="24"/>
  <c r="F7" i="24"/>
  <c r="E7" i="24"/>
  <c r="D7" i="24"/>
  <c r="C7" i="24"/>
  <c r="O7" i="24" s="1"/>
  <c r="N6" i="24"/>
  <c r="M6" i="24"/>
  <c r="O6" i="24" s="1"/>
  <c r="L6" i="24"/>
  <c r="K6" i="24"/>
  <c r="J6" i="24"/>
  <c r="I6" i="24"/>
  <c r="H6" i="24"/>
  <c r="G6" i="24"/>
  <c r="F6" i="24"/>
  <c r="E6" i="24"/>
  <c r="D6" i="24"/>
  <c r="C6" i="24"/>
  <c r="N5" i="24"/>
  <c r="M5" i="24"/>
  <c r="L5" i="24"/>
  <c r="K5" i="24"/>
  <c r="J5" i="24"/>
  <c r="O5" i="24" s="1"/>
  <c r="I5" i="24"/>
  <c r="H5" i="24"/>
  <c r="G5" i="24"/>
  <c r="F5" i="24"/>
  <c r="E5" i="24"/>
  <c r="D5" i="24"/>
  <c r="C5" i="24"/>
  <c r="N4" i="24"/>
  <c r="M4" i="24"/>
  <c r="L4" i="24"/>
  <c r="K4" i="24"/>
  <c r="J4" i="24"/>
  <c r="I4" i="24"/>
  <c r="H4" i="24"/>
  <c r="G4" i="24"/>
  <c r="O4" i="24" s="1"/>
  <c r="F4" i="24"/>
  <c r="E4" i="24"/>
  <c r="D4" i="24"/>
  <c r="C4" i="24"/>
  <c r="N3" i="24"/>
  <c r="M3" i="24"/>
  <c r="L3" i="24"/>
  <c r="K3" i="24"/>
  <c r="J3" i="24"/>
  <c r="I3" i="24"/>
  <c r="H3" i="24"/>
  <c r="G3" i="24"/>
  <c r="F3" i="24"/>
  <c r="E3" i="24"/>
  <c r="D3" i="24"/>
  <c r="O3" i="24" s="1"/>
  <c r="C3" i="24"/>
  <c r="AD4" i="16" l="1"/>
  <c r="AD5" i="16"/>
  <c r="AD6" i="16"/>
  <c r="AD7" i="16"/>
  <c r="AD8" i="16"/>
  <c r="AD9" i="16"/>
  <c r="AD10" i="16"/>
  <c r="AD11" i="16"/>
  <c r="AD12" i="16"/>
  <c r="AD13" i="16"/>
  <c r="AD14" i="16"/>
  <c r="AD15" i="16"/>
  <c r="AD16" i="16"/>
  <c r="AD17" i="16"/>
  <c r="AD18" i="16"/>
  <c r="AD19" i="16"/>
  <c r="AD20" i="16"/>
  <c r="AD21" i="16"/>
  <c r="AD22" i="16"/>
  <c r="AD23" i="16"/>
  <c r="AD24" i="16"/>
  <c r="AD25" i="16"/>
  <c r="AD26" i="16"/>
  <c r="AD27" i="16"/>
  <c r="AD28" i="16"/>
  <c r="AD29" i="16"/>
  <c r="AD30" i="16"/>
  <c r="AD31" i="16"/>
  <c r="AD32" i="16"/>
  <c r="AD33" i="16"/>
  <c r="AD34" i="16"/>
  <c r="AD35" i="16"/>
  <c r="AD36" i="16"/>
  <c r="AD37" i="16"/>
  <c r="AD38" i="16"/>
  <c r="AD39" i="16"/>
  <c r="AD40" i="16"/>
  <c r="AD41" i="16"/>
  <c r="AD42" i="16"/>
  <c r="AD43" i="16"/>
  <c r="AD44" i="16"/>
  <c r="AD45" i="16"/>
  <c r="AD46" i="16"/>
  <c r="AD47" i="16"/>
  <c r="AD48" i="16"/>
  <c r="AD49" i="16"/>
  <c r="AD50" i="16"/>
  <c r="AD51" i="16"/>
  <c r="AD3" i="16"/>
  <c r="AC4" i="16"/>
  <c r="AC5" i="16"/>
  <c r="AC6" i="16"/>
  <c r="AC7" i="16"/>
  <c r="AC8" i="16"/>
  <c r="AC9" i="16"/>
  <c r="AC10" i="16"/>
  <c r="AC11" i="16"/>
  <c r="AC12" i="16"/>
  <c r="AC13" i="16"/>
  <c r="AC14" i="16"/>
  <c r="AC15" i="16"/>
  <c r="AC16" i="16"/>
  <c r="AC17" i="16"/>
  <c r="AC18" i="16"/>
  <c r="AC19" i="16"/>
  <c r="AC20" i="16"/>
  <c r="AC21" i="16"/>
  <c r="AC22" i="16"/>
  <c r="AC23" i="16"/>
  <c r="AC24" i="16"/>
  <c r="AC25" i="16"/>
  <c r="AC26" i="16"/>
  <c r="AC27" i="16"/>
  <c r="AC28" i="16"/>
  <c r="AC29" i="16"/>
  <c r="AC30" i="16"/>
  <c r="AC31" i="16"/>
  <c r="AC32" i="16"/>
  <c r="AC33" i="16"/>
  <c r="AC34" i="16"/>
  <c r="AC35" i="16"/>
  <c r="AC36" i="16"/>
  <c r="AC37" i="16"/>
  <c r="AC38" i="16"/>
  <c r="AC39" i="16"/>
  <c r="AC40" i="16"/>
  <c r="AC41" i="16"/>
  <c r="AC42" i="16"/>
  <c r="AC43" i="16"/>
  <c r="AC44" i="16"/>
  <c r="AC45" i="16"/>
  <c r="AC46" i="16"/>
  <c r="AC47" i="16"/>
  <c r="AC48" i="16"/>
  <c r="AC49" i="16"/>
  <c r="AC50" i="16"/>
  <c r="AC51" i="16"/>
  <c r="AC3" i="16"/>
  <c r="P91" i="21" l="1"/>
  <c r="P90" i="21"/>
  <c r="O92" i="21"/>
  <c r="N92" i="21"/>
  <c r="M92" i="21"/>
  <c r="L92" i="21"/>
  <c r="K92" i="21"/>
  <c r="J92" i="21"/>
  <c r="I92" i="21"/>
  <c r="H92" i="21"/>
  <c r="G92" i="21"/>
  <c r="O60" i="19"/>
  <c r="D60" i="19"/>
  <c r="E60" i="19"/>
  <c r="F60" i="19"/>
  <c r="G60" i="19"/>
  <c r="H60" i="19"/>
  <c r="I60" i="19"/>
  <c r="J60" i="19"/>
  <c r="K60" i="19"/>
  <c r="L60" i="19"/>
  <c r="M60" i="19"/>
  <c r="N60" i="19"/>
  <c r="C60" i="19"/>
  <c r="O59" i="16"/>
  <c r="O59" i="19"/>
  <c r="O58" i="19"/>
  <c r="D58" i="19"/>
  <c r="E58" i="19"/>
  <c r="F58" i="19"/>
  <c r="G58" i="19"/>
  <c r="H58" i="19"/>
  <c r="I58" i="19"/>
  <c r="J58" i="19"/>
  <c r="K58" i="19"/>
  <c r="L58" i="19"/>
  <c r="M58" i="19"/>
  <c r="N58" i="19"/>
  <c r="C58" i="19"/>
  <c r="P85" i="21"/>
  <c r="P86" i="21"/>
  <c r="P84" i="21"/>
  <c r="D87" i="21"/>
  <c r="N87" i="21"/>
  <c r="O87" i="21"/>
  <c r="M87" i="21"/>
  <c r="L87" i="21"/>
  <c r="K87" i="21"/>
  <c r="J87" i="21"/>
  <c r="I87" i="21"/>
  <c r="H87" i="21"/>
  <c r="G87" i="21"/>
  <c r="F87" i="21"/>
  <c r="E87" i="21"/>
  <c r="O51" i="16"/>
  <c r="O51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N9" i="19"/>
  <c r="M9" i="19"/>
  <c r="L9" i="19"/>
  <c r="K9" i="19"/>
  <c r="J9" i="19"/>
  <c r="I9" i="19"/>
  <c r="H9" i="19"/>
  <c r="G9" i="19"/>
  <c r="F9" i="19"/>
  <c r="E9" i="19"/>
  <c r="D9" i="19"/>
  <c r="C9" i="19"/>
  <c r="N8" i="19"/>
  <c r="M8" i="19"/>
  <c r="L8" i="19"/>
  <c r="K8" i="19"/>
  <c r="J8" i="19"/>
  <c r="I8" i="19"/>
  <c r="H8" i="19"/>
  <c r="G8" i="19"/>
  <c r="F8" i="19"/>
  <c r="E8" i="19"/>
  <c r="D8" i="19"/>
  <c r="C8" i="19"/>
  <c r="N7" i="19"/>
  <c r="M7" i="19"/>
  <c r="L7" i="19"/>
  <c r="K7" i="19"/>
  <c r="J7" i="19"/>
  <c r="I7" i="19"/>
  <c r="H7" i="19"/>
  <c r="G7" i="19"/>
  <c r="F7" i="19"/>
  <c r="E7" i="19"/>
  <c r="D7" i="19"/>
  <c r="C7" i="19"/>
  <c r="N6" i="19"/>
  <c r="M6" i="19"/>
  <c r="L6" i="19"/>
  <c r="K6" i="19"/>
  <c r="J6" i="19"/>
  <c r="I6" i="19"/>
  <c r="H6" i="19"/>
  <c r="G6" i="19"/>
  <c r="F6" i="19"/>
  <c r="E6" i="19"/>
  <c r="D6" i="19"/>
  <c r="C6" i="19"/>
  <c r="N5" i="19"/>
  <c r="M5" i="19"/>
  <c r="L5" i="19"/>
  <c r="K5" i="19"/>
  <c r="J5" i="19"/>
  <c r="I5" i="19"/>
  <c r="H5" i="19"/>
  <c r="G5" i="19"/>
  <c r="F5" i="19"/>
  <c r="E5" i="19"/>
  <c r="D5" i="19"/>
  <c r="C5" i="19"/>
  <c r="N4" i="19"/>
  <c r="M4" i="19"/>
  <c r="L4" i="19"/>
  <c r="K4" i="19"/>
  <c r="J4" i="19"/>
  <c r="I4" i="19"/>
  <c r="H4" i="19"/>
  <c r="G4" i="19"/>
  <c r="F4" i="19"/>
  <c r="E4" i="19"/>
  <c r="D4" i="19"/>
  <c r="C4" i="19"/>
  <c r="N3" i="19"/>
  <c r="M3" i="19"/>
  <c r="L3" i="19"/>
  <c r="K3" i="19"/>
  <c r="J3" i="19"/>
  <c r="I3" i="19"/>
  <c r="H3" i="19"/>
  <c r="G3" i="19"/>
  <c r="F3" i="19"/>
  <c r="E3" i="19"/>
  <c r="D3" i="19"/>
  <c r="C3" i="19"/>
  <c r="C4" i="16"/>
  <c r="D4" i="16"/>
  <c r="E4" i="16"/>
  <c r="F4" i="16"/>
  <c r="G4" i="16"/>
  <c r="H4" i="16"/>
  <c r="I4" i="16"/>
  <c r="J4" i="16"/>
  <c r="K4" i="16"/>
  <c r="L4" i="16"/>
  <c r="M4" i="16"/>
  <c r="N4" i="16"/>
  <c r="C5" i="16"/>
  <c r="D5" i="16"/>
  <c r="E5" i="16"/>
  <c r="F5" i="16"/>
  <c r="G5" i="16"/>
  <c r="H5" i="16"/>
  <c r="I5" i="16"/>
  <c r="J5" i="16"/>
  <c r="K5" i="16"/>
  <c r="L5" i="16"/>
  <c r="M5" i="16"/>
  <c r="N5" i="16"/>
  <c r="C6" i="16"/>
  <c r="D6" i="16"/>
  <c r="E6" i="16"/>
  <c r="F6" i="16"/>
  <c r="G6" i="16"/>
  <c r="H6" i="16"/>
  <c r="I6" i="16"/>
  <c r="J6" i="16"/>
  <c r="K6" i="16"/>
  <c r="L6" i="16"/>
  <c r="M6" i="16"/>
  <c r="N6" i="16"/>
  <c r="C7" i="16"/>
  <c r="D7" i="16"/>
  <c r="E7" i="16"/>
  <c r="F7" i="16"/>
  <c r="G7" i="16"/>
  <c r="H7" i="16"/>
  <c r="I7" i="16"/>
  <c r="J7" i="16"/>
  <c r="K7" i="16"/>
  <c r="L7" i="16"/>
  <c r="M7" i="16"/>
  <c r="N7" i="16"/>
  <c r="C8" i="16"/>
  <c r="D8" i="16"/>
  <c r="E8" i="16"/>
  <c r="F8" i="16"/>
  <c r="G8" i="16"/>
  <c r="H8" i="16"/>
  <c r="I8" i="16"/>
  <c r="J8" i="16"/>
  <c r="K8" i="16"/>
  <c r="L8" i="16"/>
  <c r="M8" i="16"/>
  <c r="N8" i="16"/>
  <c r="C9" i="16"/>
  <c r="D9" i="16"/>
  <c r="E9" i="16"/>
  <c r="F9" i="16"/>
  <c r="G9" i="16"/>
  <c r="H9" i="16"/>
  <c r="I9" i="16"/>
  <c r="J9" i="16"/>
  <c r="K9" i="16"/>
  <c r="L9" i="16"/>
  <c r="M9" i="16"/>
  <c r="N9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C31" i="16"/>
  <c r="D31" i="16"/>
  <c r="E31" i="16"/>
  <c r="F31" i="16"/>
  <c r="G31" i="16"/>
  <c r="H31" i="16"/>
  <c r="I31" i="16"/>
  <c r="J31" i="16"/>
  <c r="K31" i="16"/>
  <c r="L31" i="16"/>
  <c r="M31" i="16"/>
  <c r="N31" i="16"/>
  <c r="C32" i="16"/>
  <c r="D32" i="16"/>
  <c r="E32" i="16"/>
  <c r="F32" i="16"/>
  <c r="G32" i="16"/>
  <c r="H32" i="16"/>
  <c r="I32" i="16"/>
  <c r="J32" i="16"/>
  <c r="K32" i="16"/>
  <c r="L32" i="16"/>
  <c r="M32" i="16"/>
  <c r="N32" i="16"/>
  <c r="C33" i="16"/>
  <c r="D33" i="16"/>
  <c r="E33" i="16"/>
  <c r="F33" i="16"/>
  <c r="G33" i="16"/>
  <c r="H33" i="16"/>
  <c r="I33" i="16"/>
  <c r="J33" i="16"/>
  <c r="K33" i="16"/>
  <c r="L33" i="16"/>
  <c r="M33" i="16"/>
  <c r="N33" i="16"/>
  <c r="C34" i="16"/>
  <c r="D34" i="16"/>
  <c r="E34" i="16"/>
  <c r="F34" i="16"/>
  <c r="G34" i="16"/>
  <c r="H34" i="16"/>
  <c r="I34" i="16"/>
  <c r="J34" i="16"/>
  <c r="K34" i="16"/>
  <c r="L34" i="16"/>
  <c r="M34" i="16"/>
  <c r="N34" i="16"/>
  <c r="C35" i="16"/>
  <c r="D35" i="16"/>
  <c r="E35" i="16"/>
  <c r="F35" i="16"/>
  <c r="G35" i="16"/>
  <c r="H35" i="16"/>
  <c r="I35" i="16"/>
  <c r="J35" i="16"/>
  <c r="K35" i="16"/>
  <c r="L35" i="16"/>
  <c r="M35" i="16"/>
  <c r="N35" i="16"/>
  <c r="C36" i="16"/>
  <c r="D36" i="16"/>
  <c r="E36" i="16"/>
  <c r="F36" i="16"/>
  <c r="G36" i="16"/>
  <c r="H36" i="16"/>
  <c r="I36" i="16"/>
  <c r="J36" i="16"/>
  <c r="K36" i="16"/>
  <c r="L36" i="16"/>
  <c r="M36" i="16"/>
  <c r="N36" i="16"/>
  <c r="J3" i="16"/>
  <c r="I3" i="16"/>
  <c r="H3" i="16"/>
  <c r="G3" i="16"/>
  <c r="F3" i="16"/>
  <c r="E3" i="16"/>
  <c r="D3" i="16"/>
  <c r="C3" i="16"/>
  <c r="N3" i="16"/>
  <c r="M3" i="16"/>
  <c r="L3" i="16"/>
  <c r="K3" i="16"/>
  <c r="P92" i="21" l="1"/>
  <c r="P89" i="21"/>
  <c r="O11" i="16"/>
  <c r="O10" i="16"/>
  <c r="O26" i="16"/>
  <c r="O24" i="16"/>
  <c r="O25" i="16"/>
  <c r="O27" i="16"/>
  <c r="O22" i="16"/>
  <c r="O29" i="16"/>
  <c r="O34" i="16"/>
  <c r="O12" i="16"/>
  <c r="O13" i="16"/>
  <c r="O21" i="16"/>
  <c r="O28" i="16"/>
  <c r="O35" i="16"/>
  <c r="O36" i="16"/>
  <c r="O14" i="16"/>
  <c r="O19" i="16"/>
  <c r="O3" i="16"/>
  <c r="O9" i="16"/>
  <c r="O17" i="16"/>
  <c r="O30" i="16"/>
  <c r="O32" i="16"/>
  <c r="O33" i="16"/>
  <c r="O4" i="16"/>
  <c r="O5" i="16"/>
  <c r="O15" i="16"/>
  <c r="O16" i="16"/>
  <c r="O20" i="16"/>
  <c r="O23" i="16"/>
  <c r="O31" i="16"/>
  <c r="O6" i="16"/>
  <c r="O7" i="16"/>
  <c r="O8" i="16"/>
  <c r="O18" i="16"/>
  <c r="O32" i="19"/>
  <c r="O36" i="19"/>
  <c r="P87" i="21"/>
  <c r="O9" i="19"/>
  <c r="O20" i="19"/>
  <c r="O3" i="19"/>
  <c r="O4" i="19"/>
  <c r="O16" i="19"/>
  <c r="O25" i="19"/>
  <c r="O19" i="19"/>
  <c r="O34" i="19"/>
  <c r="O14" i="19"/>
  <c r="O12" i="19"/>
  <c r="O15" i="19"/>
  <c r="O28" i="19"/>
  <c r="O31" i="19"/>
  <c r="O27" i="19"/>
  <c r="O18" i="19"/>
  <c r="O35" i="19"/>
  <c r="O33" i="19"/>
  <c r="O11" i="19"/>
  <c r="O13" i="19"/>
  <c r="O30" i="19"/>
  <c r="O29" i="19"/>
  <c r="O6" i="19"/>
  <c r="O8" i="19"/>
  <c r="O22" i="19"/>
  <c r="O23" i="19"/>
  <c r="O24" i="19"/>
  <c r="O26" i="19"/>
  <c r="O17" i="19"/>
  <c r="O7" i="19"/>
  <c r="O10" i="19"/>
  <c r="O5" i="19"/>
  <c r="O21" i="19"/>
  <c r="D6" i="23" l="1"/>
  <c r="E6" i="23"/>
  <c r="F6" i="23"/>
  <c r="G6" i="23"/>
  <c r="H6" i="23"/>
  <c r="I6" i="23"/>
  <c r="J6" i="23"/>
  <c r="K6" i="23"/>
  <c r="L6" i="23"/>
  <c r="M6" i="23"/>
  <c r="N6" i="23"/>
  <c r="C6" i="23"/>
  <c r="O4" i="23"/>
  <c r="O5" i="23"/>
  <c r="O3" i="23"/>
  <c r="O6" i="23" s="1"/>
  <c r="L18" i="22" l="1"/>
  <c r="L17" i="22"/>
  <c r="L16" i="22"/>
  <c r="O18" i="22"/>
  <c r="O17" i="22"/>
  <c r="O16" i="22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2" i="22"/>
  <c r="G4" i="22"/>
  <c r="H4" i="22"/>
  <c r="I4" i="22"/>
  <c r="J4" i="22"/>
  <c r="K4" i="22"/>
  <c r="L4" i="22"/>
  <c r="M4" i="22"/>
  <c r="N4" i="22"/>
  <c r="G5" i="22"/>
  <c r="H5" i="22"/>
  <c r="I5" i="22"/>
  <c r="J5" i="22"/>
  <c r="K5" i="22"/>
  <c r="L5" i="22"/>
  <c r="M5" i="22"/>
  <c r="N5" i="22"/>
  <c r="G6" i="22"/>
  <c r="H6" i="22"/>
  <c r="I6" i="22"/>
  <c r="J6" i="22"/>
  <c r="K6" i="22"/>
  <c r="L6" i="22"/>
  <c r="M6" i="22"/>
  <c r="N6" i="22"/>
  <c r="G7" i="22"/>
  <c r="H7" i="22"/>
  <c r="I7" i="22"/>
  <c r="J7" i="22"/>
  <c r="K7" i="22"/>
  <c r="L7" i="22"/>
  <c r="M7" i="22"/>
  <c r="N7" i="22"/>
  <c r="G8" i="22"/>
  <c r="H8" i="22"/>
  <c r="I8" i="22"/>
  <c r="J8" i="22"/>
  <c r="K8" i="22"/>
  <c r="L8" i="22"/>
  <c r="M8" i="22"/>
  <c r="N8" i="22"/>
  <c r="G9" i="22"/>
  <c r="H9" i="22"/>
  <c r="I9" i="22"/>
  <c r="J9" i="22"/>
  <c r="K9" i="22"/>
  <c r="L9" i="22"/>
  <c r="M9" i="22"/>
  <c r="N9" i="22"/>
  <c r="G10" i="22"/>
  <c r="H10" i="22"/>
  <c r="I10" i="22"/>
  <c r="J10" i="22"/>
  <c r="K10" i="22"/>
  <c r="L10" i="22"/>
  <c r="M10" i="22"/>
  <c r="N10" i="22"/>
  <c r="G11" i="22"/>
  <c r="H11" i="22"/>
  <c r="I11" i="22"/>
  <c r="J11" i="22"/>
  <c r="K11" i="22"/>
  <c r="L11" i="22"/>
  <c r="M11" i="22"/>
  <c r="N11" i="22"/>
  <c r="G12" i="22"/>
  <c r="H12" i="22"/>
  <c r="I12" i="22"/>
  <c r="J12" i="22"/>
  <c r="K12" i="22"/>
  <c r="L12" i="22"/>
  <c r="M12" i="22"/>
  <c r="N12" i="22"/>
  <c r="G13" i="22"/>
  <c r="H13" i="22"/>
  <c r="I13" i="22"/>
  <c r="J13" i="22"/>
  <c r="K13" i="22"/>
  <c r="L13" i="22"/>
  <c r="M13" i="22"/>
  <c r="N13" i="22"/>
  <c r="G14" i="22"/>
  <c r="H14" i="22"/>
  <c r="I14" i="22"/>
  <c r="J14" i="22"/>
  <c r="K14" i="22"/>
  <c r="L14" i="22"/>
  <c r="M14" i="22"/>
  <c r="N14" i="22"/>
  <c r="G15" i="22"/>
  <c r="H15" i="22"/>
  <c r="I15" i="22"/>
  <c r="J15" i="22"/>
  <c r="K15" i="22"/>
  <c r="L15" i="22"/>
  <c r="M15" i="22"/>
  <c r="N15" i="22"/>
  <c r="G3" i="22"/>
  <c r="H3" i="22"/>
  <c r="I3" i="22"/>
  <c r="J3" i="22"/>
  <c r="K3" i="22"/>
  <c r="L3" i="22"/>
  <c r="M3" i="22"/>
  <c r="N3" i="22"/>
  <c r="G2" i="22"/>
  <c r="H2" i="22"/>
  <c r="I2" i="22"/>
  <c r="J2" i="22"/>
  <c r="K2" i="22"/>
  <c r="L2" i="22"/>
  <c r="M2" i="22"/>
  <c r="N2" i="22"/>
  <c r="D14" i="22" l="1"/>
  <c r="E14" i="22"/>
  <c r="F14" i="22"/>
  <c r="D15" i="22"/>
  <c r="E15" i="22"/>
  <c r="F15" i="22"/>
  <c r="C15" i="22"/>
  <c r="C14" i="22"/>
  <c r="D13" i="22"/>
  <c r="E13" i="22"/>
  <c r="F13" i="22"/>
  <c r="C13" i="22"/>
  <c r="D12" i="22"/>
  <c r="E12" i="22"/>
  <c r="F12" i="22"/>
  <c r="C12" i="22"/>
  <c r="D11" i="22"/>
  <c r="E11" i="22"/>
  <c r="F11" i="22"/>
  <c r="C11" i="22"/>
  <c r="D10" i="22"/>
  <c r="E10" i="22"/>
  <c r="F10" i="22"/>
  <c r="C10" i="22"/>
  <c r="D9" i="22"/>
  <c r="E9" i="22"/>
  <c r="F9" i="22"/>
  <c r="C9" i="22"/>
  <c r="D8" i="22"/>
  <c r="E8" i="22"/>
  <c r="F8" i="22"/>
  <c r="C8" i="22"/>
  <c r="D7" i="22"/>
  <c r="E7" i="22"/>
  <c r="F7" i="22"/>
  <c r="C7" i="22"/>
  <c r="D6" i="22"/>
  <c r="E6" i="22"/>
  <c r="F6" i="22"/>
  <c r="C6" i="22"/>
  <c r="D5" i="22"/>
  <c r="E5" i="22"/>
  <c r="F5" i="22"/>
  <c r="C5" i="22"/>
  <c r="D4" i="22"/>
  <c r="E4" i="22"/>
  <c r="F4" i="22"/>
  <c r="C4" i="22"/>
  <c r="D3" i="22"/>
  <c r="E3" i="22"/>
  <c r="F3" i="22"/>
  <c r="C3" i="22"/>
  <c r="D2" i="22"/>
  <c r="E2" i="22"/>
  <c r="F2" i="22"/>
  <c r="C2" i="22"/>
  <c r="O6" i="15"/>
  <c r="O6" i="14"/>
  <c r="O6" i="13"/>
  <c r="O6" i="12"/>
  <c r="O6" i="11"/>
  <c r="O6" i="10"/>
  <c r="O6" i="9"/>
  <c r="O6" i="8"/>
  <c r="O6" i="7"/>
  <c r="O6" i="6"/>
  <c r="O6" i="5"/>
  <c r="O6" i="4"/>
  <c r="O6" i="3"/>
  <c r="O6" i="2"/>
  <c r="I106" i="21" l="1"/>
  <c r="P78" i="21" l="1"/>
  <c r="E72" i="21"/>
  <c r="F72" i="21"/>
  <c r="G72" i="21"/>
  <c r="H72" i="21"/>
  <c r="I72" i="21"/>
  <c r="J72" i="21"/>
  <c r="K72" i="21"/>
  <c r="L72" i="21"/>
  <c r="M72" i="21"/>
  <c r="N72" i="21"/>
  <c r="O72" i="21"/>
  <c r="E73" i="21"/>
  <c r="F73" i="21"/>
  <c r="G73" i="21"/>
  <c r="H73" i="21"/>
  <c r="I73" i="21"/>
  <c r="J73" i="21"/>
  <c r="K73" i="21"/>
  <c r="L73" i="21"/>
  <c r="M73" i="21"/>
  <c r="N73" i="21"/>
  <c r="O73" i="21"/>
  <c r="E74" i="21"/>
  <c r="F74" i="21"/>
  <c r="G74" i="21"/>
  <c r="H74" i="21"/>
  <c r="I74" i="21"/>
  <c r="J74" i="21"/>
  <c r="K74" i="21"/>
  <c r="L74" i="21"/>
  <c r="M74" i="21"/>
  <c r="N74" i="21"/>
  <c r="O74" i="21"/>
  <c r="D74" i="21"/>
  <c r="D73" i="21"/>
  <c r="D72" i="21"/>
  <c r="O56" i="19"/>
  <c r="O56" i="16"/>
  <c r="E5" i="21"/>
  <c r="F5" i="21"/>
  <c r="G5" i="21"/>
  <c r="H5" i="21"/>
  <c r="I5" i="21"/>
  <c r="J5" i="21"/>
  <c r="K5" i="21"/>
  <c r="L5" i="21"/>
  <c r="M5" i="21"/>
  <c r="O5" i="21"/>
  <c r="E9" i="21"/>
  <c r="F9" i="21"/>
  <c r="G9" i="21"/>
  <c r="H9" i="21"/>
  <c r="I9" i="21"/>
  <c r="J9" i="21"/>
  <c r="K9" i="21"/>
  <c r="L9" i="21"/>
  <c r="M9" i="21"/>
  <c r="N9" i="21"/>
  <c r="O9" i="21"/>
  <c r="E13" i="21"/>
  <c r="F13" i="21"/>
  <c r="G13" i="21"/>
  <c r="H13" i="21"/>
  <c r="I13" i="21"/>
  <c r="J13" i="21"/>
  <c r="K13" i="21"/>
  <c r="L13" i="21"/>
  <c r="M13" i="21"/>
  <c r="N13" i="21"/>
  <c r="O13" i="21"/>
  <c r="E17" i="21"/>
  <c r="F17" i="21"/>
  <c r="G17" i="21"/>
  <c r="H17" i="21"/>
  <c r="I17" i="21"/>
  <c r="J17" i="21"/>
  <c r="K17" i="21"/>
  <c r="L17" i="21"/>
  <c r="M17" i="21"/>
  <c r="N17" i="21"/>
  <c r="O17" i="21"/>
  <c r="E21" i="21"/>
  <c r="F21" i="21"/>
  <c r="G21" i="21"/>
  <c r="H21" i="21"/>
  <c r="I21" i="21"/>
  <c r="J21" i="21"/>
  <c r="K21" i="21"/>
  <c r="L21" i="21"/>
  <c r="M21" i="21"/>
  <c r="N21" i="21"/>
  <c r="O21" i="21"/>
  <c r="E25" i="21"/>
  <c r="G25" i="21"/>
  <c r="H25" i="21"/>
  <c r="I25" i="21"/>
  <c r="J25" i="21"/>
  <c r="K25" i="21"/>
  <c r="L25" i="21"/>
  <c r="M25" i="21"/>
  <c r="N25" i="21"/>
  <c r="O25" i="21"/>
  <c r="E29" i="21"/>
  <c r="F29" i="21"/>
  <c r="G29" i="21"/>
  <c r="H29" i="21"/>
  <c r="I29" i="21"/>
  <c r="J29" i="21"/>
  <c r="K29" i="21"/>
  <c r="L29" i="21"/>
  <c r="M29" i="21"/>
  <c r="N29" i="21"/>
  <c r="O29" i="21"/>
  <c r="E34" i="21"/>
  <c r="F34" i="21"/>
  <c r="G34" i="21"/>
  <c r="H34" i="21"/>
  <c r="I34" i="21"/>
  <c r="J34" i="21"/>
  <c r="K34" i="21"/>
  <c r="L34" i="21"/>
  <c r="M34" i="21"/>
  <c r="N34" i="21"/>
  <c r="O34" i="21"/>
  <c r="E38" i="21"/>
  <c r="F38" i="21"/>
  <c r="G38" i="21"/>
  <c r="H38" i="21"/>
  <c r="I38" i="21"/>
  <c r="J38" i="21"/>
  <c r="K38" i="21"/>
  <c r="L38" i="21"/>
  <c r="M38" i="21"/>
  <c r="N38" i="21"/>
  <c r="O38" i="21"/>
  <c r="E42" i="21"/>
  <c r="F42" i="21"/>
  <c r="G42" i="21"/>
  <c r="H42" i="21"/>
  <c r="I42" i="21"/>
  <c r="J42" i="21"/>
  <c r="K42" i="21"/>
  <c r="L42" i="21"/>
  <c r="M42" i="21"/>
  <c r="N42" i="21"/>
  <c r="O42" i="21"/>
  <c r="E46" i="21"/>
  <c r="F46" i="21"/>
  <c r="G46" i="21"/>
  <c r="H46" i="21"/>
  <c r="I46" i="21"/>
  <c r="J46" i="21"/>
  <c r="K46" i="21"/>
  <c r="L46" i="21"/>
  <c r="M46" i="21"/>
  <c r="N46" i="21"/>
  <c r="O46" i="21"/>
  <c r="E50" i="21"/>
  <c r="F50" i="21"/>
  <c r="G50" i="21"/>
  <c r="H50" i="21"/>
  <c r="I50" i="21"/>
  <c r="J50" i="21"/>
  <c r="K50" i="21"/>
  <c r="L50" i="21"/>
  <c r="M50" i="21"/>
  <c r="N50" i="21"/>
  <c r="O50" i="21"/>
  <c r="E54" i="21"/>
  <c r="F54" i="21"/>
  <c r="G54" i="21"/>
  <c r="H54" i="21"/>
  <c r="I54" i="21"/>
  <c r="J54" i="21"/>
  <c r="K54" i="21"/>
  <c r="L54" i="21"/>
  <c r="M54" i="21"/>
  <c r="N54" i="21"/>
  <c r="O54" i="21"/>
  <c r="F58" i="21"/>
  <c r="G58" i="21"/>
  <c r="H58" i="21"/>
  <c r="I58" i="21"/>
  <c r="J58" i="21"/>
  <c r="K58" i="21"/>
  <c r="L58" i="21"/>
  <c r="M58" i="21"/>
  <c r="N58" i="21"/>
  <c r="O58" i="21"/>
  <c r="D58" i="21"/>
  <c r="D54" i="21"/>
  <c r="D50" i="21"/>
  <c r="D46" i="21"/>
  <c r="D42" i="21"/>
  <c r="D38" i="21"/>
  <c r="D34" i="21"/>
  <c r="D29" i="21"/>
  <c r="D25" i="21"/>
  <c r="D21" i="21"/>
  <c r="D17" i="21"/>
  <c r="D13" i="21"/>
  <c r="D9" i="21"/>
  <c r="D5" i="21"/>
  <c r="D50" i="19"/>
  <c r="E57" i="21" s="1"/>
  <c r="E50" i="19"/>
  <c r="F57" i="21" s="1"/>
  <c r="F50" i="19"/>
  <c r="G57" i="21" s="1"/>
  <c r="G50" i="19"/>
  <c r="H57" i="21" s="1"/>
  <c r="H50" i="19"/>
  <c r="I57" i="21" s="1"/>
  <c r="I50" i="19"/>
  <c r="J57" i="21" s="1"/>
  <c r="J50" i="19"/>
  <c r="K57" i="21" s="1"/>
  <c r="K50" i="19"/>
  <c r="L57" i="21" s="1"/>
  <c r="L50" i="19"/>
  <c r="M57" i="21" s="1"/>
  <c r="M50" i="19"/>
  <c r="N57" i="21" s="1"/>
  <c r="N50" i="19"/>
  <c r="C50" i="19"/>
  <c r="D57" i="21" s="1"/>
  <c r="D49" i="19"/>
  <c r="E53" i="21" s="1"/>
  <c r="E49" i="19"/>
  <c r="F53" i="21" s="1"/>
  <c r="F49" i="19"/>
  <c r="G53" i="21" s="1"/>
  <c r="G49" i="19"/>
  <c r="H53" i="21" s="1"/>
  <c r="H49" i="19"/>
  <c r="I53" i="21" s="1"/>
  <c r="I49" i="19"/>
  <c r="J53" i="21" s="1"/>
  <c r="J49" i="19"/>
  <c r="K53" i="21" s="1"/>
  <c r="K49" i="19"/>
  <c r="L53" i="21" s="1"/>
  <c r="L49" i="19"/>
  <c r="M53" i="21" s="1"/>
  <c r="M49" i="19"/>
  <c r="N53" i="21" s="1"/>
  <c r="N49" i="19"/>
  <c r="O53" i="21" s="1"/>
  <c r="C49" i="19"/>
  <c r="D53" i="21" s="1"/>
  <c r="D48" i="19"/>
  <c r="E49" i="21" s="1"/>
  <c r="E48" i="19"/>
  <c r="F49" i="21" s="1"/>
  <c r="F48" i="19"/>
  <c r="G49" i="21" s="1"/>
  <c r="G48" i="19"/>
  <c r="H49" i="21" s="1"/>
  <c r="H48" i="19"/>
  <c r="I49" i="21" s="1"/>
  <c r="I48" i="19"/>
  <c r="J49" i="21" s="1"/>
  <c r="J48" i="19"/>
  <c r="K49" i="21" s="1"/>
  <c r="K48" i="19"/>
  <c r="L49" i="21" s="1"/>
  <c r="L48" i="19"/>
  <c r="M49" i="21" s="1"/>
  <c r="M48" i="19"/>
  <c r="N48" i="19"/>
  <c r="O49" i="21" s="1"/>
  <c r="C48" i="19"/>
  <c r="D49" i="21" s="1"/>
  <c r="D47" i="19"/>
  <c r="E45" i="21" s="1"/>
  <c r="E47" i="19"/>
  <c r="F45" i="21" s="1"/>
  <c r="F47" i="19"/>
  <c r="G45" i="21" s="1"/>
  <c r="G47" i="19"/>
  <c r="H45" i="21" s="1"/>
  <c r="H47" i="19"/>
  <c r="I45" i="21" s="1"/>
  <c r="I47" i="19"/>
  <c r="J45" i="21" s="1"/>
  <c r="J47" i="19"/>
  <c r="K45" i="21" s="1"/>
  <c r="K47" i="19"/>
  <c r="L45" i="21" s="1"/>
  <c r="L47" i="19"/>
  <c r="M45" i="21" s="1"/>
  <c r="M47" i="19"/>
  <c r="N45" i="21" s="1"/>
  <c r="N47" i="19"/>
  <c r="C47" i="19"/>
  <c r="D45" i="21" s="1"/>
  <c r="D46" i="19"/>
  <c r="E46" i="19"/>
  <c r="F41" i="21" s="1"/>
  <c r="F46" i="19"/>
  <c r="G41" i="21" s="1"/>
  <c r="G46" i="19"/>
  <c r="H41" i="21" s="1"/>
  <c r="H46" i="19"/>
  <c r="I41" i="21" s="1"/>
  <c r="I46" i="19"/>
  <c r="J41" i="21" s="1"/>
  <c r="J46" i="19"/>
  <c r="K41" i="21" s="1"/>
  <c r="K46" i="19"/>
  <c r="L41" i="21" s="1"/>
  <c r="L46" i="19"/>
  <c r="M41" i="21" s="1"/>
  <c r="M46" i="19"/>
  <c r="N41" i="21" s="1"/>
  <c r="N46" i="19"/>
  <c r="O41" i="21" s="1"/>
  <c r="C46" i="19"/>
  <c r="D41" i="21" s="1"/>
  <c r="D45" i="19"/>
  <c r="E37" i="21" s="1"/>
  <c r="E45" i="19"/>
  <c r="F37" i="21" s="1"/>
  <c r="F45" i="19"/>
  <c r="G37" i="21" s="1"/>
  <c r="G45" i="19"/>
  <c r="H37" i="21" s="1"/>
  <c r="H45" i="19"/>
  <c r="I37" i="21" s="1"/>
  <c r="I45" i="19"/>
  <c r="J37" i="21" s="1"/>
  <c r="J45" i="19"/>
  <c r="K37" i="21" s="1"/>
  <c r="K45" i="19"/>
  <c r="L37" i="21" s="1"/>
  <c r="L45" i="19"/>
  <c r="M37" i="21" s="1"/>
  <c r="M45" i="19"/>
  <c r="N37" i="21" s="1"/>
  <c r="N45" i="19"/>
  <c r="O37" i="21" s="1"/>
  <c r="C45" i="19"/>
  <c r="D37" i="21" s="1"/>
  <c r="D44" i="19"/>
  <c r="E33" i="21" s="1"/>
  <c r="E44" i="19"/>
  <c r="F33" i="21" s="1"/>
  <c r="F44" i="19"/>
  <c r="G33" i="21" s="1"/>
  <c r="G44" i="19"/>
  <c r="H33" i="21" s="1"/>
  <c r="H44" i="19"/>
  <c r="I33" i="21" s="1"/>
  <c r="I44" i="19"/>
  <c r="J33" i="21" s="1"/>
  <c r="J44" i="19"/>
  <c r="K33" i="21" s="1"/>
  <c r="K44" i="19"/>
  <c r="L33" i="21" s="1"/>
  <c r="L44" i="19"/>
  <c r="M33" i="21" s="1"/>
  <c r="M44" i="19"/>
  <c r="N33" i="21" s="1"/>
  <c r="N44" i="19"/>
  <c r="O33" i="21" s="1"/>
  <c r="C44" i="19"/>
  <c r="D33" i="21" s="1"/>
  <c r="D43" i="19"/>
  <c r="E28" i="21" s="1"/>
  <c r="E43" i="19"/>
  <c r="F28" i="21" s="1"/>
  <c r="F43" i="19"/>
  <c r="G28" i="21" s="1"/>
  <c r="G43" i="19"/>
  <c r="H28" i="21" s="1"/>
  <c r="H43" i="19"/>
  <c r="I28" i="21" s="1"/>
  <c r="I43" i="19"/>
  <c r="J28" i="21" s="1"/>
  <c r="J43" i="19"/>
  <c r="K28" i="21" s="1"/>
  <c r="K43" i="19"/>
  <c r="L28" i="21" s="1"/>
  <c r="L43" i="19"/>
  <c r="M28" i="21" s="1"/>
  <c r="M43" i="19"/>
  <c r="N28" i="21" s="1"/>
  <c r="N43" i="19"/>
  <c r="C43" i="19"/>
  <c r="D28" i="21" s="1"/>
  <c r="D42" i="19"/>
  <c r="E24" i="21" s="1"/>
  <c r="E42" i="19"/>
  <c r="F24" i="21" s="1"/>
  <c r="F42" i="19"/>
  <c r="G24" i="21" s="1"/>
  <c r="G42" i="19"/>
  <c r="H24" i="21" s="1"/>
  <c r="H42" i="19"/>
  <c r="I24" i="21" s="1"/>
  <c r="I42" i="19"/>
  <c r="J24" i="21" s="1"/>
  <c r="J42" i="19"/>
  <c r="K24" i="21" s="1"/>
  <c r="K42" i="19"/>
  <c r="L24" i="21" s="1"/>
  <c r="L42" i="19"/>
  <c r="M24" i="21" s="1"/>
  <c r="M42" i="19"/>
  <c r="N24" i="21" s="1"/>
  <c r="N42" i="19"/>
  <c r="O24" i="21" s="1"/>
  <c r="C42" i="19"/>
  <c r="D24" i="21" s="1"/>
  <c r="D41" i="19"/>
  <c r="E20" i="21" s="1"/>
  <c r="E41" i="19"/>
  <c r="F20" i="21" s="1"/>
  <c r="F41" i="19"/>
  <c r="G20" i="21" s="1"/>
  <c r="G41" i="19"/>
  <c r="H20" i="21" s="1"/>
  <c r="H41" i="19"/>
  <c r="I20" i="21" s="1"/>
  <c r="I41" i="19"/>
  <c r="J20" i="21" s="1"/>
  <c r="J41" i="19"/>
  <c r="K20" i="21" s="1"/>
  <c r="K41" i="19"/>
  <c r="L20" i="21" s="1"/>
  <c r="L41" i="19"/>
  <c r="M20" i="21" s="1"/>
  <c r="M41" i="19"/>
  <c r="N20" i="21" s="1"/>
  <c r="N41" i="19"/>
  <c r="O20" i="21" s="1"/>
  <c r="C41" i="19"/>
  <c r="D20" i="21" s="1"/>
  <c r="D40" i="19"/>
  <c r="E16" i="21" s="1"/>
  <c r="E40" i="19"/>
  <c r="F16" i="21" s="1"/>
  <c r="F40" i="19"/>
  <c r="G16" i="21" s="1"/>
  <c r="G40" i="19"/>
  <c r="H16" i="21" s="1"/>
  <c r="H40" i="19"/>
  <c r="I16" i="21" s="1"/>
  <c r="I40" i="19"/>
  <c r="J16" i="21" s="1"/>
  <c r="J40" i="19"/>
  <c r="K16" i="21" s="1"/>
  <c r="K40" i="19"/>
  <c r="L16" i="21" s="1"/>
  <c r="L40" i="19"/>
  <c r="M16" i="21" s="1"/>
  <c r="M40" i="19"/>
  <c r="N16" i="21" s="1"/>
  <c r="N40" i="19"/>
  <c r="O16" i="21" s="1"/>
  <c r="C40" i="19"/>
  <c r="D16" i="21" s="1"/>
  <c r="D39" i="19"/>
  <c r="E12" i="21" s="1"/>
  <c r="E39" i="19"/>
  <c r="F12" i="21" s="1"/>
  <c r="F39" i="19"/>
  <c r="G12" i="21" s="1"/>
  <c r="G39" i="19"/>
  <c r="H12" i="21" s="1"/>
  <c r="H39" i="19"/>
  <c r="I12" i="21" s="1"/>
  <c r="I39" i="19"/>
  <c r="J12" i="21" s="1"/>
  <c r="J39" i="19"/>
  <c r="K12" i="21" s="1"/>
  <c r="K39" i="19"/>
  <c r="L12" i="21" s="1"/>
  <c r="L39" i="19"/>
  <c r="M12" i="21" s="1"/>
  <c r="M39" i="19"/>
  <c r="N39" i="19"/>
  <c r="O12" i="21" s="1"/>
  <c r="C39" i="19"/>
  <c r="D38" i="19"/>
  <c r="E8" i="21" s="1"/>
  <c r="E38" i="19"/>
  <c r="F8" i="21" s="1"/>
  <c r="F38" i="19"/>
  <c r="G8" i="21" s="1"/>
  <c r="G38" i="19"/>
  <c r="H8" i="21" s="1"/>
  <c r="H38" i="19"/>
  <c r="I8" i="21" s="1"/>
  <c r="I38" i="19"/>
  <c r="J8" i="21" s="1"/>
  <c r="J38" i="19"/>
  <c r="K8" i="21" s="1"/>
  <c r="K38" i="19"/>
  <c r="L8" i="21" s="1"/>
  <c r="L38" i="19"/>
  <c r="M8" i="21" s="1"/>
  <c r="M38" i="19"/>
  <c r="N8" i="21" s="1"/>
  <c r="N38" i="19"/>
  <c r="O8" i="21" s="1"/>
  <c r="C38" i="19"/>
  <c r="D8" i="21" s="1"/>
  <c r="D37" i="19"/>
  <c r="E4" i="21" s="1"/>
  <c r="E37" i="19"/>
  <c r="F4" i="21" s="1"/>
  <c r="F37" i="19"/>
  <c r="G4" i="21" s="1"/>
  <c r="G37" i="19"/>
  <c r="H4" i="21" s="1"/>
  <c r="H37" i="19"/>
  <c r="I4" i="21" s="1"/>
  <c r="I37" i="19"/>
  <c r="J4" i="21" s="1"/>
  <c r="J37" i="19"/>
  <c r="K4" i="21" s="1"/>
  <c r="K37" i="19"/>
  <c r="L4" i="21" s="1"/>
  <c r="L37" i="19"/>
  <c r="M4" i="21" s="1"/>
  <c r="M37" i="19"/>
  <c r="N4" i="21" s="1"/>
  <c r="N37" i="19"/>
  <c r="O4" i="21" s="1"/>
  <c r="C37" i="19"/>
  <c r="D4" i="21" s="1"/>
  <c r="D50" i="16"/>
  <c r="E56" i="21" s="1"/>
  <c r="E50" i="16"/>
  <c r="F56" i="21" s="1"/>
  <c r="F50" i="16"/>
  <c r="G56" i="21" s="1"/>
  <c r="G50" i="16"/>
  <c r="H56" i="21" s="1"/>
  <c r="H50" i="16"/>
  <c r="I56" i="21" s="1"/>
  <c r="I50" i="16"/>
  <c r="J56" i="21" s="1"/>
  <c r="J50" i="16"/>
  <c r="K56" i="21" s="1"/>
  <c r="K50" i="16"/>
  <c r="L56" i="21" s="1"/>
  <c r="L50" i="16"/>
  <c r="M56" i="21" s="1"/>
  <c r="M50" i="16"/>
  <c r="N56" i="21" s="1"/>
  <c r="N50" i="16"/>
  <c r="O56" i="21" s="1"/>
  <c r="C50" i="16"/>
  <c r="D56" i="21" s="1"/>
  <c r="D49" i="16"/>
  <c r="E52" i="21" s="1"/>
  <c r="E49" i="16"/>
  <c r="F52" i="21" s="1"/>
  <c r="F49" i="16"/>
  <c r="G52" i="21" s="1"/>
  <c r="G49" i="16"/>
  <c r="H52" i="21" s="1"/>
  <c r="H49" i="16"/>
  <c r="I52" i="21" s="1"/>
  <c r="I49" i="16"/>
  <c r="J52" i="21" s="1"/>
  <c r="J49" i="16"/>
  <c r="K52" i="21" s="1"/>
  <c r="K49" i="16"/>
  <c r="L52" i="21" s="1"/>
  <c r="L49" i="16"/>
  <c r="M52" i="21" s="1"/>
  <c r="M49" i="16"/>
  <c r="N52" i="21" s="1"/>
  <c r="N49" i="16"/>
  <c r="O52" i="21" s="1"/>
  <c r="C49" i="16"/>
  <c r="D52" i="21" s="1"/>
  <c r="D48" i="16"/>
  <c r="E48" i="16"/>
  <c r="F48" i="21" s="1"/>
  <c r="F48" i="16"/>
  <c r="G48" i="21" s="1"/>
  <c r="G48" i="16"/>
  <c r="H48" i="21" s="1"/>
  <c r="H48" i="16"/>
  <c r="I48" i="21" s="1"/>
  <c r="I48" i="16"/>
  <c r="J48" i="21" s="1"/>
  <c r="J48" i="16"/>
  <c r="K48" i="21" s="1"/>
  <c r="K48" i="16"/>
  <c r="L48" i="21" s="1"/>
  <c r="L48" i="16"/>
  <c r="M48" i="21" s="1"/>
  <c r="M48" i="16"/>
  <c r="N48" i="21" s="1"/>
  <c r="N48" i="16"/>
  <c r="O48" i="21" s="1"/>
  <c r="C48" i="16"/>
  <c r="D48" i="21" s="1"/>
  <c r="D47" i="16"/>
  <c r="E44" i="21" s="1"/>
  <c r="E47" i="16"/>
  <c r="F44" i="21" s="1"/>
  <c r="F47" i="16"/>
  <c r="G44" i="21" s="1"/>
  <c r="G47" i="16"/>
  <c r="H44" i="21" s="1"/>
  <c r="H47" i="16"/>
  <c r="I44" i="21" s="1"/>
  <c r="I47" i="16"/>
  <c r="J44" i="21" s="1"/>
  <c r="J47" i="16"/>
  <c r="K44" i="21" s="1"/>
  <c r="K47" i="16"/>
  <c r="L44" i="21" s="1"/>
  <c r="L47" i="16"/>
  <c r="M44" i="21" s="1"/>
  <c r="M47" i="16"/>
  <c r="N44" i="21" s="1"/>
  <c r="N47" i="16"/>
  <c r="O44" i="21" s="1"/>
  <c r="C47" i="16"/>
  <c r="D44" i="21" s="1"/>
  <c r="D46" i="16"/>
  <c r="E40" i="21" s="1"/>
  <c r="E46" i="16"/>
  <c r="F40" i="21" s="1"/>
  <c r="F46" i="16"/>
  <c r="G40" i="21" s="1"/>
  <c r="G46" i="16"/>
  <c r="H40" i="21" s="1"/>
  <c r="H46" i="16"/>
  <c r="I40" i="21" s="1"/>
  <c r="I46" i="16"/>
  <c r="J40" i="21" s="1"/>
  <c r="J46" i="16"/>
  <c r="K40" i="21" s="1"/>
  <c r="K46" i="16"/>
  <c r="L40" i="21" s="1"/>
  <c r="L46" i="16"/>
  <c r="M40" i="21" s="1"/>
  <c r="M46" i="16"/>
  <c r="N40" i="21" s="1"/>
  <c r="N46" i="16"/>
  <c r="O40" i="21" s="1"/>
  <c r="C46" i="16"/>
  <c r="D40" i="21" s="1"/>
  <c r="D45" i="16"/>
  <c r="E45" i="16"/>
  <c r="F36" i="21" s="1"/>
  <c r="F45" i="16"/>
  <c r="G36" i="21" s="1"/>
  <c r="G45" i="16"/>
  <c r="H36" i="21" s="1"/>
  <c r="H45" i="16"/>
  <c r="I36" i="21" s="1"/>
  <c r="I45" i="16"/>
  <c r="J36" i="21" s="1"/>
  <c r="J45" i="16"/>
  <c r="K36" i="21" s="1"/>
  <c r="K45" i="16"/>
  <c r="L36" i="21" s="1"/>
  <c r="L45" i="16"/>
  <c r="M36" i="21" s="1"/>
  <c r="M45" i="16"/>
  <c r="N36" i="21" s="1"/>
  <c r="N45" i="16"/>
  <c r="O36" i="21" s="1"/>
  <c r="C45" i="16"/>
  <c r="D36" i="21" s="1"/>
  <c r="D44" i="16"/>
  <c r="E32" i="21" s="1"/>
  <c r="E44" i="16"/>
  <c r="F44" i="16"/>
  <c r="G32" i="21" s="1"/>
  <c r="G44" i="16"/>
  <c r="H32" i="21" s="1"/>
  <c r="H44" i="16"/>
  <c r="I32" i="21" s="1"/>
  <c r="I44" i="16"/>
  <c r="J32" i="21" s="1"/>
  <c r="J44" i="16"/>
  <c r="K32" i="21" s="1"/>
  <c r="K44" i="16"/>
  <c r="L32" i="21" s="1"/>
  <c r="L44" i="16"/>
  <c r="M32" i="21" s="1"/>
  <c r="M44" i="16"/>
  <c r="N32" i="21" s="1"/>
  <c r="N44" i="16"/>
  <c r="O32" i="21" s="1"/>
  <c r="C44" i="16"/>
  <c r="D32" i="21" s="1"/>
  <c r="D43" i="16"/>
  <c r="E27" i="21" s="1"/>
  <c r="E43" i="16"/>
  <c r="F27" i="21" s="1"/>
  <c r="F43" i="16"/>
  <c r="G27" i="21" s="1"/>
  <c r="G43" i="16"/>
  <c r="H27" i="21" s="1"/>
  <c r="H43" i="16"/>
  <c r="I27" i="21" s="1"/>
  <c r="I43" i="16"/>
  <c r="J27" i="21" s="1"/>
  <c r="J43" i="16"/>
  <c r="K27" i="21" s="1"/>
  <c r="K43" i="16"/>
  <c r="L27" i="21" s="1"/>
  <c r="L43" i="16"/>
  <c r="M27" i="21" s="1"/>
  <c r="M43" i="16"/>
  <c r="N27" i="21" s="1"/>
  <c r="N43" i="16"/>
  <c r="O27" i="21" s="1"/>
  <c r="C43" i="16"/>
  <c r="D42" i="16"/>
  <c r="E23" i="21" s="1"/>
  <c r="E42" i="16"/>
  <c r="F23" i="21" s="1"/>
  <c r="F42" i="16"/>
  <c r="G23" i="21" s="1"/>
  <c r="G42" i="16"/>
  <c r="H23" i="21" s="1"/>
  <c r="H42" i="16"/>
  <c r="I23" i="21" s="1"/>
  <c r="I42" i="16"/>
  <c r="J23" i="21" s="1"/>
  <c r="J42" i="16"/>
  <c r="K23" i="21" s="1"/>
  <c r="K42" i="16"/>
  <c r="L23" i="21" s="1"/>
  <c r="L42" i="16"/>
  <c r="M23" i="21" s="1"/>
  <c r="M42" i="16"/>
  <c r="N23" i="21" s="1"/>
  <c r="N42" i="16"/>
  <c r="O23" i="21" s="1"/>
  <c r="C42" i="16"/>
  <c r="D41" i="16"/>
  <c r="E19" i="21" s="1"/>
  <c r="E41" i="16"/>
  <c r="F19" i="21" s="1"/>
  <c r="F41" i="16"/>
  <c r="G19" i="21" s="1"/>
  <c r="G41" i="16"/>
  <c r="H19" i="21" s="1"/>
  <c r="H41" i="16"/>
  <c r="I19" i="21" s="1"/>
  <c r="I41" i="16"/>
  <c r="J19" i="21" s="1"/>
  <c r="J41" i="16"/>
  <c r="K19" i="21" s="1"/>
  <c r="K41" i="16"/>
  <c r="L19" i="21" s="1"/>
  <c r="L41" i="16"/>
  <c r="M19" i="21" s="1"/>
  <c r="M41" i="16"/>
  <c r="N19" i="21" s="1"/>
  <c r="N41" i="16"/>
  <c r="O19" i="21" s="1"/>
  <c r="C41" i="16"/>
  <c r="D19" i="21" s="1"/>
  <c r="D40" i="16"/>
  <c r="E15" i="21" s="1"/>
  <c r="E40" i="16"/>
  <c r="F15" i="21" s="1"/>
  <c r="F40" i="16"/>
  <c r="G15" i="21" s="1"/>
  <c r="G40" i="16"/>
  <c r="H15" i="21" s="1"/>
  <c r="H40" i="16"/>
  <c r="I15" i="21" s="1"/>
  <c r="I40" i="16"/>
  <c r="J15" i="21" s="1"/>
  <c r="J40" i="16"/>
  <c r="K15" i="21" s="1"/>
  <c r="K40" i="16"/>
  <c r="L15" i="21" s="1"/>
  <c r="L40" i="16"/>
  <c r="M15" i="21" s="1"/>
  <c r="M40" i="16"/>
  <c r="N15" i="21" s="1"/>
  <c r="N40" i="16"/>
  <c r="O15" i="21" s="1"/>
  <c r="C40" i="16"/>
  <c r="D15" i="21" s="1"/>
  <c r="D39" i="16"/>
  <c r="E11" i="21" s="1"/>
  <c r="E39" i="16"/>
  <c r="F11" i="21" s="1"/>
  <c r="F39" i="16"/>
  <c r="G11" i="21" s="1"/>
  <c r="G39" i="16"/>
  <c r="H11" i="21" s="1"/>
  <c r="H39" i="16"/>
  <c r="I11" i="21" s="1"/>
  <c r="I39" i="16"/>
  <c r="J11" i="21" s="1"/>
  <c r="J39" i="16"/>
  <c r="K11" i="21" s="1"/>
  <c r="K39" i="16"/>
  <c r="L11" i="21" s="1"/>
  <c r="L39" i="16"/>
  <c r="M11" i="21" s="1"/>
  <c r="M39" i="16"/>
  <c r="N11" i="21" s="1"/>
  <c r="N39" i="16"/>
  <c r="O11" i="21" s="1"/>
  <c r="C39" i="16"/>
  <c r="D11" i="21" s="1"/>
  <c r="D38" i="16"/>
  <c r="E7" i="21" s="1"/>
  <c r="E38" i="16"/>
  <c r="F38" i="16"/>
  <c r="G38" i="16"/>
  <c r="H38" i="16"/>
  <c r="I38" i="16"/>
  <c r="J38" i="16"/>
  <c r="K7" i="21" s="1"/>
  <c r="K38" i="16"/>
  <c r="L7" i="21" s="1"/>
  <c r="L38" i="16"/>
  <c r="M7" i="21" s="1"/>
  <c r="M38" i="16"/>
  <c r="N7" i="21" s="1"/>
  <c r="N38" i="16"/>
  <c r="O7" i="21" s="1"/>
  <c r="C38" i="16"/>
  <c r="D7" i="21" s="1"/>
  <c r="D37" i="16"/>
  <c r="E37" i="16"/>
  <c r="F37" i="16"/>
  <c r="G37" i="16"/>
  <c r="H37" i="16"/>
  <c r="I37" i="16"/>
  <c r="J37" i="16"/>
  <c r="K37" i="16"/>
  <c r="L37" i="16"/>
  <c r="M37" i="16"/>
  <c r="N37" i="16"/>
  <c r="C37" i="16"/>
  <c r="N6" i="15"/>
  <c r="M6" i="15"/>
  <c r="L6" i="15"/>
  <c r="K6" i="15"/>
  <c r="J6" i="15"/>
  <c r="I6" i="15"/>
  <c r="H6" i="15"/>
  <c r="G6" i="15"/>
  <c r="F6" i="15"/>
  <c r="E6" i="15"/>
  <c r="D6" i="15"/>
  <c r="C6" i="15"/>
  <c r="N6" i="14"/>
  <c r="M6" i="14"/>
  <c r="L6" i="14"/>
  <c r="K6" i="14"/>
  <c r="J6" i="14"/>
  <c r="I6" i="14"/>
  <c r="H6" i="14"/>
  <c r="G6" i="14"/>
  <c r="F6" i="14"/>
  <c r="E6" i="14"/>
  <c r="D6" i="14"/>
  <c r="C6" i="14"/>
  <c r="E3" i="21" l="1"/>
  <c r="D58" i="16"/>
  <c r="D60" i="16" s="1"/>
  <c r="D3" i="21"/>
  <c r="C58" i="16"/>
  <c r="N3" i="21"/>
  <c r="M58" i="16"/>
  <c r="M60" i="16" s="1"/>
  <c r="M3" i="21"/>
  <c r="L58" i="16"/>
  <c r="L60" i="16" s="1"/>
  <c r="J3" i="21"/>
  <c r="I58" i="16"/>
  <c r="I60" i="16" s="1"/>
  <c r="G3" i="21"/>
  <c r="F58" i="16"/>
  <c r="F60" i="16" s="1"/>
  <c r="O3" i="21"/>
  <c r="N58" i="16"/>
  <c r="N60" i="16" s="1"/>
  <c r="K58" i="16"/>
  <c r="K60" i="16" s="1"/>
  <c r="K3" i="21"/>
  <c r="J58" i="16"/>
  <c r="J60" i="16" s="1"/>
  <c r="I3" i="21"/>
  <c r="H58" i="16"/>
  <c r="H60" i="16" s="1"/>
  <c r="H3" i="21"/>
  <c r="G58" i="16"/>
  <c r="G60" i="16" s="1"/>
  <c r="F3" i="21"/>
  <c r="E58" i="16"/>
  <c r="E60" i="16" s="1"/>
  <c r="L30" i="21"/>
  <c r="K30" i="21"/>
  <c r="J30" i="21"/>
  <c r="M30" i="21"/>
  <c r="N69" i="21"/>
  <c r="N81" i="21" s="1"/>
  <c r="I69" i="21"/>
  <c r="I81" i="21" s="1"/>
  <c r="N30" i="21"/>
  <c r="J59" i="21"/>
  <c r="G30" i="21"/>
  <c r="I30" i="21"/>
  <c r="H30" i="21"/>
  <c r="F30" i="21"/>
  <c r="E30" i="21"/>
  <c r="K59" i="21"/>
  <c r="M59" i="21"/>
  <c r="L59" i="21"/>
  <c r="P38" i="21"/>
  <c r="I59" i="21"/>
  <c r="H59" i="21"/>
  <c r="D59" i="21"/>
  <c r="D60" i="21" s="1"/>
  <c r="G59" i="21"/>
  <c r="F59" i="21"/>
  <c r="N59" i="21"/>
  <c r="P29" i="21"/>
  <c r="P42" i="21"/>
  <c r="P74" i="21"/>
  <c r="P34" i="21"/>
  <c r="P50" i="21"/>
  <c r="P13" i="21"/>
  <c r="P21" i="21"/>
  <c r="P17" i="21"/>
  <c r="P54" i="21"/>
  <c r="P46" i="21"/>
  <c r="J75" i="21"/>
  <c r="I75" i="21"/>
  <c r="G75" i="21"/>
  <c r="F75" i="21"/>
  <c r="M69" i="21"/>
  <c r="M81" i="21" s="1"/>
  <c r="H69" i="21"/>
  <c r="H81" i="21" s="1"/>
  <c r="K69" i="21"/>
  <c r="K81" i="21" s="1"/>
  <c r="L69" i="21"/>
  <c r="L81" i="21" s="1"/>
  <c r="E69" i="21"/>
  <c r="E81" i="21" s="1"/>
  <c r="E58" i="21"/>
  <c r="P58" i="21" s="1"/>
  <c r="F25" i="21"/>
  <c r="P25" i="21" s="1"/>
  <c r="N5" i="21"/>
  <c r="P5" i="21" s="1"/>
  <c r="J69" i="21"/>
  <c r="J81" i="21" s="1"/>
  <c r="K75" i="21"/>
  <c r="O39" i="19"/>
  <c r="M55" i="19"/>
  <c r="N68" i="21" s="1"/>
  <c r="N80" i="21" s="1"/>
  <c r="D75" i="21"/>
  <c r="H75" i="21"/>
  <c r="P33" i="21"/>
  <c r="D12" i="21"/>
  <c r="P73" i="21"/>
  <c r="N12" i="21"/>
  <c r="E75" i="21"/>
  <c r="P16" i="21"/>
  <c r="P24" i="21"/>
  <c r="P20" i="21"/>
  <c r="P53" i="21"/>
  <c r="P37" i="21"/>
  <c r="O48" i="19"/>
  <c r="O46" i="19"/>
  <c r="O43" i="19"/>
  <c r="K55" i="19"/>
  <c r="L68" i="21" s="1"/>
  <c r="L80" i="21" s="1"/>
  <c r="L55" i="19"/>
  <c r="M68" i="21" s="1"/>
  <c r="M80" i="21" s="1"/>
  <c r="O50" i="19"/>
  <c r="N49" i="21"/>
  <c r="P49" i="21" s="1"/>
  <c r="O42" i="19"/>
  <c r="O44" i="19"/>
  <c r="O40" i="19"/>
  <c r="O57" i="21"/>
  <c r="O75" i="21"/>
  <c r="J55" i="19"/>
  <c r="K68" i="21" s="1"/>
  <c r="K80" i="21" s="1"/>
  <c r="O47" i="19"/>
  <c r="O28" i="21"/>
  <c r="P28" i="21" s="1"/>
  <c r="O37" i="19"/>
  <c r="O49" i="19"/>
  <c r="O38" i="19"/>
  <c r="N75" i="21"/>
  <c r="O45" i="21"/>
  <c r="P45" i="21" s="1"/>
  <c r="E41" i="21"/>
  <c r="P41" i="21" s="1"/>
  <c r="M75" i="21"/>
  <c r="L75" i="21"/>
  <c r="E55" i="16"/>
  <c r="F67" i="21" s="1"/>
  <c r="F79" i="21" s="1"/>
  <c r="P15" i="21"/>
  <c r="P44" i="21"/>
  <c r="L3" i="21"/>
  <c r="K55" i="16"/>
  <c r="L67" i="21" s="1"/>
  <c r="P11" i="21"/>
  <c r="M55" i="16"/>
  <c r="N67" i="21" s="1"/>
  <c r="O48" i="16"/>
  <c r="H7" i="21"/>
  <c r="G55" i="16"/>
  <c r="H67" i="21" s="1"/>
  <c r="P52" i="21"/>
  <c r="G7" i="21"/>
  <c r="F55" i="16"/>
  <c r="G67" i="21" s="1"/>
  <c r="L55" i="16"/>
  <c r="M67" i="21" s="1"/>
  <c r="J7" i="21"/>
  <c r="I55" i="16"/>
  <c r="J67" i="21" s="1"/>
  <c r="I7" i="21"/>
  <c r="H55" i="16"/>
  <c r="I67" i="21" s="1"/>
  <c r="O41" i="16"/>
  <c r="O43" i="16"/>
  <c r="D27" i="21"/>
  <c r="N55" i="16"/>
  <c r="O67" i="21" s="1"/>
  <c r="O40" i="16"/>
  <c r="O39" i="16"/>
  <c r="O38" i="16"/>
  <c r="O45" i="16"/>
  <c r="E36" i="21"/>
  <c r="P36" i="21" s="1"/>
  <c r="J55" i="16"/>
  <c r="K67" i="21" s="1"/>
  <c r="P72" i="21"/>
  <c r="C55" i="16"/>
  <c r="D67" i="21" s="1"/>
  <c r="D79" i="21" s="1"/>
  <c r="O37" i="16"/>
  <c r="P19" i="21"/>
  <c r="O42" i="16"/>
  <c r="D23" i="21"/>
  <c r="P23" i="21" s="1"/>
  <c r="P40" i="21"/>
  <c r="P56" i="21"/>
  <c r="E48" i="21"/>
  <c r="P48" i="21" s="1"/>
  <c r="O44" i="16"/>
  <c r="F7" i="21"/>
  <c r="F32" i="21"/>
  <c r="P32" i="21" s="1"/>
  <c r="D55" i="16"/>
  <c r="O46" i="16"/>
  <c r="P8" i="21"/>
  <c r="P9" i="21"/>
  <c r="P4" i="21"/>
  <c r="O69" i="21"/>
  <c r="O81" i="21" s="1"/>
  <c r="F69" i="21"/>
  <c r="F81" i="21" s="1"/>
  <c r="D69" i="21"/>
  <c r="G69" i="21"/>
  <c r="G81" i="21" s="1"/>
  <c r="I55" i="19"/>
  <c r="J68" i="21" s="1"/>
  <c r="J80" i="21" s="1"/>
  <c r="H55" i="19"/>
  <c r="I68" i="21" s="1"/>
  <c r="I80" i="21" s="1"/>
  <c r="F55" i="19"/>
  <c r="G68" i="21" s="1"/>
  <c r="G80" i="21" s="1"/>
  <c r="C55" i="19"/>
  <c r="D68" i="21" s="1"/>
  <c r="O45" i="19"/>
  <c r="G55" i="19"/>
  <c r="H68" i="21" s="1"/>
  <c r="H80" i="21" s="1"/>
  <c r="E55" i="19"/>
  <c r="F68" i="21" s="1"/>
  <c r="F80" i="21" s="1"/>
  <c r="N55" i="19"/>
  <c r="O68" i="21" s="1"/>
  <c r="O80" i="21" s="1"/>
  <c r="D55" i="19"/>
  <c r="E68" i="21" s="1"/>
  <c r="E80" i="21" s="1"/>
  <c r="O41" i="19"/>
  <c r="O50" i="16"/>
  <c r="O49" i="16"/>
  <c r="O47" i="16"/>
  <c r="N6" i="13"/>
  <c r="M6" i="13"/>
  <c r="L6" i="13"/>
  <c r="K6" i="13"/>
  <c r="J6" i="13"/>
  <c r="I6" i="13"/>
  <c r="H6" i="13"/>
  <c r="G6" i="13"/>
  <c r="F6" i="13"/>
  <c r="E6" i="13"/>
  <c r="D6" i="13"/>
  <c r="C6" i="13"/>
  <c r="N6" i="12"/>
  <c r="M6" i="12"/>
  <c r="L6" i="12"/>
  <c r="K6" i="12"/>
  <c r="J6" i="12"/>
  <c r="I6" i="12"/>
  <c r="H6" i="12"/>
  <c r="G6" i="12"/>
  <c r="F6" i="12"/>
  <c r="E6" i="12"/>
  <c r="D6" i="12"/>
  <c r="C6" i="12"/>
  <c r="N6" i="11"/>
  <c r="M6" i="11"/>
  <c r="L6" i="11"/>
  <c r="K6" i="11"/>
  <c r="J6" i="11"/>
  <c r="I6" i="11"/>
  <c r="H6" i="11"/>
  <c r="G6" i="11"/>
  <c r="F6" i="11"/>
  <c r="E6" i="11"/>
  <c r="D6" i="11"/>
  <c r="C6" i="11"/>
  <c r="N6" i="10"/>
  <c r="M6" i="10"/>
  <c r="L6" i="10"/>
  <c r="K6" i="10"/>
  <c r="J6" i="10"/>
  <c r="I6" i="10"/>
  <c r="H6" i="10"/>
  <c r="G6" i="10"/>
  <c r="F6" i="10"/>
  <c r="E6" i="10"/>
  <c r="D6" i="10"/>
  <c r="C6" i="10"/>
  <c r="N6" i="9"/>
  <c r="M6" i="9"/>
  <c r="L6" i="9"/>
  <c r="K6" i="9"/>
  <c r="J6" i="9"/>
  <c r="I6" i="9"/>
  <c r="H6" i="9"/>
  <c r="G6" i="9"/>
  <c r="F6" i="9"/>
  <c r="E6" i="9"/>
  <c r="D6" i="9"/>
  <c r="C6" i="9"/>
  <c r="N6" i="8"/>
  <c r="M6" i="8"/>
  <c r="L6" i="8"/>
  <c r="K6" i="8"/>
  <c r="J6" i="8"/>
  <c r="I6" i="8"/>
  <c r="H6" i="8"/>
  <c r="G6" i="8"/>
  <c r="F6" i="8"/>
  <c r="E6" i="8"/>
  <c r="D6" i="8"/>
  <c r="C6" i="8"/>
  <c r="N6" i="7"/>
  <c r="M6" i="7"/>
  <c r="L6" i="7"/>
  <c r="K6" i="7"/>
  <c r="J6" i="7"/>
  <c r="I6" i="7"/>
  <c r="H6" i="7"/>
  <c r="G6" i="7"/>
  <c r="F6" i="7"/>
  <c r="E6" i="7"/>
  <c r="D6" i="7"/>
  <c r="C6" i="7"/>
  <c r="N6" i="6"/>
  <c r="M6" i="6"/>
  <c r="L6" i="6"/>
  <c r="K6" i="6"/>
  <c r="J6" i="6"/>
  <c r="I6" i="6"/>
  <c r="H6" i="6"/>
  <c r="G6" i="6"/>
  <c r="F6" i="6"/>
  <c r="E6" i="6"/>
  <c r="D6" i="6"/>
  <c r="C6" i="6"/>
  <c r="N6" i="5"/>
  <c r="M6" i="5"/>
  <c r="L6" i="5"/>
  <c r="K6" i="5"/>
  <c r="J6" i="5"/>
  <c r="I6" i="5"/>
  <c r="H6" i="5"/>
  <c r="G6" i="5"/>
  <c r="F6" i="5"/>
  <c r="E6" i="5"/>
  <c r="D6" i="5"/>
  <c r="C6" i="5"/>
  <c r="N6" i="4"/>
  <c r="M6" i="4"/>
  <c r="L6" i="4"/>
  <c r="K6" i="4"/>
  <c r="J6" i="4"/>
  <c r="I6" i="4"/>
  <c r="H6" i="4"/>
  <c r="G6" i="4"/>
  <c r="F6" i="4"/>
  <c r="E6" i="4"/>
  <c r="D6" i="4"/>
  <c r="C6" i="4"/>
  <c r="N6" i="3"/>
  <c r="M6" i="3"/>
  <c r="L6" i="3"/>
  <c r="K6" i="3"/>
  <c r="J6" i="3"/>
  <c r="I6" i="3"/>
  <c r="H6" i="3"/>
  <c r="G6" i="3"/>
  <c r="F6" i="3"/>
  <c r="E6" i="3"/>
  <c r="D6" i="3"/>
  <c r="C6" i="3"/>
  <c r="D6" i="2"/>
  <c r="E6" i="2"/>
  <c r="F6" i="2"/>
  <c r="G6" i="2"/>
  <c r="H6" i="2"/>
  <c r="I6" i="2"/>
  <c r="J6" i="2"/>
  <c r="K6" i="2"/>
  <c r="L6" i="2"/>
  <c r="M6" i="2"/>
  <c r="N6" i="2"/>
  <c r="C6" i="2"/>
  <c r="O58" i="16" l="1"/>
  <c r="C60" i="16"/>
  <c r="O60" i="16" s="1"/>
  <c r="P3" i="21"/>
  <c r="P6" i="21" s="1"/>
  <c r="O30" i="21"/>
  <c r="P27" i="21"/>
  <c r="P30" i="21" s="1"/>
  <c r="D30" i="21"/>
  <c r="N70" i="21"/>
  <c r="P35" i="21"/>
  <c r="P51" i="21"/>
  <c r="P57" i="21"/>
  <c r="P59" i="21" s="1"/>
  <c r="Q65" i="21" s="1"/>
  <c r="O59" i="21"/>
  <c r="P75" i="21"/>
  <c r="E59" i="21"/>
  <c r="E60" i="21" s="1"/>
  <c r="F60" i="21" s="1"/>
  <c r="G60" i="21" s="1"/>
  <c r="H60" i="21" s="1"/>
  <c r="I60" i="21" s="1"/>
  <c r="I105" i="21" s="1"/>
  <c r="D81" i="21"/>
  <c r="P81" i="21" s="1"/>
  <c r="P69" i="21"/>
  <c r="K70" i="21"/>
  <c r="P39" i="21"/>
  <c r="P55" i="21"/>
  <c r="O70" i="21"/>
  <c r="P26" i="21"/>
  <c r="P18" i="21"/>
  <c r="P12" i="21"/>
  <c r="P14" i="21" s="1"/>
  <c r="M70" i="21"/>
  <c r="P68" i="21"/>
  <c r="H70" i="21"/>
  <c r="L70" i="21"/>
  <c r="P43" i="21"/>
  <c r="P47" i="21"/>
  <c r="I70" i="21"/>
  <c r="D80" i="21"/>
  <c r="P80" i="21" s="1"/>
  <c r="P22" i="21"/>
  <c r="J70" i="21"/>
  <c r="P7" i="21"/>
  <c r="P10" i="21" s="1"/>
  <c r="F70" i="21"/>
  <c r="I79" i="21"/>
  <c r="I82" i="21" s="1"/>
  <c r="L79" i="21"/>
  <c r="L82" i="21" s="1"/>
  <c r="F82" i="21"/>
  <c r="G79" i="21"/>
  <c r="G82" i="21" s="1"/>
  <c r="G70" i="21"/>
  <c r="J79" i="21"/>
  <c r="J82" i="21" s="1"/>
  <c r="N79" i="21"/>
  <c r="N82" i="21" s="1"/>
  <c r="O55" i="16"/>
  <c r="E67" i="21"/>
  <c r="P67" i="21" s="1"/>
  <c r="H79" i="21"/>
  <c r="H82" i="21" s="1"/>
  <c r="K79" i="21"/>
  <c r="K82" i="21" s="1"/>
  <c r="M79" i="21"/>
  <c r="M82" i="21" s="1"/>
  <c r="D70" i="21"/>
  <c r="O79" i="21"/>
  <c r="O82" i="21" s="1"/>
  <c r="O55" i="19"/>
  <c r="P70" i="21" l="1"/>
  <c r="D82" i="21"/>
  <c r="E79" i="21"/>
  <c r="E70" i="21"/>
  <c r="P79" i="21" l="1"/>
  <c r="P82" i="21" s="1"/>
  <c r="Q87" i="21" s="1"/>
  <c r="E82" i="21"/>
</calcChain>
</file>

<file path=xl/sharedStrings.xml><?xml version="1.0" encoding="utf-8"?>
<sst xmlns="http://schemas.openxmlformats.org/spreadsheetml/2006/main" count="286" uniqueCount="46">
  <si>
    <t>Tháng</t>
  </si>
  <si>
    <t>Sản lượng [tr.kwh]</t>
  </si>
  <si>
    <t>Buôn Tua Srah</t>
  </si>
  <si>
    <t>Buôn Kuốp</t>
  </si>
  <si>
    <t xml:space="preserve">Srê Pốk 3 </t>
  </si>
  <si>
    <t>Tổng SL</t>
  </si>
  <si>
    <t>Qv[m3/s]</t>
  </si>
  <si>
    <t>Nh độ trung bình Đak Lak</t>
  </si>
  <si>
    <t>Lưu lượng [m3/s]</t>
  </si>
  <si>
    <t>Tổng</t>
  </si>
  <si>
    <t>R</t>
  </si>
  <si>
    <t>E</t>
  </si>
  <si>
    <t>SHN</t>
  </si>
  <si>
    <t>m3/khw</t>
  </si>
  <si>
    <t>A_max</t>
  </si>
  <si>
    <t>tr.kwh</t>
  </si>
  <si>
    <t>←Thực phát</t>
  </si>
  <si>
    <t>←Dự báo theo sản lượng thực phát</t>
  </si>
  <si>
    <t>←tính từ Qv dự báo</t>
  </si>
  <si>
    <t>←tính gộp 7 phần sản lượng, 3 phần lưu lượng</t>
  </si>
  <si>
    <t>Sản lượng [tr.kWh]</t>
  </si>
  <si>
    <t>←thực tế</t>
  </si>
  <si>
    <t>←Dự báo từ sản lượng</t>
  </si>
  <si>
    <t>'←tính từ Qv dự báo</t>
  </si>
  <si>
    <t>Srê Pốk 3</t>
  </si>
  <si>
    <t>LK nT</t>
  </si>
  <si>
    <t>2025
thực tế</t>
  </si>
  <si>
    <t>2025
tính toán</t>
  </si>
  <si>
    <t>←tính từ dự báo sản lượng 11~24</t>
  </si>
  <si>
    <t>←tính từ Qv dự báo, dữ kiện 1977~2024</t>
  </si>
  <si>
    <t>a</t>
  </si>
  <si>
    <t>dùng trọng số theo nguyên lý Parreto, trọng số lớn do Qv, trọng số nhỏ là dữ kiện vận hành thực tế</t>
  </si>
  <si>
    <t>b</t>
  </si>
  <si>
    <t>←tính bằng axSLQv dự báo +bxSL dự báo từ 11~24</t>
  </si>
  <si>
    <t>2026
tính toán</t>
  </si>
  <si>
    <t>←tính gộp</t>
  </si>
  <si>
    <t>ss 24</t>
  </si>
  <si>
    <t>ss 17</t>
  </si>
  <si>
    <t>tb</t>
  </si>
  <si>
    <t>năm</t>
  </si>
  <si>
    <t>11~24</t>
  </si>
  <si>
    <t>20~24</t>
  </si>
  <si>
    <t>22~24</t>
  </si>
  <si>
    <t>Tháng 6 nhìn lại</t>
  </si>
  <si>
    <t>Qv giống</t>
  </si>
  <si>
    <t>[tr.kwh]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</si>
</sst>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_);_(* \(#,##0\);_(* &quot;-&quot;??_);_(@_)"/>
    <numFmt numFmtId="167" formatCode="_(* #,##0.0_);_(* \(#,##0.0\);_(* &quot;-&quot;?_);_(@_)"/>
  </numFmts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99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99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2"/>
      <color rgb="FF843C0C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EE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7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164" fontId="2" fillId="0" borderId="1" xfId="0" applyNumberFormat="1" applyFont="1" applyBorder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right"/>
    </xf>
    <xf numFmtId="165" fontId="0" fillId="0" borderId="0" xfId="1" applyNumberFormat="1" applyFont="1"/>
    <xf numFmtId="165" fontId="2" fillId="0" borderId="0" xfId="1" applyNumberFormat="1" applyFont="1"/>
    <xf numFmtId="0" fontId="0" fillId="0" borderId="0" xfId="0" quotePrefix="1"/>
    <xf numFmtId="0" fontId="0" fillId="0" borderId="0" xfId="0" applyAlignment="1">
      <alignment horizontal="center" vertical="center"/>
    </xf>
    <xf numFmtId="164" fontId="6" fillId="0" borderId="0" xfId="0" applyNumberFormat="1" applyFont="1"/>
    <xf numFmtId="0" fontId="4" fillId="0" borderId="0" xfId="0" quotePrefix="1" applyFont="1"/>
    <xf numFmtId="165" fontId="1" fillId="0" borderId="0" xfId="1" applyNumberFormat="1" applyFont="1"/>
    <xf numFmtId="165" fontId="1" fillId="0" borderId="0" xfId="1" applyNumberFormat="1" applyFont="1" applyAlignment="1">
      <alignment horizontal="right"/>
    </xf>
    <xf numFmtId="164" fontId="4" fillId="0" borderId="0" xfId="0" applyNumberFormat="1" applyFont="1"/>
    <xf numFmtId="0" fontId="7" fillId="0" borderId="0" xfId="0" quotePrefix="1" applyFont="1"/>
    <xf numFmtId="0" fontId="7" fillId="0" borderId="0" xfId="0" applyFont="1"/>
    <xf numFmtId="164" fontId="5" fillId="0" borderId="0" xfId="0" applyNumberFormat="1" applyFont="1"/>
    <xf numFmtId="1" fontId="0" fillId="0" borderId="0" xfId="0" applyNumberFormat="1"/>
    <xf numFmtId="9" fontId="0" fillId="0" borderId="0" xfId="2" applyFont="1"/>
    <xf numFmtId="9" fontId="0" fillId="0" borderId="0" xfId="0" applyNumberForma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6" fontId="0" fillId="0" borderId="0" xfId="1" applyNumberFormat="1" applyFont="1"/>
    <xf numFmtId="166" fontId="5" fillId="0" borderId="0" xfId="1" applyNumberFormat="1" applyFont="1"/>
    <xf numFmtId="1" fontId="1" fillId="0" borderId="0" xfId="0" applyNumberFormat="1" applyFont="1"/>
    <xf numFmtId="2" fontId="0" fillId="0" borderId="0" xfId="0" applyNumberFormat="1"/>
    <xf numFmtId="164" fontId="6" fillId="0" borderId="0" xfId="0" applyNumberFormat="1" applyFont="1" applyAlignment="1">
      <alignment horizontal="right"/>
    </xf>
    <xf numFmtId="165" fontId="6" fillId="0" borderId="0" xfId="1" applyNumberFormat="1" applyFont="1" applyAlignment="1">
      <alignment horizontal="right"/>
    </xf>
    <xf numFmtId="164" fontId="2" fillId="0" borderId="0" xfId="1" applyNumberFormat="1" applyFont="1"/>
    <xf numFmtId="165" fontId="4" fillId="0" borderId="0" xfId="1" applyNumberFormat="1" applyFont="1"/>
    <xf numFmtId="0" fontId="1" fillId="0" borderId="5" xfId="0" applyFont="1" applyBorder="1"/>
    <xf numFmtId="164" fontId="0" fillId="0" borderId="6" xfId="0" applyNumberFormat="1" applyBorder="1"/>
    <xf numFmtId="164" fontId="0" fillId="0" borderId="7" xfId="1" applyNumberFormat="1" applyFont="1" applyBorder="1" applyAlignment="1">
      <alignment horizontal="right"/>
    </xf>
    <xf numFmtId="0" fontId="1" fillId="0" borderId="8" xfId="0" applyFont="1" applyBorder="1"/>
    <xf numFmtId="164" fontId="0" fillId="0" borderId="9" xfId="1" applyNumberFormat="1" applyFont="1" applyBorder="1"/>
    <xf numFmtId="0" fontId="1" fillId="0" borderId="10" xfId="0" applyFont="1" applyBorder="1"/>
    <xf numFmtId="164" fontId="0" fillId="0" borderId="11" xfId="0" applyNumberFormat="1" applyBorder="1"/>
    <xf numFmtId="164" fontId="0" fillId="0" borderId="12" xfId="1" applyNumberFormat="1" applyFont="1" applyBorder="1"/>
    <xf numFmtId="0" fontId="8" fillId="0" borderId="0" xfId="0" applyFont="1"/>
    <xf numFmtId="0" fontId="6" fillId="0" borderId="0" xfId="0" applyFont="1"/>
    <xf numFmtId="0" fontId="0" fillId="2" borderId="0" xfId="0" applyFill="1"/>
    <xf numFmtId="167" fontId="0" fillId="0" borderId="0" xfId="0" applyNumberFormat="1"/>
    <xf numFmtId="165" fontId="7" fillId="0" borderId="0" xfId="1" applyNumberFormat="1" applyFont="1"/>
    <xf numFmtId="165" fontId="0" fillId="0" borderId="0" xfId="0" applyNumberFormat="1"/>
    <xf numFmtId="165" fontId="9" fillId="0" borderId="0" xfId="1" applyNumberFormat="1" applyFont="1" applyBorder="1" applyAlignment="1">
      <alignment vertical="center" wrapText="1"/>
    </xf>
    <xf numFmtId="165" fontId="10" fillId="0" borderId="0" xfId="1" applyNumberFormat="1" applyFont="1" applyBorder="1" applyAlignment="1">
      <alignment vertical="center" wrapText="1"/>
    </xf>
    <xf numFmtId="165" fontId="11" fillId="0" borderId="0" xfId="1" applyNumberFormat="1" applyFont="1" applyBorder="1" applyAlignment="1">
      <alignment vertical="center" wrapText="1"/>
    </xf>
    <xf numFmtId="165" fontId="12" fillId="0" borderId="0" xfId="1" applyNumberFormat="1" applyFont="1" applyBorder="1" applyAlignment="1">
      <alignment vertical="center" wrapText="1"/>
    </xf>
    <xf numFmtId="164" fontId="2" fillId="0" borderId="0" xfId="1" applyNumberFormat="1" applyFont="1" applyBorder="1"/>
    <xf numFmtId="164" fontId="0" fillId="0" borderId="0" xfId="1" applyNumberFormat="1" applyFont="1" applyBorder="1"/>
    <xf numFmtId="0" fontId="5" fillId="0" borderId="0" xfId="0" applyFont="1" applyAlignment="1">
      <alignment horizontal="center"/>
    </xf>
    <xf numFmtId="9" fontId="2" fillId="0" borderId="0" xfId="2" applyFont="1"/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righ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428625</xdr:colOff>
      <xdr:row>54</xdr:row>
      <xdr:rowOff>123825</xdr:rowOff>
    </xdr:from>
    <xdr:to>
      <xdr:col>26</xdr:col>
      <xdr:colOff>543366</xdr:colOff>
      <xdr:row>57</xdr:row>
      <xdr:rowOff>114378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E619AE-6D06-F543-44F0-88B632D43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0410825"/>
          <a:ext cx="3162741" cy="56205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59</xdr:row>
      <xdr:rowOff>57150</xdr:rowOff>
    </xdr:from>
    <xdr:to>
      <xdr:col>27</xdr:col>
      <xdr:colOff>603508</xdr:colOff>
      <xdr:row>80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BEB7FF-43CD-FC60-3BE6-70FFFCBA6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20575" y="11296650"/>
          <a:ext cx="4870708" cy="3952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vngenco3pm-my.sharepoint.com/personal/haitk_genco3_evn_vn/Documents/KTSX/Th&#7911;y%20&#273;i&#7879;n/Bu&#244;n%20Ku&#7889;p/2026/D&#7919;%20li&#7879;u%20n&#7841;p%20cho%20AI%20t&#237;nh%20s&#7843;n%20l&#432;&#7907;ng/L&#432;u%20l&#432;&#7907;ng%20S&#7843;n%20l&#432;&#7907;ng%20Srepok3%201977_2026.xlsx" TargetMode="External"/><Relationship Id="rId2" Type="http://schemas.openxmlformats.org/officeDocument/2006/relationships/externalLinkPath" Target="https://evngenco3pm-my.sharepoint.com/personal/haitk_genco3_evn_vn/Documents/KTSX/Th&#7911;y%20&#273;i&#7879;n/Bu&#244;n%20Ku&#7889;p/2026/D&#7919;%20li&#7879;u%20n&#7841;p%20cho%20AI%20t&#237;nh%20s&#7843;n%20l&#432;&#7907;ng/L&#432;u%20l&#432;&#7907;ng%20S&#7843;n%20l&#432;&#7907;ng%20Srepok3%201977_2026.xlsx" TargetMode="External"/><Relationship Id="rId1" Type="http://schemas.openxmlformats.org/officeDocument/2006/relationships/externalLinkPath" Target="/personal/haitk_genco3_evn_vn/Documents/KTSX/Th&#7911;y%20&#273;i&#7879;n/Bu&#244;n%20Ku&#7889;p/2026/D&#7919;%20li&#7879;u%20n&#7841;p%20cho%20AI%20t&#237;nh%20s&#7843;n%20l&#432;&#7907;ng/L&#432;u%20l&#432;&#7907;ng%20S&#7843;n%20l&#432;&#7907;ng%20Srepok3%201977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P3"/>
      <sheetName val="Sheet1"/>
    </sheetNames>
    <sheetDataSet>
      <sheetData sheetId="0">
        <row r="37">
          <cell r="C37">
            <v>45.438943999999999</v>
          </cell>
          <cell r="D37">
            <v>38.327629999999999</v>
          </cell>
          <cell r="E37">
            <v>40.162329999999997</v>
          </cell>
          <cell r="F37">
            <v>47.265079999999998</v>
          </cell>
          <cell r="G37">
            <v>44.839829999999999</v>
          </cell>
          <cell r="H37">
            <v>120.19458</v>
          </cell>
          <cell r="I37">
            <v>109.09842</v>
          </cell>
          <cell r="J37">
            <v>134.28808000000001</v>
          </cell>
          <cell r="K37">
            <v>139.98535999999999</v>
          </cell>
          <cell r="L37">
            <v>153.80945800000001</v>
          </cell>
          <cell r="M37">
            <v>121.84898</v>
          </cell>
          <cell r="N37">
            <v>111.80434</v>
          </cell>
        </row>
        <row r="38">
          <cell r="C38">
            <v>59.674320000000016</v>
          </cell>
          <cell r="D38">
            <v>45.210730000000012</v>
          </cell>
          <cell r="E38">
            <v>53.45089999999994</v>
          </cell>
          <cell r="F38">
            <v>68.856030000000075</v>
          </cell>
          <cell r="G38">
            <v>89.703590000000005</v>
          </cell>
          <cell r="H38">
            <v>59.162539999999971</v>
          </cell>
          <cell r="I38">
            <v>85.503100000000003</v>
          </cell>
          <cell r="J38">
            <v>70.413399999999996</v>
          </cell>
          <cell r="K38">
            <v>128.244</v>
          </cell>
          <cell r="L38">
            <v>162.03149999999999</v>
          </cell>
          <cell r="M38">
            <v>98.273500000000027</v>
          </cell>
          <cell r="N38">
            <v>51.891899999999985</v>
          </cell>
        </row>
        <row r="39">
          <cell r="C39">
            <v>29.3931</v>
          </cell>
          <cell r="D39">
            <v>19.736499999999999</v>
          </cell>
          <cell r="E39">
            <v>34.728999999999999</v>
          </cell>
          <cell r="F39">
            <v>29.226700000000012</v>
          </cell>
          <cell r="G39">
            <v>42.762400000000021</v>
          </cell>
          <cell r="H39">
            <v>95.330377999999982</v>
          </cell>
          <cell r="I39">
            <v>117.224</v>
          </cell>
          <cell r="J39">
            <v>109.45139999999996</v>
          </cell>
          <cell r="K39">
            <v>92.450600000000094</v>
          </cell>
          <cell r="L39">
            <v>144.62429999999995</v>
          </cell>
          <cell r="M39">
            <v>108.65509999999998</v>
          </cell>
          <cell r="N39">
            <v>73.272799999999918</v>
          </cell>
        </row>
        <row r="40">
          <cell r="C40">
            <v>42.385599999999975</v>
          </cell>
          <cell r="D40">
            <v>40.999900000000139</v>
          </cell>
          <cell r="E40">
            <v>41.354299999999931</v>
          </cell>
          <cell r="F40">
            <v>30.1175</v>
          </cell>
          <cell r="G40">
            <v>46.607299999999952</v>
          </cell>
          <cell r="H40">
            <v>74.887100000000089</v>
          </cell>
          <cell r="I40">
            <v>157.55799999999999</v>
          </cell>
          <cell r="J40">
            <v>156.83119999999994</v>
          </cell>
          <cell r="K40">
            <v>126.20710000000021</v>
          </cell>
          <cell r="L40">
            <v>121.09479999999982</v>
          </cell>
          <cell r="M40">
            <v>59.804499999999997</v>
          </cell>
          <cell r="N40">
            <v>38.710599999999857</v>
          </cell>
        </row>
        <row r="41">
          <cell r="C41">
            <v>42.550300000000043</v>
          </cell>
          <cell r="D41">
            <v>28.215899999999905</v>
          </cell>
          <cell r="E41">
            <v>25.004600000000327</v>
          </cell>
          <cell r="F41">
            <v>36.213099999999855</v>
          </cell>
          <cell r="G41">
            <v>26.331800000000044</v>
          </cell>
          <cell r="H41">
            <v>52.941454000000142</v>
          </cell>
          <cell r="I41">
            <v>82.643899999999675</v>
          </cell>
          <cell r="J41">
            <v>94.82080000000029</v>
          </cell>
          <cell r="K41">
            <v>80.047099999999872</v>
          </cell>
          <cell r="L41">
            <v>72.551099999999863</v>
          </cell>
          <cell r="M41">
            <v>43.626400000000132</v>
          </cell>
          <cell r="N41">
            <v>32.681399999999904</v>
          </cell>
        </row>
        <row r="42">
          <cell r="C42">
            <v>40.519900000000142</v>
          </cell>
          <cell r="D42">
            <v>25.088399999999908</v>
          </cell>
          <cell r="E42">
            <v>19.354500000000002</v>
          </cell>
          <cell r="F42">
            <v>18.631800000000045</v>
          </cell>
          <cell r="G42">
            <v>34.095199999999956</v>
          </cell>
          <cell r="H42">
            <v>47.132133000000138</v>
          </cell>
          <cell r="I42">
            <v>78.753672000000009</v>
          </cell>
          <cell r="J42">
            <v>83.396789999999811</v>
          </cell>
          <cell r="K42">
            <v>73.828290000000024</v>
          </cell>
          <cell r="L42">
            <v>132.59153199999989</v>
          </cell>
          <cell r="M42">
            <v>144.76705800000019</v>
          </cell>
          <cell r="N42">
            <v>155.64489400000008</v>
          </cell>
        </row>
        <row r="43">
          <cell r="C43">
            <v>108.60762999999989</v>
          </cell>
          <cell r="D43">
            <v>60.113165999999971</v>
          </cell>
          <cell r="E43">
            <v>46.122814999999939</v>
          </cell>
          <cell r="F43">
            <v>47.596593000000105</v>
          </cell>
          <cell r="G43">
            <v>110.79442499999982</v>
          </cell>
          <cell r="H43">
            <v>147.72678699999997</v>
          </cell>
          <cell r="I43">
            <v>132.76311200000009</v>
          </cell>
          <cell r="J43">
            <v>131.70101400000019</v>
          </cell>
          <cell r="K43">
            <v>140.74008200000006</v>
          </cell>
          <cell r="L43">
            <v>143.57093799999984</v>
          </cell>
          <cell r="M43">
            <v>150.22648000000001</v>
          </cell>
          <cell r="N43">
            <v>154.0835330000003</v>
          </cell>
        </row>
        <row r="44">
          <cell r="C44">
            <v>84.546728999999814</v>
          </cell>
          <cell r="D44">
            <v>51.033550999999974</v>
          </cell>
          <cell r="E44">
            <v>46.668175000000282</v>
          </cell>
          <cell r="F44">
            <v>40.693681999999569</v>
          </cell>
          <cell r="G44">
            <v>41.664416000000202</v>
          </cell>
          <cell r="H44">
            <v>62.748268000000088</v>
          </cell>
          <cell r="I44">
            <v>93.599611000000024</v>
          </cell>
          <cell r="J44">
            <v>113.87151199999987</v>
          </cell>
          <cell r="K44">
            <v>131.2371159999997</v>
          </cell>
          <cell r="L44">
            <v>110.50994200000027</v>
          </cell>
          <cell r="M44">
            <v>56.484308999999655</v>
          </cell>
          <cell r="N44">
            <v>83.636537000000004</v>
          </cell>
        </row>
        <row r="45">
          <cell r="C45">
            <v>91.580513000000266</v>
          </cell>
          <cell r="D45">
            <v>37.416697999999862</v>
          </cell>
          <cell r="E45">
            <v>43.255247999999902</v>
          </cell>
          <cell r="F45">
            <v>33.997204000000139</v>
          </cell>
          <cell r="G45">
            <v>39.573388000000037</v>
          </cell>
          <cell r="H45">
            <v>49.43702899999964</v>
          </cell>
          <cell r="I45">
            <v>43.086667000000133</v>
          </cell>
          <cell r="J45">
            <v>123.83850699999998</v>
          </cell>
          <cell r="K45">
            <v>139.80565200000024</v>
          </cell>
          <cell r="L45">
            <v>110.986784</v>
          </cell>
          <cell r="M45">
            <v>138.42449400000001</v>
          </cell>
          <cell r="N45">
            <v>63.395966000000016</v>
          </cell>
        </row>
        <row r="46">
          <cell r="C46">
            <v>41.345302000000139</v>
          </cell>
          <cell r="D46">
            <v>31.129697999999859</v>
          </cell>
          <cell r="E46">
            <v>32.180595999999902</v>
          </cell>
          <cell r="F46">
            <v>24.479286000000315</v>
          </cell>
          <cell r="G46">
            <v>21.331489000000001</v>
          </cell>
          <cell r="H46">
            <v>59.464098999999926</v>
          </cell>
          <cell r="I46">
            <v>88.018130999999997</v>
          </cell>
          <cell r="J46">
            <v>156.36365299999994</v>
          </cell>
          <cell r="K46">
            <v>144.26588499999977</v>
          </cell>
          <cell r="L46">
            <v>159.092885</v>
          </cell>
          <cell r="M46">
            <v>151.58334699999961</v>
          </cell>
          <cell r="N46">
            <v>154.71383700000078</v>
          </cell>
        </row>
        <row r="47">
          <cell r="C47">
            <v>84.770697999999385</v>
          </cell>
          <cell r="D47">
            <v>51.779504000000657</v>
          </cell>
          <cell r="E47">
            <v>43.542483000000004</v>
          </cell>
          <cell r="F47">
            <v>34.706387999999336</v>
          </cell>
          <cell r="G47">
            <v>42.992444000000134</v>
          </cell>
          <cell r="H47">
            <v>39.461503999999721</v>
          </cell>
          <cell r="I47">
            <v>62.004547000000166</v>
          </cell>
          <cell r="J47">
            <v>69.880805999999865</v>
          </cell>
          <cell r="K47">
            <v>133.2786650000005</v>
          </cell>
          <cell r="L47">
            <v>157.50553899999989</v>
          </cell>
          <cell r="M47">
            <v>157.48852799999995</v>
          </cell>
          <cell r="N47">
            <v>142.26362600000016</v>
          </cell>
        </row>
        <row r="48">
          <cell r="C48">
            <v>88.530286399999994</v>
          </cell>
          <cell r="D48">
            <v>51.253605</v>
          </cell>
          <cell r="E48">
            <v>56.609788600000002</v>
          </cell>
          <cell r="F48">
            <v>56.4993154</v>
          </cell>
          <cell r="G48">
            <v>80.578215700000001</v>
          </cell>
          <cell r="H48">
            <v>99.400854399999986</v>
          </cell>
          <cell r="I48">
            <v>139.00226599999999</v>
          </cell>
          <cell r="J48">
            <v>157.24091799999999</v>
          </cell>
          <cell r="K48">
            <v>155.01225790000001</v>
          </cell>
          <cell r="L48">
            <v>154.3577477</v>
          </cell>
          <cell r="M48">
            <v>124.99818620000001</v>
          </cell>
          <cell r="N48">
            <v>115.0416532</v>
          </cell>
        </row>
        <row r="49">
          <cell r="C49">
            <v>77.740175000000008</v>
          </cell>
          <cell r="D49">
            <v>56.724158600000003</v>
          </cell>
          <cell r="E49">
            <v>48.161090799999997</v>
          </cell>
          <cell r="F49">
            <v>48.283616699999996</v>
          </cell>
          <cell r="G49">
            <v>32.450061300000002</v>
          </cell>
          <cell r="H49">
            <v>71.005335399999993</v>
          </cell>
          <cell r="I49">
            <v>122.0062195</v>
          </cell>
          <cell r="J49">
            <v>136.3989627</v>
          </cell>
          <cell r="K49">
            <v>153.81893869999999</v>
          </cell>
          <cell r="L49">
            <v>154.06884539999999</v>
          </cell>
          <cell r="M49">
            <v>124.3363421</v>
          </cell>
          <cell r="N49">
            <v>94.563951599999996</v>
          </cell>
        </row>
        <row r="50">
          <cell r="C50">
            <v>57.337101000000004</v>
          </cell>
          <cell r="D50">
            <v>34.6663651</v>
          </cell>
          <cell r="E50">
            <v>20.916935600000002</v>
          </cell>
          <cell r="F50">
            <v>29.124926299999998</v>
          </cell>
          <cell r="G50">
            <v>40.0913307</v>
          </cell>
          <cell r="H50">
            <v>59.6659243</v>
          </cell>
          <cell r="I50">
            <v>100.58270630000001</v>
          </cell>
          <cell r="J50">
            <v>135.36586209999999</v>
          </cell>
          <cell r="K50">
            <v>144.5077186</v>
          </cell>
          <cell r="L50">
            <v>141.72220670000002</v>
          </cell>
          <cell r="M50">
            <v>98.1990239</v>
          </cell>
          <cell r="N50">
            <v>93.2850526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9F9B-7CCC-4B91-BB9C-4AABF73DD266}">
  <dimension ref="A2:O10"/>
  <sheetViews>
    <sheetView workbookViewId="0">
      <selection activeCell="O7" sqref="O7"/>
    </sheetView>
  </sheetViews>
  <sheetFormatPr defaultRowHeight="15"/>
  <cols>
    <col min="1" max="1" width="13.7109375" customWidth="1"/>
    <col min="2" max="2" width="13.85546875" bestFit="1" customWidth="1"/>
    <col min="3" max="7" width="9.7109375" bestFit="1" customWidth="1"/>
    <col min="8" max="14" width="10.5703125" bestFit="1" customWidth="1"/>
  </cols>
  <sheetData>
    <row r="2" spans="1:15">
      <c r="A2" s="1">
        <v>2011</v>
      </c>
      <c r="B2" s="1" t="s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</row>
    <row r="3" spans="1:15" ht="15" customHeight="1">
      <c r="A3" s="69" t="s">
        <v>1</v>
      </c>
      <c r="B3" s="1" t="s">
        <v>2</v>
      </c>
      <c r="C3" s="2">
        <v>20.360220000000009</v>
      </c>
      <c r="D3" s="2">
        <v>13.233499999999999</v>
      </c>
      <c r="E3" s="2">
        <v>32.383919999999989</v>
      </c>
      <c r="F3" s="2">
        <v>22.10473</v>
      </c>
      <c r="G3" s="2">
        <v>13.201589999999999</v>
      </c>
      <c r="H3" s="2">
        <v>23.40821</v>
      </c>
      <c r="I3" s="2">
        <v>26.187750000000001</v>
      </c>
      <c r="J3" s="2">
        <v>32.645659999999999</v>
      </c>
      <c r="K3" s="2">
        <v>24.484770000000001</v>
      </c>
      <c r="L3" s="2">
        <v>57.841043999999997</v>
      </c>
      <c r="M3" s="2">
        <v>40.546990000000001</v>
      </c>
      <c r="N3" s="2">
        <v>35.038040000000002</v>
      </c>
    </row>
    <row r="4" spans="1:15">
      <c r="A4" s="70"/>
      <c r="B4" s="1" t="s">
        <v>3</v>
      </c>
      <c r="C4" s="2">
        <v>67.007400000000018</v>
      </c>
      <c r="D4" s="2">
        <v>33.693700000000078</v>
      </c>
      <c r="E4" s="2">
        <v>61.754800000000046</v>
      </c>
      <c r="F4" s="2">
        <v>58.139919999999996</v>
      </c>
      <c r="G4" s="2">
        <v>41.222000000000001</v>
      </c>
      <c r="H4" s="2">
        <v>134.8409</v>
      </c>
      <c r="I4" s="2">
        <v>138.4777</v>
      </c>
      <c r="J4" s="2">
        <v>165.65899999999999</v>
      </c>
      <c r="K4" s="2">
        <v>159.86539999999999</v>
      </c>
      <c r="L4" s="2">
        <v>186.99842699999999</v>
      </c>
      <c r="M4" s="2">
        <v>151.0607</v>
      </c>
      <c r="N4" s="2">
        <v>146.01929999999999</v>
      </c>
    </row>
    <row r="5" spans="1:15">
      <c r="A5" s="70"/>
      <c r="B5" s="1" t="s">
        <v>4</v>
      </c>
      <c r="C5" s="2">
        <v>45.438943999999999</v>
      </c>
      <c r="D5" s="2">
        <v>38.327629999999999</v>
      </c>
      <c r="E5" s="2">
        <v>40.162329999999997</v>
      </c>
      <c r="F5" s="2">
        <v>47.265079999999998</v>
      </c>
      <c r="G5" s="2">
        <v>44.839829999999999</v>
      </c>
      <c r="H5" s="2">
        <v>120.19458</v>
      </c>
      <c r="I5" s="2">
        <v>109.09842</v>
      </c>
      <c r="J5" s="2">
        <v>134.28808000000001</v>
      </c>
      <c r="K5" s="2">
        <v>139.98535999999999</v>
      </c>
      <c r="L5" s="2">
        <v>153.80945800000001</v>
      </c>
      <c r="M5" s="2">
        <v>121.84898</v>
      </c>
      <c r="N5" s="2">
        <v>111.80434</v>
      </c>
    </row>
    <row r="6" spans="1:15">
      <c r="A6" s="71"/>
      <c r="B6" s="1" t="s">
        <v>5</v>
      </c>
      <c r="C6" s="4">
        <f>SUM(C3:C5)</f>
        <v>132.80656400000004</v>
      </c>
      <c r="D6" s="4">
        <f t="shared" ref="D6:N6" si="0">SUM(D3:D5)</f>
        <v>85.254830000000084</v>
      </c>
      <c r="E6" s="4">
        <f t="shared" si="0"/>
        <v>134.30105000000003</v>
      </c>
      <c r="F6" s="4">
        <f t="shared" si="0"/>
        <v>127.50972999999999</v>
      </c>
      <c r="G6" s="4">
        <f t="shared" si="0"/>
        <v>99.263419999999996</v>
      </c>
      <c r="H6" s="4">
        <f t="shared" si="0"/>
        <v>278.44369</v>
      </c>
      <c r="I6" s="4">
        <f t="shared" si="0"/>
        <v>273.76387</v>
      </c>
      <c r="J6" s="4">
        <f t="shared" si="0"/>
        <v>332.59273999999999</v>
      </c>
      <c r="K6" s="4">
        <f t="shared" si="0"/>
        <v>324.33552999999995</v>
      </c>
      <c r="L6" s="4">
        <f t="shared" si="0"/>
        <v>398.64892900000001</v>
      </c>
      <c r="M6" s="4">
        <f t="shared" si="0"/>
        <v>313.45666999999997</v>
      </c>
      <c r="N6" s="4">
        <f t="shared" si="0"/>
        <v>292.86167999999998</v>
      </c>
      <c r="O6" s="5">
        <f>SUM(C6:N6)</f>
        <v>2793.238703</v>
      </c>
    </row>
    <row r="7" spans="1:15">
      <c r="A7" s="67" t="s">
        <v>6</v>
      </c>
      <c r="B7" s="1" t="s">
        <v>2</v>
      </c>
      <c r="C7" s="2">
        <v>38.738900836320433</v>
      </c>
      <c r="D7" s="2">
        <v>27.375714285714288</v>
      </c>
      <c r="E7" s="2">
        <v>31.266451612903225</v>
      </c>
      <c r="F7" s="2">
        <v>28.102333333333331</v>
      </c>
      <c r="G7" s="2">
        <v>44.50928248207201</v>
      </c>
      <c r="H7" s="2">
        <v>93.037875231509133</v>
      </c>
      <c r="I7" s="2">
        <v>99.70354838709676</v>
      </c>
      <c r="J7" s="2">
        <v>132.49586648744747</v>
      </c>
      <c r="K7" s="2">
        <v>178.27868518519443</v>
      </c>
      <c r="L7" s="2">
        <v>269.91673596172609</v>
      </c>
      <c r="M7" s="2">
        <v>114.62363580246019</v>
      </c>
      <c r="N7" s="2">
        <v>78.933500597372273</v>
      </c>
    </row>
    <row r="8" spans="1:15">
      <c r="A8" s="67"/>
      <c r="B8" s="1" t="s">
        <v>3</v>
      </c>
      <c r="C8" s="2">
        <v>102.52958002645522</v>
      </c>
      <c r="D8" s="2">
        <v>51.785294430271982</v>
      </c>
      <c r="E8" s="2">
        <v>95.840347648916222</v>
      </c>
      <c r="F8" s="2">
        <v>86.302944223985818</v>
      </c>
      <c r="G8" s="2">
        <v>63.986306856972021</v>
      </c>
      <c r="H8" s="2">
        <v>207.32219190917127</v>
      </c>
      <c r="I8" s="2">
        <v>206.37612220515447</v>
      </c>
      <c r="J8" s="2">
        <v>246.50640307646344</v>
      </c>
      <c r="K8" s="2">
        <v>256.36646108906535</v>
      </c>
      <c r="L8" s="2">
        <v>521.44681952978328</v>
      </c>
      <c r="M8" s="2">
        <v>296.26386893738993</v>
      </c>
      <c r="N8" s="2">
        <v>217.26831637224768</v>
      </c>
    </row>
    <row r="9" spans="1:15">
      <c r="A9" s="67"/>
      <c r="B9" s="1" t="s">
        <v>4</v>
      </c>
      <c r="C9" s="2">
        <v>138.14023297491042</v>
      </c>
      <c r="D9" s="2">
        <v>89.401537698412724</v>
      </c>
      <c r="E9" s="2">
        <v>119.4897700119474</v>
      </c>
      <c r="F9" s="2">
        <v>127.35358796296298</v>
      </c>
      <c r="G9" s="2">
        <v>113.12716547192353</v>
      </c>
      <c r="H9" s="2">
        <v>299.59664351851848</v>
      </c>
      <c r="I9" s="2">
        <v>287.3074970131421</v>
      </c>
      <c r="J9" s="2">
        <v>329.96972072879339</v>
      </c>
      <c r="K9" s="2">
        <v>378.19711293105644</v>
      </c>
      <c r="L9" s="2">
        <v>683.250186678614</v>
      </c>
      <c r="M9" s="2">
        <v>383.07581018518516</v>
      </c>
      <c r="N9" s="2">
        <v>278.49357078853046</v>
      </c>
    </row>
    <row r="10" spans="1:15" ht="29.25" customHeight="1">
      <c r="A10" s="68" t="s">
        <v>7</v>
      </c>
      <c r="B10" s="6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3">
    <mergeCell ref="A7:A9"/>
    <mergeCell ref="A10:B10"/>
    <mergeCell ref="A3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916D-B31E-4BDA-B0BF-C6608692DE02}">
  <dimension ref="A2:O10"/>
  <sheetViews>
    <sheetView workbookViewId="0">
      <selection activeCell="O7" sqref="O7"/>
    </sheetView>
  </sheetViews>
  <sheetFormatPr defaultRowHeight="15"/>
  <cols>
    <col min="1" max="1" width="13.7109375" customWidth="1"/>
    <col min="2" max="2" width="13.85546875" bestFit="1" customWidth="1"/>
    <col min="3" max="7" width="9.7109375" bestFit="1" customWidth="1"/>
    <col min="8" max="14" width="10.5703125" bestFit="1" customWidth="1"/>
  </cols>
  <sheetData>
    <row r="2" spans="1:15">
      <c r="A2" s="1">
        <v>2012</v>
      </c>
      <c r="B2" s="1" t="s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</row>
    <row r="3" spans="1:15" ht="15" customHeight="1">
      <c r="A3" s="69" t="s">
        <v>1</v>
      </c>
      <c r="B3" s="1" t="s">
        <v>2</v>
      </c>
      <c r="C3" s="2">
        <v>17.593199999999996</v>
      </c>
      <c r="D3" s="2">
        <v>24.945170000000036</v>
      </c>
      <c r="E3" s="2">
        <v>30.776419999999984</v>
      </c>
      <c r="F3" s="2">
        <v>18.331620000000012</v>
      </c>
      <c r="G3" s="2">
        <v>32.240810000000003</v>
      </c>
      <c r="H3" s="2">
        <v>18.239860000000004</v>
      </c>
      <c r="I3" s="2">
        <v>23.386310000000002</v>
      </c>
      <c r="J3" s="2">
        <v>24.5884</v>
      </c>
      <c r="K3" s="2">
        <v>20.333479999999973</v>
      </c>
      <c r="L3" s="2">
        <v>61.827579999999998</v>
      </c>
      <c r="M3" s="2">
        <v>45.540440000000011</v>
      </c>
      <c r="N3" s="2">
        <v>26.213860000000061</v>
      </c>
    </row>
    <row r="4" spans="1:15">
      <c r="A4" s="70"/>
      <c r="B4" s="1" t="s">
        <v>3</v>
      </c>
      <c r="C4" s="2">
        <v>72.359699999999918</v>
      </c>
      <c r="D4" s="2">
        <v>54.996000000000002</v>
      </c>
      <c r="E4" s="2">
        <v>64.928100000000001</v>
      </c>
      <c r="F4" s="2">
        <v>85.383000000000095</v>
      </c>
      <c r="G4" s="2">
        <v>107.47929999999999</v>
      </c>
      <c r="H4" s="2">
        <v>71.381799999999842</v>
      </c>
      <c r="I4" s="2">
        <v>90.200800000000001</v>
      </c>
      <c r="J4" s="2">
        <v>89.815389999999994</v>
      </c>
      <c r="K4" s="2">
        <v>129.15731</v>
      </c>
      <c r="L4" s="2">
        <v>197.96340000000001</v>
      </c>
      <c r="M4" s="2">
        <v>126.4997</v>
      </c>
      <c r="N4" s="2">
        <v>60.75250000000004</v>
      </c>
    </row>
    <row r="5" spans="1:15">
      <c r="A5" s="70"/>
      <c r="B5" s="1" t="s">
        <v>4</v>
      </c>
      <c r="C5" s="2">
        <v>59.674320000000016</v>
      </c>
      <c r="D5" s="2">
        <v>45.210730000000012</v>
      </c>
      <c r="E5" s="2">
        <v>53.45089999999994</v>
      </c>
      <c r="F5" s="2">
        <v>68.856030000000075</v>
      </c>
      <c r="G5" s="2">
        <v>89.703590000000005</v>
      </c>
      <c r="H5" s="2">
        <v>59.162539999999971</v>
      </c>
      <c r="I5" s="2">
        <v>85.503100000000003</v>
      </c>
      <c r="J5" s="2">
        <v>70.413399999999996</v>
      </c>
      <c r="K5" s="2">
        <v>128.244</v>
      </c>
      <c r="L5" s="2">
        <v>162.03149999999999</v>
      </c>
      <c r="M5" s="2">
        <v>98.273500000000027</v>
      </c>
      <c r="N5" s="2">
        <v>51.891899999999985</v>
      </c>
    </row>
    <row r="6" spans="1:15">
      <c r="A6" s="71"/>
      <c r="B6" s="1" t="s">
        <v>5</v>
      </c>
      <c r="C6" s="4">
        <f>SUM(C3:C5)</f>
        <v>149.62721999999994</v>
      </c>
      <c r="D6" s="4">
        <f t="shared" ref="D6:N6" si="0">SUM(D3:D5)</f>
        <v>125.15190000000005</v>
      </c>
      <c r="E6" s="4">
        <f t="shared" si="0"/>
        <v>149.15541999999994</v>
      </c>
      <c r="F6" s="4">
        <f t="shared" si="0"/>
        <v>172.57065000000017</v>
      </c>
      <c r="G6" s="4">
        <f t="shared" si="0"/>
        <v>229.4237</v>
      </c>
      <c r="H6" s="4">
        <f t="shared" si="0"/>
        <v>148.78419999999983</v>
      </c>
      <c r="I6" s="4">
        <f t="shared" si="0"/>
        <v>199.09021000000001</v>
      </c>
      <c r="J6" s="4">
        <f t="shared" si="0"/>
        <v>184.81718999999998</v>
      </c>
      <c r="K6" s="4">
        <f t="shared" si="0"/>
        <v>277.73478999999998</v>
      </c>
      <c r="L6" s="4">
        <f t="shared" si="0"/>
        <v>421.82247999999998</v>
      </c>
      <c r="M6" s="4">
        <f t="shared" si="0"/>
        <v>270.31364000000002</v>
      </c>
      <c r="N6" s="4">
        <f t="shared" si="0"/>
        <v>138.85826000000009</v>
      </c>
      <c r="O6" s="5">
        <f>SUM(C6:N6)</f>
        <v>2467.3496599999999</v>
      </c>
    </row>
    <row r="7" spans="1:15">
      <c r="A7" s="67" t="s">
        <v>6</v>
      </c>
      <c r="B7" s="1" t="s">
        <v>2</v>
      </c>
      <c r="C7" s="2">
        <v>55.972894265237954</v>
      </c>
      <c r="D7" s="2">
        <v>40.181792784181681</v>
      </c>
      <c r="E7" s="2">
        <v>32.362717517938343</v>
      </c>
      <c r="F7" s="2">
        <v>67.798986111149347</v>
      </c>
      <c r="G7" s="2">
        <v>64.25935573475536</v>
      </c>
      <c r="H7" s="2">
        <v>69.118345679022283</v>
      </c>
      <c r="I7" s="2">
        <v>99.439608721656029</v>
      </c>
      <c r="J7" s="2">
        <v>99.352768070596838</v>
      </c>
      <c r="K7" s="2">
        <v>216.54865725316139</v>
      </c>
      <c r="L7" s="2">
        <v>230.99617682199681</v>
      </c>
      <c r="M7" s="2">
        <v>85.825743827153886</v>
      </c>
      <c r="N7" s="2">
        <v>50.229206989236509</v>
      </c>
    </row>
    <row r="8" spans="1:15">
      <c r="A8" s="67"/>
      <c r="B8" s="1" t="s">
        <v>3</v>
      </c>
      <c r="C8" s="2">
        <v>107.80450588837699</v>
      </c>
      <c r="D8" s="2">
        <v>88.781740216201243</v>
      </c>
      <c r="E8" s="2">
        <v>106.74732334869441</v>
      </c>
      <c r="F8" s="2">
        <v>139.19058366402078</v>
      </c>
      <c r="G8" s="2">
        <v>166.96087493599643</v>
      </c>
      <c r="H8" s="2">
        <v>117.49010714285684</v>
      </c>
      <c r="I8" s="2">
        <v>142.87829781106007</v>
      </c>
      <c r="J8" s="2">
        <v>138.94242906212671</v>
      </c>
      <c r="K8" s="2">
        <v>215.86120590828926</v>
      </c>
      <c r="L8" s="2">
        <v>396.08518219832735</v>
      </c>
      <c r="M8" s="2">
        <v>198.77781889329799</v>
      </c>
      <c r="N8" s="2">
        <v>100.21832853302611</v>
      </c>
    </row>
    <row r="9" spans="1:15">
      <c r="A9" s="67"/>
      <c r="B9" s="1" t="s">
        <v>4</v>
      </c>
      <c r="C9" s="2">
        <v>149.43791069295096</v>
      </c>
      <c r="D9" s="2">
        <v>119.94284802043421</v>
      </c>
      <c r="E9" s="2">
        <v>131.32459677419348</v>
      </c>
      <c r="F9" s="2">
        <v>178.58927469135804</v>
      </c>
      <c r="G9" s="2">
        <v>222.09613948626043</v>
      </c>
      <c r="H9" s="2">
        <v>159.66053950617285</v>
      </c>
      <c r="I9" s="2">
        <v>198.99249551971323</v>
      </c>
      <c r="J9" s="2">
        <v>186.69590053763443</v>
      </c>
      <c r="K9" s="2">
        <v>341.46844135802468</v>
      </c>
      <c r="L9" s="2">
        <v>503.63967293906796</v>
      </c>
      <c r="M9" s="2">
        <v>251.19641203703711</v>
      </c>
      <c r="N9" s="2">
        <v>120.805667562724</v>
      </c>
    </row>
    <row r="10" spans="1:15" ht="29.25" customHeight="1">
      <c r="A10" s="68" t="s">
        <v>7</v>
      </c>
      <c r="B10" s="6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3">
    <mergeCell ref="A3:A6"/>
    <mergeCell ref="A7:A9"/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7B92C-AE10-4EED-8E82-F49BF7575926}">
  <dimension ref="A2:O10"/>
  <sheetViews>
    <sheetView workbookViewId="0">
      <selection activeCell="O7" sqref="O7"/>
    </sheetView>
  </sheetViews>
  <sheetFormatPr defaultRowHeight="15"/>
  <cols>
    <col min="1" max="1" width="13.7109375" customWidth="1"/>
    <col min="2" max="2" width="13.85546875" bestFit="1" customWidth="1"/>
    <col min="3" max="7" width="9.7109375" bestFit="1" customWidth="1"/>
    <col min="8" max="14" width="10.5703125" bestFit="1" customWidth="1"/>
  </cols>
  <sheetData>
    <row r="2" spans="1:15">
      <c r="A2" s="1">
        <v>2013</v>
      </c>
      <c r="B2" s="1" t="s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</row>
    <row r="3" spans="1:15" ht="15" customHeight="1">
      <c r="A3" s="69" t="s">
        <v>1</v>
      </c>
      <c r="B3" s="1" t="s">
        <v>2</v>
      </c>
      <c r="C3" s="2">
        <v>14.871199999999954</v>
      </c>
      <c r="D3" s="2">
        <v>12.562000000000058</v>
      </c>
      <c r="E3" s="2">
        <v>19.831499999999998</v>
      </c>
      <c r="F3" s="2">
        <v>15.300799999999988</v>
      </c>
      <c r="G3" s="2">
        <v>14.842599999999917</v>
      </c>
      <c r="H3" s="2">
        <v>25.203587000000027</v>
      </c>
      <c r="I3" s="2">
        <v>28.08679999999999</v>
      </c>
      <c r="J3" s="2">
        <v>28.797600000000035</v>
      </c>
      <c r="K3" s="2">
        <v>27.668199999999956</v>
      </c>
      <c r="L3" s="2">
        <v>52.665999999999997</v>
      </c>
      <c r="M3" s="2">
        <v>29.38620000000007</v>
      </c>
      <c r="N3" s="2">
        <v>23.657800000000044</v>
      </c>
    </row>
    <row r="4" spans="1:15">
      <c r="A4" s="70"/>
      <c r="B4" s="1" t="s">
        <v>3</v>
      </c>
      <c r="C4" s="2">
        <v>40.030200000000015</v>
      </c>
      <c r="D4" s="2">
        <v>19.726500000000001</v>
      </c>
      <c r="E4" s="2">
        <v>37.599799999999988</v>
      </c>
      <c r="F4" s="2">
        <v>30.851000000000059</v>
      </c>
      <c r="G4" s="2">
        <v>48.609899999999961</v>
      </c>
      <c r="H4" s="2">
        <v>101.43201999999999</v>
      </c>
      <c r="I4" s="2">
        <v>131.56860000000009</v>
      </c>
      <c r="J4" s="2">
        <v>123.13280000000005</v>
      </c>
      <c r="K4" s="2">
        <v>101.00589999999991</v>
      </c>
      <c r="L4" s="2">
        <v>171.20660000000009</v>
      </c>
      <c r="M4" s="2">
        <v>137.92039999999992</v>
      </c>
      <c r="N4" s="2">
        <v>92.884300000000039</v>
      </c>
    </row>
    <row r="5" spans="1:15">
      <c r="A5" s="70"/>
      <c r="B5" s="1" t="s">
        <v>4</v>
      </c>
      <c r="C5" s="2">
        <v>29.3931</v>
      </c>
      <c r="D5" s="2">
        <v>19.736499999999999</v>
      </c>
      <c r="E5" s="2">
        <v>34.728999999999999</v>
      </c>
      <c r="F5" s="2">
        <v>29.226700000000012</v>
      </c>
      <c r="G5" s="2">
        <v>42.762400000000021</v>
      </c>
      <c r="H5" s="2">
        <v>95.330377999999982</v>
      </c>
      <c r="I5" s="2">
        <v>117.224</v>
      </c>
      <c r="J5" s="2">
        <v>109.45139999999996</v>
      </c>
      <c r="K5" s="2">
        <v>92.450600000000094</v>
      </c>
      <c r="L5" s="2">
        <v>144.62429999999995</v>
      </c>
      <c r="M5" s="2">
        <v>108.65509999999998</v>
      </c>
      <c r="N5" s="2">
        <v>73.272799999999918</v>
      </c>
    </row>
    <row r="6" spans="1:15">
      <c r="A6" s="71"/>
      <c r="B6" s="1" t="s">
        <v>5</v>
      </c>
      <c r="C6" s="4">
        <f>SUM(C3:C5)</f>
        <v>84.294499999999971</v>
      </c>
      <c r="D6" s="4">
        <f t="shared" ref="D6:N6" si="0">SUM(D3:D5)</f>
        <v>52.025000000000055</v>
      </c>
      <c r="E6" s="4">
        <f t="shared" si="0"/>
        <v>92.160299999999978</v>
      </c>
      <c r="F6" s="4">
        <f t="shared" si="0"/>
        <v>75.378500000000059</v>
      </c>
      <c r="G6" s="4">
        <f t="shared" si="0"/>
        <v>106.2148999999999</v>
      </c>
      <c r="H6" s="4">
        <f t="shared" si="0"/>
        <v>221.96598499999999</v>
      </c>
      <c r="I6" s="4">
        <f t="shared" si="0"/>
        <v>276.87940000000009</v>
      </c>
      <c r="J6" s="4">
        <f t="shared" si="0"/>
        <v>261.38180000000006</v>
      </c>
      <c r="K6" s="4">
        <f t="shared" si="0"/>
        <v>221.12469999999996</v>
      </c>
      <c r="L6" s="4">
        <f t="shared" si="0"/>
        <v>368.49690000000004</v>
      </c>
      <c r="M6" s="4">
        <f t="shared" si="0"/>
        <v>275.96169999999995</v>
      </c>
      <c r="N6" s="4">
        <f t="shared" si="0"/>
        <v>189.81490000000002</v>
      </c>
      <c r="O6" s="5">
        <f>SUM(C6:N6)</f>
        <v>2225.6985850000001</v>
      </c>
    </row>
    <row r="7" spans="1:15">
      <c r="A7" s="67" t="s">
        <v>6</v>
      </c>
      <c r="B7" s="1" t="s">
        <v>2</v>
      </c>
      <c r="C7" s="2">
        <v>41.046547192375925</v>
      </c>
      <c r="D7" s="2">
        <v>28.786989252657925</v>
      </c>
      <c r="E7" s="2">
        <v>25.524187948015204</v>
      </c>
      <c r="F7" s="2">
        <v>31.451485185186737</v>
      </c>
      <c r="G7" s="2">
        <v>50.590147849364676</v>
      </c>
      <c r="H7" s="2">
        <v>99.378532407469706</v>
      </c>
      <c r="I7" s="2">
        <v>133.13818443851662</v>
      </c>
      <c r="J7" s="2">
        <v>128.81654136793136</v>
      </c>
      <c r="K7" s="2">
        <v>188.24694506176547</v>
      </c>
      <c r="L7" s="2">
        <v>161.75350209077899</v>
      </c>
      <c r="M7" s="2">
        <v>97.149582716033137</v>
      </c>
      <c r="N7" s="2">
        <v>56.430753882905776</v>
      </c>
    </row>
    <row r="8" spans="1:15">
      <c r="A8" s="67"/>
      <c r="B8" s="1" t="s">
        <v>3</v>
      </c>
      <c r="C8" s="2">
        <v>63.127122162485023</v>
      </c>
      <c r="D8" s="2">
        <v>43.621884684429475</v>
      </c>
      <c r="E8" s="2">
        <v>60.75331050520559</v>
      </c>
      <c r="F8" s="2">
        <v>56.528831018518559</v>
      </c>
      <c r="G8" s="2">
        <v>79.147663637139445</v>
      </c>
      <c r="H8" s="2">
        <v>159.44252854938259</v>
      </c>
      <c r="I8" s="2">
        <v>202.28723438300059</v>
      </c>
      <c r="J8" s="2">
        <v>193.73232430875589</v>
      </c>
      <c r="K8" s="2">
        <v>247.08142636684292</v>
      </c>
      <c r="L8" s="2">
        <v>397.59521836064187</v>
      </c>
      <c r="M8" s="2">
        <v>242.35144257054662</v>
      </c>
      <c r="N8" s="2">
        <v>141.83356086789553</v>
      </c>
    </row>
    <row r="9" spans="1:15">
      <c r="A9" s="67"/>
      <c r="B9" s="1" t="s">
        <v>4</v>
      </c>
      <c r="C9" s="2">
        <v>87.389783452807649</v>
      </c>
      <c r="D9" s="2">
        <v>56.888558201058196</v>
      </c>
      <c r="E9" s="2">
        <v>82.588298984479849</v>
      </c>
      <c r="F9" s="2">
        <v>73.786033950617281</v>
      </c>
      <c r="G9" s="2">
        <v>109.71456839904421</v>
      </c>
      <c r="H9" s="2">
        <v>242.06338734567896</v>
      </c>
      <c r="I9" s="2">
        <v>292.04648297491036</v>
      </c>
      <c r="J9" s="2">
        <v>270.01631571087222</v>
      </c>
      <c r="K9" s="2">
        <v>354.64918981481486</v>
      </c>
      <c r="L9" s="2">
        <v>491.37925627240139</v>
      </c>
      <c r="M9" s="2">
        <v>293.03302469135798</v>
      </c>
      <c r="N9" s="2">
        <v>175.15001493428915</v>
      </c>
    </row>
    <row r="10" spans="1:15" ht="29.25" customHeight="1">
      <c r="A10" s="68" t="s">
        <v>7</v>
      </c>
      <c r="B10" s="6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3">
    <mergeCell ref="A3:A6"/>
    <mergeCell ref="A7:A9"/>
    <mergeCell ref="A10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6019-931F-4D52-BB65-7BB108200FDE}">
  <dimension ref="A2:O10"/>
  <sheetViews>
    <sheetView workbookViewId="0">
      <selection activeCell="O7" sqref="O7"/>
    </sheetView>
  </sheetViews>
  <sheetFormatPr defaultRowHeight="15"/>
  <cols>
    <col min="1" max="1" width="13.7109375" customWidth="1"/>
    <col min="2" max="2" width="13.85546875" bestFit="1" customWidth="1"/>
    <col min="3" max="7" width="9.7109375" bestFit="1" customWidth="1"/>
    <col min="8" max="14" width="10.5703125" bestFit="1" customWidth="1"/>
  </cols>
  <sheetData>
    <row r="2" spans="1:15">
      <c r="A2" s="1">
        <v>2014</v>
      </c>
      <c r="B2" s="1" t="s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</row>
    <row r="3" spans="1:15" ht="15" customHeight="1">
      <c r="A3" s="69" t="s">
        <v>1</v>
      </c>
      <c r="B3" s="1" t="s">
        <v>2</v>
      </c>
      <c r="C3" s="2">
        <v>25.792999999999999</v>
      </c>
      <c r="D3" s="2">
        <v>25.095699999999955</v>
      </c>
      <c r="E3" s="2">
        <v>29.489099999999979</v>
      </c>
      <c r="F3" s="2">
        <v>14.045010000000008</v>
      </c>
      <c r="G3" s="2">
        <v>10.383187</v>
      </c>
      <c r="H3" s="2">
        <v>19.245000000000001</v>
      </c>
      <c r="I3" s="2">
        <v>42.027600000000092</v>
      </c>
      <c r="J3" s="2">
        <v>38.610900000000022</v>
      </c>
      <c r="K3" s="2">
        <v>32.21689999999991</v>
      </c>
      <c r="L3" s="2">
        <v>50.42570000000007</v>
      </c>
      <c r="M3" s="2">
        <v>17.23429999999993</v>
      </c>
      <c r="N3" s="2">
        <v>17.038914999999978</v>
      </c>
    </row>
    <row r="4" spans="1:15">
      <c r="A4" s="70"/>
      <c r="B4" s="1" t="s">
        <v>3</v>
      </c>
      <c r="C4" s="2">
        <v>57.855299999999936</v>
      </c>
      <c r="D4" s="2">
        <v>47.695400000000021</v>
      </c>
      <c r="E4" s="2">
        <v>58.585300000000046</v>
      </c>
      <c r="F4" s="2">
        <v>35.451799999999935</v>
      </c>
      <c r="G4" s="2">
        <v>47.9816</v>
      </c>
      <c r="H4" s="2">
        <v>79.421700000000058</v>
      </c>
      <c r="I4" s="2">
        <v>193.58380000000005</v>
      </c>
      <c r="J4" s="2">
        <v>187.19009999999986</v>
      </c>
      <c r="K4" s="2">
        <v>151.37049999999999</v>
      </c>
      <c r="L4" s="2">
        <v>156.67130000000006</v>
      </c>
      <c r="M4" s="2">
        <v>69.214499999999759</v>
      </c>
      <c r="N4" s="2">
        <v>59.488500000000002</v>
      </c>
    </row>
    <row r="5" spans="1:15">
      <c r="A5" s="70"/>
      <c r="B5" s="1" t="s">
        <v>4</v>
      </c>
      <c r="C5" s="2">
        <v>42.385599999999975</v>
      </c>
      <c r="D5" s="2">
        <v>40.999900000000139</v>
      </c>
      <c r="E5" s="2">
        <v>41.354299999999931</v>
      </c>
      <c r="F5" s="2">
        <v>30.1175</v>
      </c>
      <c r="G5" s="2">
        <v>46.607299999999952</v>
      </c>
      <c r="H5" s="2">
        <v>74.887100000000089</v>
      </c>
      <c r="I5" s="2">
        <v>157.55799999999999</v>
      </c>
      <c r="J5" s="2">
        <v>156.83119999999994</v>
      </c>
      <c r="K5" s="2">
        <v>126.20710000000021</v>
      </c>
      <c r="L5" s="2">
        <v>121.09479999999982</v>
      </c>
      <c r="M5" s="2">
        <v>59.804499999999997</v>
      </c>
      <c r="N5" s="2">
        <v>38.710599999999857</v>
      </c>
    </row>
    <row r="6" spans="1:15">
      <c r="A6" s="71"/>
      <c r="B6" s="1" t="s">
        <v>5</v>
      </c>
      <c r="C6" s="4">
        <f>SUM(C3:C5)</f>
        <v>126.0338999999999</v>
      </c>
      <c r="D6" s="4">
        <f t="shared" ref="D6:N6" si="0">SUM(D3:D5)</f>
        <v>113.79100000000011</v>
      </c>
      <c r="E6" s="4">
        <f t="shared" si="0"/>
        <v>129.42869999999996</v>
      </c>
      <c r="F6" s="4">
        <f t="shared" si="0"/>
        <v>79.614309999999932</v>
      </c>
      <c r="G6" s="4">
        <f t="shared" si="0"/>
        <v>104.97208699999996</v>
      </c>
      <c r="H6" s="4">
        <f t="shared" si="0"/>
        <v>173.55380000000014</v>
      </c>
      <c r="I6" s="4">
        <f t="shared" si="0"/>
        <v>393.16940000000011</v>
      </c>
      <c r="J6" s="4">
        <f t="shared" si="0"/>
        <v>382.63219999999978</v>
      </c>
      <c r="K6" s="4">
        <f t="shared" si="0"/>
        <v>309.79450000000008</v>
      </c>
      <c r="L6" s="4">
        <f t="shared" si="0"/>
        <v>328.19179999999994</v>
      </c>
      <c r="M6" s="4">
        <f t="shared" si="0"/>
        <v>146.25329999999968</v>
      </c>
      <c r="N6" s="4">
        <f t="shared" si="0"/>
        <v>115.23801499999983</v>
      </c>
      <c r="O6" s="5">
        <f>SUM(C6:N6)</f>
        <v>2402.6730119999997</v>
      </c>
    </row>
    <row r="7" spans="1:15">
      <c r="A7" s="67" t="s">
        <v>6</v>
      </c>
      <c r="B7" s="1" t="s">
        <v>2</v>
      </c>
      <c r="C7" s="2">
        <v>35.146559737070518</v>
      </c>
      <c r="D7" s="2">
        <v>27.15906580688775</v>
      </c>
      <c r="E7" s="2">
        <v>23.631079375733613</v>
      </c>
      <c r="F7" s="2">
        <v>40.349888271594381</v>
      </c>
      <c r="G7" s="2">
        <v>51.112523894887069</v>
      </c>
      <c r="H7" s="2">
        <v>91.451206790143999</v>
      </c>
      <c r="I7" s="2">
        <v>161.72910170254349</v>
      </c>
      <c r="J7" s="2">
        <v>192.08524955206752</v>
      </c>
      <c r="K7" s="2">
        <v>178.71934567903116</v>
      </c>
      <c r="L7" s="2">
        <v>117.00135394264403</v>
      </c>
      <c r="M7" s="2">
        <v>66.744210493805511</v>
      </c>
      <c r="N7" s="2">
        <v>56.586698924764292</v>
      </c>
    </row>
    <row r="8" spans="1:15">
      <c r="A8" s="67"/>
      <c r="B8" s="1" t="s">
        <v>3</v>
      </c>
      <c r="C8" s="2">
        <v>93.210677910052809</v>
      </c>
      <c r="D8" s="2">
        <v>85.132578184051411</v>
      </c>
      <c r="E8" s="2">
        <v>96.811324884792711</v>
      </c>
      <c r="F8" s="2">
        <v>61.1311642416225</v>
      </c>
      <c r="G8" s="2">
        <v>75.179119623655993</v>
      </c>
      <c r="H8" s="2">
        <v>132.88200782627877</v>
      </c>
      <c r="I8" s="2">
        <v>298.58465843147297</v>
      </c>
      <c r="J8" s="2">
        <v>310.1737245050349</v>
      </c>
      <c r="K8" s="2">
        <v>254.12894609788364</v>
      </c>
      <c r="L8" s="2">
        <v>239.04484745690414</v>
      </c>
      <c r="M8" s="2">
        <v>111.36380731922345</v>
      </c>
      <c r="N8" s="2">
        <v>98.869481886840703</v>
      </c>
    </row>
    <row r="9" spans="1:15">
      <c r="A9" s="67"/>
      <c r="B9" s="1" t="s">
        <v>4</v>
      </c>
      <c r="C9" s="2">
        <v>112.5440934886502</v>
      </c>
      <c r="D9" s="2">
        <v>99.778604497354465</v>
      </c>
      <c r="E9" s="2">
        <v>107.20041816009561</v>
      </c>
      <c r="F9" s="2">
        <v>83.122756172839487</v>
      </c>
      <c r="G9" s="2">
        <v>116.29652031063323</v>
      </c>
      <c r="H9" s="2">
        <v>190.05412808641978</v>
      </c>
      <c r="I9" s="2">
        <v>406.1687948028673</v>
      </c>
      <c r="J9" s="2">
        <v>409.37731481481484</v>
      </c>
      <c r="K9" s="2">
        <v>340.22951388888879</v>
      </c>
      <c r="L9" s="2">
        <v>303.00462962962968</v>
      </c>
      <c r="M9" s="2">
        <v>143.02083333333334</v>
      </c>
      <c r="N9" s="2">
        <v>120.2848342293907</v>
      </c>
    </row>
    <row r="10" spans="1:15" ht="29.25" customHeight="1">
      <c r="A10" s="68" t="s">
        <v>7</v>
      </c>
      <c r="B10" s="6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3">
    <mergeCell ref="A3:A6"/>
    <mergeCell ref="A7:A9"/>
    <mergeCell ref="A10:B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F51C-032E-441A-A7D7-DA4F0877936E}">
  <dimension ref="A2:O10"/>
  <sheetViews>
    <sheetView workbookViewId="0">
      <selection activeCell="O7" sqref="O7"/>
    </sheetView>
  </sheetViews>
  <sheetFormatPr defaultRowHeight="15"/>
  <cols>
    <col min="1" max="1" width="13.7109375" customWidth="1"/>
    <col min="2" max="2" width="13.85546875" bestFit="1" customWidth="1"/>
    <col min="3" max="7" width="9.7109375" bestFit="1" customWidth="1"/>
    <col min="8" max="14" width="10.5703125" bestFit="1" customWidth="1"/>
  </cols>
  <sheetData>
    <row r="2" spans="1:15">
      <c r="A2" s="1">
        <v>2015</v>
      </c>
      <c r="B2" s="1" t="s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</row>
    <row r="3" spans="1:15" ht="15" customHeight="1">
      <c r="A3" s="69" t="s">
        <v>1</v>
      </c>
      <c r="B3" s="1" t="s">
        <v>2</v>
      </c>
      <c r="C3" s="2">
        <v>19.655700000000071</v>
      </c>
      <c r="D3" s="2">
        <v>16.195399999999907</v>
      </c>
      <c r="E3" s="2">
        <v>21.992599999999978</v>
      </c>
      <c r="F3" s="2">
        <v>19.548800000000163</v>
      </c>
      <c r="G3" s="2">
        <v>14.585599999999861</v>
      </c>
      <c r="H3" s="2">
        <v>16.866854000000092</v>
      </c>
      <c r="I3" s="2">
        <v>30.453499999999998</v>
      </c>
      <c r="J3" s="2">
        <v>23.635599999999979</v>
      </c>
      <c r="K3" s="2">
        <v>10.946999999999999</v>
      </c>
      <c r="L3" s="2">
        <v>5.6862000000000696</v>
      </c>
      <c r="M3" s="2">
        <v>6.8305999999999765</v>
      </c>
      <c r="N3" s="2">
        <v>11.53079999999993</v>
      </c>
    </row>
    <row r="4" spans="1:15">
      <c r="A4" s="70"/>
      <c r="B4" s="1" t="s">
        <v>3</v>
      </c>
      <c r="C4" s="2">
        <v>49.948200000000185</v>
      </c>
      <c r="D4" s="2">
        <v>28.301700000000185</v>
      </c>
      <c r="E4" s="2">
        <v>35.698799999999814</v>
      </c>
      <c r="F4" s="2">
        <v>35.858400000000138</v>
      </c>
      <c r="G4" s="2">
        <v>34.967299999999817</v>
      </c>
      <c r="H4" s="2">
        <v>56.235633</v>
      </c>
      <c r="I4" s="2">
        <v>110.37619999999995</v>
      </c>
      <c r="J4" s="2">
        <v>119.47640000000014</v>
      </c>
      <c r="K4" s="2">
        <v>95.11</v>
      </c>
      <c r="L4" s="2">
        <v>71.211299999999824</v>
      </c>
      <c r="M4" s="2">
        <v>51.643500000000003</v>
      </c>
      <c r="N4" s="2">
        <v>47.109500000000232</v>
      </c>
    </row>
    <row r="5" spans="1:15">
      <c r="A5" s="70"/>
      <c r="B5" s="1" t="s">
        <v>4</v>
      </c>
      <c r="C5" s="2">
        <v>42.550300000000043</v>
      </c>
      <c r="D5" s="2">
        <v>28.215899999999905</v>
      </c>
      <c r="E5" s="2">
        <v>25.004600000000327</v>
      </c>
      <c r="F5" s="2">
        <v>36.213099999999855</v>
      </c>
      <c r="G5" s="2">
        <v>26.331800000000044</v>
      </c>
      <c r="H5" s="2">
        <v>52.941454000000142</v>
      </c>
      <c r="I5" s="2">
        <v>82.643899999999675</v>
      </c>
      <c r="J5" s="2">
        <v>94.82080000000029</v>
      </c>
      <c r="K5" s="2">
        <v>80.047099999999872</v>
      </c>
      <c r="L5" s="2">
        <v>72.551099999999863</v>
      </c>
      <c r="M5" s="2">
        <v>43.626400000000132</v>
      </c>
      <c r="N5" s="2">
        <v>32.681399999999904</v>
      </c>
    </row>
    <row r="6" spans="1:15">
      <c r="A6" s="71"/>
      <c r="B6" s="1" t="s">
        <v>5</v>
      </c>
      <c r="C6" s="4">
        <f>SUM(C3:C5)</f>
        <v>112.15420000000029</v>
      </c>
      <c r="D6" s="4">
        <f t="shared" ref="D6:N6" si="0">SUM(D3:D5)</f>
        <v>72.712999999999994</v>
      </c>
      <c r="E6" s="4">
        <f t="shared" si="0"/>
        <v>82.696000000000112</v>
      </c>
      <c r="F6" s="4">
        <f t="shared" si="0"/>
        <v>91.620300000000157</v>
      </c>
      <c r="G6" s="4">
        <f t="shared" si="0"/>
        <v>75.884699999999725</v>
      </c>
      <c r="H6" s="4">
        <f t="shared" si="0"/>
        <v>126.04394100000025</v>
      </c>
      <c r="I6" s="4">
        <f t="shared" si="0"/>
        <v>223.47359999999964</v>
      </c>
      <c r="J6" s="4">
        <f t="shared" si="0"/>
        <v>237.93280000000038</v>
      </c>
      <c r="K6" s="4">
        <f t="shared" si="0"/>
        <v>186.10409999999987</v>
      </c>
      <c r="L6" s="4">
        <f t="shared" si="0"/>
        <v>149.44859999999977</v>
      </c>
      <c r="M6" s="4">
        <f t="shared" si="0"/>
        <v>102.10050000000011</v>
      </c>
      <c r="N6" s="4">
        <f t="shared" si="0"/>
        <v>91.321700000000064</v>
      </c>
      <c r="O6" s="5">
        <f>SUM(C6:N6)</f>
        <v>1551.4934410000001</v>
      </c>
    </row>
    <row r="7" spans="1:15">
      <c r="A7" s="67" t="s">
        <v>6</v>
      </c>
      <c r="B7" s="1" t="s">
        <v>2</v>
      </c>
      <c r="C7" s="2">
        <v>36.899219235444427</v>
      </c>
      <c r="D7" s="2">
        <v>27.700377976303493</v>
      </c>
      <c r="E7" s="2">
        <v>21.834744250359524</v>
      </c>
      <c r="F7" s="2">
        <v>20.873681249971828</v>
      </c>
      <c r="G7" s="2">
        <v>32.755230510842587</v>
      </c>
      <c r="H7" s="2">
        <v>65.172759490823239</v>
      </c>
      <c r="I7" s="2">
        <v>84.748947207350341</v>
      </c>
      <c r="J7" s="2">
        <v>100.64193548387097</v>
      </c>
      <c r="K7" s="2">
        <v>89.368023865740454</v>
      </c>
      <c r="L7" s="2">
        <v>95.338733042582007</v>
      </c>
      <c r="M7" s="2">
        <v>65.611737461419381</v>
      </c>
      <c r="N7" s="2">
        <v>49.560215247355998</v>
      </c>
    </row>
    <row r="8" spans="1:15">
      <c r="A8" s="67"/>
      <c r="B8" s="1" t="s">
        <v>3</v>
      </c>
      <c r="C8" s="2">
        <v>76.865498165216209</v>
      </c>
      <c r="D8" s="2">
        <v>53.108223379629898</v>
      </c>
      <c r="E8" s="2">
        <v>58.292600486430885</v>
      </c>
      <c r="F8" s="2">
        <v>59.105111552028433</v>
      </c>
      <c r="G8" s="2">
        <v>58.009430683563444</v>
      </c>
      <c r="H8" s="2">
        <v>91.987962119708982</v>
      </c>
      <c r="I8" s="2">
        <v>170.74672533708821</v>
      </c>
      <c r="J8" s="2">
        <v>182.65645161290325</v>
      </c>
      <c r="K8" s="2">
        <v>151.25768606701936</v>
      </c>
      <c r="L8" s="2">
        <v>111.81286428998101</v>
      </c>
      <c r="M8" s="2">
        <v>87.662924272486777</v>
      </c>
      <c r="N8" s="2">
        <v>76.222091973886634</v>
      </c>
    </row>
    <row r="9" spans="1:15">
      <c r="A9" s="67"/>
      <c r="B9" s="1" t="s">
        <v>4</v>
      </c>
      <c r="C9" s="2">
        <v>103.0683870967742</v>
      </c>
      <c r="D9" s="2">
        <v>67.287500000000009</v>
      </c>
      <c r="E9" s="2">
        <v>73.099354838709672</v>
      </c>
      <c r="F9" s="2">
        <v>76.455333333333343</v>
      </c>
      <c r="G9" s="2">
        <v>77.667096774193539</v>
      </c>
      <c r="H9" s="2">
        <v>125.206</v>
      </c>
      <c r="I9" s="2">
        <v>207.57806451612907</v>
      </c>
      <c r="J9" s="2">
        <v>233.69064516129032</v>
      </c>
      <c r="K9" s="2">
        <v>208.90113734567902</v>
      </c>
      <c r="L9" s="2">
        <v>173.16860812425324</v>
      </c>
      <c r="M9" s="2">
        <v>115.11288580246914</v>
      </c>
      <c r="N9" s="2">
        <v>97.740852747909216</v>
      </c>
    </row>
    <row r="10" spans="1:15" ht="29.25" customHeight="1">
      <c r="A10" s="68" t="s">
        <v>7</v>
      </c>
      <c r="B10" s="6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3">
    <mergeCell ref="A3:A6"/>
    <mergeCell ref="A7:A9"/>
    <mergeCell ref="A10:B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06E7-A4DC-498E-B115-906568B2DA30}">
  <dimension ref="A2:O10"/>
  <sheetViews>
    <sheetView workbookViewId="0">
      <selection activeCell="O7" sqref="O7"/>
    </sheetView>
  </sheetViews>
  <sheetFormatPr defaultRowHeight="15"/>
  <cols>
    <col min="1" max="1" width="13.7109375" customWidth="1"/>
    <col min="2" max="2" width="13.85546875" bestFit="1" customWidth="1"/>
    <col min="3" max="7" width="9.7109375" bestFit="1" customWidth="1"/>
    <col min="8" max="14" width="10.5703125" bestFit="1" customWidth="1"/>
  </cols>
  <sheetData>
    <row r="2" spans="1:15">
      <c r="A2" s="1">
        <v>2016</v>
      </c>
      <c r="B2" s="1" t="s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</row>
    <row r="3" spans="1:15" ht="15" customHeight="1">
      <c r="A3" s="69" t="s">
        <v>1</v>
      </c>
      <c r="B3" s="1" t="s">
        <v>2</v>
      </c>
      <c r="C3" s="2">
        <v>20.582000000000001</v>
      </c>
      <c r="D3" s="2">
        <v>14.816299999999929</v>
      </c>
      <c r="E3" s="2">
        <v>17.285700000000066</v>
      </c>
      <c r="F3" s="2">
        <v>16.085000000000001</v>
      </c>
      <c r="G3" s="2">
        <v>14.919699999999953</v>
      </c>
      <c r="H3" s="2">
        <v>13.799793000000115</v>
      </c>
      <c r="I3" s="2">
        <v>24.193314999999945</v>
      </c>
      <c r="J3" s="2">
        <v>24.424043999999991</v>
      </c>
      <c r="K3" s="2">
        <v>11.858167000000014</v>
      </c>
      <c r="L3" s="2">
        <v>39.069295000000047</v>
      </c>
      <c r="M3" s="2">
        <v>50.507664999999918</v>
      </c>
      <c r="N3" s="2">
        <v>46.910890000000137</v>
      </c>
    </row>
    <row r="4" spans="1:15">
      <c r="A4" s="70"/>
      <c r="B4" s="1" t="s">
        <v>3</v>
      </c>
      <c r="C4" s="2">
        <v>44.561899999999909</v>
      </c>
      <c r="D4" s="2">
        <v>24.298100000000094</v>
      </c>
      <c r="E4" s="2">
        <v>28.284299999999813</v>
      </c>
      <c r="F4" s="2">
        <v>27.128700000000187</v>
      </c>
      <c r="G4" s="2">
        <v>34.716699999999719</v>
      </c>
      <c r="H4" s="2">
        <v>54.870967000000284</v>
      </c>
      <c r="I4" s="2">
        <v>94.48197599999979</v>
      </c>
      <c r="J4" s="2">
        <v>101.94487800000003</v>
      </c>
      <c r="K4" s="2">
        <v>75.765530000000027</v>
      </c>
      <c r="L4" s="2">
        <v>156.29349900000005</v>
      </c>
      <c r="M4" s="2">
        <v>185.10087399999983</v>
      </c>
      <c r="N4" s="2">
        <v>195.29755300000031</v>
      </c>
    </row>
    <row r="5" spans="1:15">
      <c r="A5" s="70"/>
      <c r="B5" s="1" t="s">
        <v>4</v>
      </c>
      <c r="C5" s="2">
        <v>40.519900000000142</v>
      </c>
      <c r="D5" s="2">
        <v>25.088399999999908</v>
      </c>
      <c r="E5" s="2">
        <v>19.354500000000002</v>
      </c>
      <c r="F5" s="2">
        <v>18.631800000000045</v>
      </c>
      <c r="G5" s="2">
        <v>34.095199999999956</v>
      </c>
      <c r="H5" s="2">
        <v>47.132133000000138</v>
      </c>
      <c r="I5" s="2">
        <v>78.753672000000009</v>
      </c>
      <c r="J5" s="2">
        <v>83.396789999999811</v>
      </c>
      <c r="K5" s="2">
        <v>73.828290000000024</v>
      </c>
      <c r="L5" s="2">
        <v>132.59153199999989</v>
      </c>
      <c r="M5" s="2">
        <v>144.76705800000019</v>
      </c>
      <c r="N5" s="2">
        <v>155.64489400000008</v>
      </c>
    </row>
    <row r="6" spans="1:15">
      <c r="A6" s="71"/>
      <c r="B6" s="1" t="s">
        <v>5</v>
      </c>
      <c r="C6" s="4">
        <f>SUM(C3:C5)</f>
        <v>105.66380000000007</v>
      </c>
      <c r="D6" s="4">
        <f t="shared" ref="D6:N6" si="0">SUM(D3:D5)</f>
        <v>64.202799999999939</v>
      </c>
      <c r="E6" s="4">
        <f t="shared" si="0"/>
        <v>64.924499999999881</v>
      </c>
      <c r="F6" s="4">
        <f t="shared" si="0"/>
        <v>61.845500000000229</v>
      </c>
      <c r="G6" s="4">
        <f t="shared" si="0"/>
        <v>83.731599999999617</v>
      </c>
      <c r="H6" s="4">
        <f t="shared" si="0"/>
        <v>115.80289300000054</v>
      </c>
      <c r="I6" s="4">
        <f t="shared" si="0"/>
        <v>197.42896299999973</v>
      </c>
      <c r="J6" s="4">
        <f t="shared" si="0"/>
        <v>209.76571199999984</v>
      </c>
      <c r="K6" s="4">
        <f t="shared" si="0"/>
        <v>161.45198700000006</v>
      </c>
      <c r="L6" s="4">
        <f t="shared" si="0"/>
        <v>327.95432599999998</v>
      </c>
      <c r="M6" s="4">
        <f t="shared" si="0"/>
        <v>380.37559699999997</v>
      </c>
      <c r="N6" s="4">
        <f t="shared" si="0"/>
        <v>397.85333700000052</v>
      </c>
      <c r="O6" s="5">
        <f>SUM(C6:N6)</f>
        <v>2171.0010150000007</v>
      </c>
    </row>
    <row r="7" spans="1:15">
      <c r="A7" s="67" t="s">
        <v>6</v>
      </c>
      <c r="B7" s="1" t="s">
        <v>2</v>
      </c>
      <c r="C7" s="2">
        <v>29.580185111435593</v>
      </c>
      <c r="D7" s="2">
        <v>16.848667478675001</v>
      </c>
      <c r="E7" s="2">
        <v>18.407985485793549</v>
      </c>
      <c r="F7" s="2">
        <v>16.031014531152952</v>
      </c>
      <c r="G7" s="2">
        <v>33.494146653889509</v>
      </c>
      <c r="H7" s="2">
        <v>59.305720097166024</v>
      </c>
      <c r="I7" s="2">
        <v>76.74981678818763</v>
      </c>
      <c r="J7" s="2">
        <v>99.231310763888885</v>
      </c>
      <c r="K7" s="2">
        <v>121.84469738618897</v>
      </c>
      <c r="L7" s="2">
        <v>202.08879389572627</v>
      </c>
      <c r="M7" s="2">
        <v>187.2208672249819</v>
      </c>
      <c r="N7" s="2">
        <v>135.96849792845055</v>
      </c>
    </row>
    <row r="8" spans="1:15">
      <c r="A8" s="67"/>
      <c r="B8" s="1" t="s">
        <v>3</v>
      </c>
      <c r="C8" s="2">
        <v>70.392357804232773</v>
      </c>
      <c r="D8" s="2">
        <v>43.48714390622137</v>
      </c>
      <c r="E8" s="2">
        <v>45.855622226488912</v>
      </c>
      <c r="F8" s="2">
        <v>47.572160714285879</v>
      </c>
      <c r="G8" s="2">
        <v>57.765901177675076</v>
      </c>
      <c r="H8" s="2">
        <v>91.753909611993421</v>
      </c>
      <c r="I8" s="2">
        <v>143.95738148574824</v>
      </c>
      <c r="J8" s="2">
        <v>155.5818294504183</v>
      </c>
      <c r="K8" s="2">
        <v>123.9304475308643</v>
      </c>
      <c r="L8" s="2">
        <v>235.81003872247788</v>
      </c>
      <c r="M8" s="2">
        <v>504.52869808201115</v>
      </c>
      <c r="N8" s="2">
        <v>439.25057870370404</v>
      </c>
    </row>
    <row r="9" spans="1:15">
      <c r="A9" s="67"/>
      <c r="B9" s="1" t="s">
        <v>4</v>
      </c>
      <c r="C9" s="2">
        <v>89.380077658303463</v>
      </c>
      <c r="D9" s="2">
        <v>56.301843869731805</v>
      </c>
      <c r="E9" s="2">
        <v>58.579711768219845</v>
      </c>
      <c r="F9" s="2">
        <v>60.297955246913581</v>
      </c>
      <c r="G9" s="2">
        <v>74.282482078853064</v>
      </c>
      <c r="H9" s="2">
        <v>132.46199845679013</v>
      </c>
      <c r="I9" s="2">
        <v>182.57258064516125</v>
      </c>
      <c r="J9" s="2">
        <v>204.89195041816009</v>
      </c>
      <c r="K9" s="2">
        <v>193.66222993827162</v>
      </c>
      <c r="L9" s="2">
        <v>327.74540770609315</v>
      </c>
      <c r="M9" s="2">
        <v>586.31107253086418</v>
      </c>
      <c r="N9" s="2">
        <v>502.26662335722835</v>
      </c>
    </row>
    <row r="10" spans="1:15" ht="29.25" customHeight="1">
      <c r="A10" s="68" t="s">
        <v>7</v>
      </c>
      <c r="B10" s="6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3">
    <mergeCell ref="A3:A6"/>
    <mergeCell ref="A7:A9"/>
    <mergeCell ref="A10:B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5DB68-90B6-426E-8E6C-2D2E9D95798C}">
  <dimension ref="A2:O10"/>
  <sheetViews>
    <sheetView workbookViewId="0">
      <selection activeCell="O7" sqref="O7"/>
    </sheetView>
  </sheetViews>
  <sheetFormatPr defaultRowHeight="15"/>
  <cols>
    <col min="1" max="1" width="13.7109375" customWidth="1"/>
    <col min="2" max="2" width="13.85546875" bestFit="1" customWidth="1"/>
    <col min="3" max="7" width="9.7109375" bestFit="1" customWidth="1"/>
    <col min="8" max="14" width="10.5703125" bestFit="1" customWidth="1"/>
  </cols>
  <sheetData>
    <row r="2" spans="1:15">
      <c r="A2" s="1">
        <v>2017</v>
      </c>
      <c r="B2" s="1" t="s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</row>
    <row r="3" spans="1:15" ht="15" customHeight="1">
      <c r="A3" s="69" t="s">
        <v>1</v>
      </c>
      <c r="B3" s="1" t="s">
        <v>2</v>
      </c>
      <c r="C3" s="2">
        <v>31.364885999999821</v>
      </c>
      <c r="D3" s="2">
        <v>21.604490000000109</v>
      </c>
      <c r="E3" s="2">
        <v>24.754403000000053</v>
      </c>
      <c r="F3" s="2">
        <v>30.05861999999988</v>
      </c>
      <c r="G3" s="2">
        <v>35.617789999999928</v>
      </c>
      <c r="H3" s="2">
        <v>49.377231000000151</v>
      </c>
      <c r="I3" s="2">
        <v>26.841631999999986</v>
      </c>
      <c r="J3" s="2">
        <v>41.75631599999987</v>
      </c>
      <c r="K3" s="2">
        <v>61.071907000000117</v>
      </c>
      <c r="L3" s="2">
        <v>55.999551999999909</v>
      </c>
      <c r="M3" s="2">
        <v>54.194130000000122</v>
      </c>
      <c r="N3" s="2">
        <v>41.483336999999821</v>
      </c>
    </row>
    <row r="4" spans="1:15">
      <c r="A4" s="70"/>
      <c r="B4" s="1" t="s">
        <v>3</v>
      </c>
      <c r="C4" s="2">
        <v>147.31777</v>
      </c>
      <c r="D4" s="2">
        <v>84.774964999999852</v>
      </c>
      <c r="E4" s="2">
        <v>56.843450999999881</v>
      </c>
      <c r="F4" s="2">
        <v>71.933518000000149</v>
      </c>
      <c r="G4" s="2">
        <v>138.78362400000029</v>
      </c>
      <c r="H4" s="2">
        <v>184.92081999999942</v>
      </c>
      <c r="I4" s="2">
        <v>158.92538500000023</v>
      </c>
      <c r="J4" s="2">
        <v>166.84722599999978</v>
      </c>
      <c r="K4" s="2">
        <v>177.18828400000044</v>
      </c>
      <c r="L4" s="2">
        <v>183.54134299999942</v>
      </c>
      <c r="M4" s="2">
        <v>182.61075499999987</v>
      </c>
      <c r="N4" s="2">
        <v>189.60795600000071</v>
      </c>
    </row>
    <row r="5" spans="1:15">
      <c r="A5" s="70"/>
      <c r="B5" s="1" t="s">
        <v>4</v>
      </c>
      <c r="C5" s="2">
        <v>108.60762999999989</v>
      </c>
      <c r="D5" s="2">
        <v>60.113165999999971</v>
      </c>
      <c r="E5" s="2">
        <v>46.122814999999939</v>
      </c>
      <c r="F5" s="2">
        <v>47.596593000000105</v>
      </c>
      <c r="G5" s="2">
        <v>110.79442499999982</v>
      </c>
      <c r="H5" s="2">
        <v>147.72678699999997</v>
      </c>
      <c r="I5" s="2">
        <v>132.76311200000009</v>
      </c>
      <c r="J5" s="2">
        <v>131.70101400000019</v>
      </c>
      <c r="K5" s="2">
        <v>140.74008200000006</v>
      </c>
      <c r="L5" s="2">
        <v>143.57093799999984</v>
      </c>
      <c r="M5" s="2">
        <v>150.22648000000001</v>
      </c>
      <c r="N5" s="2">
        <v>154.0835330000003</v>
      </c>
    </row>
    <row r="6" spans="1:15">
      <c r="A6" s="71"/>
      <c r="B6" s="1" t="s">
        <v>5</v>
      </c>
      <c r="C6" s="4">
        <f>SUM(C3:C5)</f>
        <v>287.2902859999997</v>
      </c>
      <c r="D6" s="4">
        <f t="shared" ref="D6:N6" si="0">SUM(D3:D5)</f>
        <v>166.49262099999993</v>
      </c>
      <c r="E6" s="4">
        <f t="shared" si="0"/>
        <v>127.72066899999987</v>
      </c>
      <c r="F6" s="4">
        <f t="shared" si="0"/>
        <v>149.58873100000014</v>
      </c>
      <c r="G6" s="4">
        <f t="shared" si="0"/>
        <v>285.19583900000003</v>
      </c>
      <c r="H6" s="4">
        <f t="shared" si="0"/>
        <v>382.02483799999959</v>
      </c>
      <c r="I6" s="4">
        <f t="shared" si="0"/>
        <v>318.53012900000033</v>
      </c>
      <c r="J6" s="4">
        <f t="shared" si="0"/>
        <v>340.30455599999982</v>
      </c>
      <c r="K6" s="4">
        <f t="shared" si="0"/>
        <v>379.00027300000062</v>
      </c>
      <c r="L6" s="4">
        <f t="shared" si="0"/>
        <v>383.11183299999914</v>
      </c>
      <c r="M6" s="4">
        <f t="shared" si="0"/>
        <v>387.03136499999999</v>
      </c>
      <c r="N6" s="4">
        <f t="shared" si="0"/>
        <v>385.17482600000085</v>
      </c>
      <c r="O6" s="5">
        <f>SUM(C6:N6)</f>
        <v>3591.4659659999993</v>
      </c>
    </row>
    <row r="7" spans="1:15">
      <c r="A7" s="67" t="s">
        <v>6</v>
      </c>
      <c r="B7" s="1" t="s">
        <v>2</v>
      </c>
      <c r="C7" s="2">
        <v>82.219469729025406</v>
      </c>
      <c r="D7" s="2">
        <v>52.005773137814423</v>
      </c>
      <c r="E7" s="2">
        <v>36.55785361077907</v>
      </c>
      <c r="F7" s="2">
        <v>43.784481540871404</v>
      </c>
      <c r="G7" s="2">
        <v>118.53983196664123</v>
      </c>
      <c r="H7" s="2">
        <v>102.65489337902204</v>
      </c>
      <c r="I7" s="2">
        <v>183.00931298605718</v>
      </c>
      <c r="J7" s="2">
        <v>189.46759352616743</v>
      </c>
      <c r="K7" s="2">
        <v>162.03646946132204</v>
      </c>
      <c r="L7" s="2">
        <v>187.77007677030474</v>
      </c>
      <c r="M7" s="2">
        <v>185.4505127565362</v>
      </c>
      <c r="N7" s="2">
        <v>118.3095881519756</v>
      </c>
    </row>
    <row r="8" spans="1:15">
      <c r="A8" s="67"/>
      <c r="B8" s="1" t="s">
        <v>3</v>
      </c>
      <c r="C8" s="2">
        <v>222.9105720899467</v>
      </c>
      <c r="D8" s="2">
        <v>147.19554253781448</v>
      </c>
      <c r="E8" s="2">
        <v>94.039587624147572</v>
      </c>
      <c r="F8" s="2">
        <v>119.32147926622083</v>
      </c>
      <c r="G8" s="2">
        <v>209.19463870065158</v>
      </c>
      <c r="H8" s="2">
        <v>293.85304291352065</v>
      </c>
      <c r="I8" s="2">
        <v>238.38863041901342</v>
      </c>
      <c r="J8" s="2">
        <v>264.46796945732115</v>
      </c>
      <c r="K8" s="2">
        <v>278.70858376723453</v>
      </c>
      <c r="L8" s="2">
        <v>306.82673069027692</v>
      </c>
      <c r="M8" s="2">
        <v>394.47959347442736</v>
      </c>
      <c r="N8" s="2">
        <v>417.73705879842902</v>
      </c>
    </row>
    <row r="9" spans="1:15">
      <c r="A9" s="67"/>
      <c r="B9" s="1" t="s">
        <v>4</v>
      </c>
      <c r="C9" s="2">
        <v>265.17040023894862</v>
      </c>
      <c r="D9" s="2">
        <v>167.97763723544972</v>
      </c>
      <c r="E9" s="2">
        <v>105.82414874551971</v>
      </c>
      <c r="F9" s="2">
        <v>137.94645061728394</v>
      </c>
      <c r="G9" s="2">
        <v>274.45105286738357</v>
      </c>
      <c r="H9" s="2">
        <v>377.66242283950606</v>
      </c>
      <c r="I9" s="2">
        <v>324.05070191158893</v>
      </c>
      <c r="J9" s="2">
        <v>347.81798835125448</v>
      </c>
      <c r="K9" s="2">
        <v>359.16566358024681</v>
      </c>
      <c r="L9" s="2">
        <v>415.63728345280759</v>
      </c>
      <c r="M9" s="2">
        <v>473.73452932098769</v>
      </c>
      <c r="N9" s="2">
        <v>476.69317502986866</v>
      </c>
    </row>
    <row r="10" spans="1:15" ht="29.25" customHeight="1">
      <c r="A10" s="68" t="s">
        <v>7</v>
      </c>
      <c r="B10" s="6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3">
    <mergeCell ref="A3:A6"/>
    <mergeCell ref="A7:A9"/>
    <mergeCell ref="A10:B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9F32-DA69-4F62-9827-2805C6B89237}">
  <dimension ref="A2:O10"/>
  <sheetViews>
    <sheetView workbookViewId="0">
      <selection activeCell="C4" sqref="C4:N4"/>
    </sheetView>
  </sheetViews>
  <sheetFormatPr defaultRowHeight="15"/>
  <cols>
    <col min="1" max="1" width="13.7109375" customWidth="1"/>
    <col min="2" max="2" width="13.85546875" bestFit="1" customWidth="1"/>
    <col min="3" max="7" width="9.7109375" bestFit="1" customWidth="1"/>
    <col min="8" max="14" width="10.5703125" bestFit="1" customWidth="1"/>
  </cols>
  <sheetData>
    <row r="2" spans="1:15">
      <c r="A2" s="1">
        <v>2018</v>
      </c>
      <c r="B2" s="1" t="s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</row>
    <row r="3" spans="1:15" ht="15" customHeight="1">
      <c r="A3" s="69" t="s">
        <v>1</v>
      </c>
      <c r="B3" s="1" t="s">
        <v>2</v>
      </c>
      <c r="C3" s="2">
        <v>29.766293000000065</v>
      </c>
      <c r="D3" s="2">
        <v>25.200817000000271</v>
      </c>
      <c r="E3" s="2">
        <v>30.107095999999903</v>
      </c>
      <c r="F3" s="2">
        <v>24.195173</v>
      </c>
      <c r="G3" s="2">
        <v>15.153889999999665</v>
      </c>
      <c r="H3" s="2">
        <v>20.327558000000217</v>
      </c>
      <c r="I3" s="2">
        <v>30.515135000000242</v>
      </c>
      <c r="J3" s="2">
        <v>39.907780000000031</v>
      </c>
      <c r="K3" s="2">
        <v>53.387756999999745</v>
      </c>
      <c r="L3" s="2">
        <v>57.173652000000239</v>
      </c>
      <c r="M3" s="2">
        <v>24.243526999999769</v>
      </c>
      <c r="N3" s="2">
        <v>27.942357999999999</v>
      </c>
    </row>
    <row r="4" spans="1:15">
      <c r="A4" s="70"/>
      <c r="B4" s="1" t="s">
        <v>3</v>
      </c>
      <c r="C4" s="2">
        <v>125.761033</v>
      </c>
      <c r="D4" s="2">
        <v>63.206232999999536</v>
      </c>
      <c r="E4" s="2">
        <v>66.400333000000572</v>
      </c>
      <c r="F4" s="2">
        <v>59.581732999999538</v>
      </c>
      <c r="G4" s="2">
        <v>57.857050999999977</v>
      </c>
      <c r="H4" s="2">
        <v>71.134424000000777</v>
      </c>
      <c r="I4" s="2">
        <v>118.96295500000008</v>
      </c>
      <c r="J4" s="2">
        <v>141.01818399999897</v>
      </c>
      <c r="K4" s="2">
        <v>164.50247300000024</v>
      </c>
      <c r="L4" s="2">
        <v>147.82510400000001</v>
      </c>
      <c r="M4" s="2">
        <v>88.371788999999879</v>
      </c>
      <c r="N4" s="2">
        <v>114.598782</v>
      </c>
    </row>
    <row r="5" spans="1:15">
      <c r="A5" s="70"/>
      <c r="B5" s="1" t="s">
        <v>4</v>
      </c>
      <c r="C5" s="2">
        <v>84.546728999999814</v>
      </c>
      <c r="D5" s="2">
        <v>51.033550999999974</v>
      </c>
      <c r="E5" s="2">
        <v>46.668175000000282</v>
      </c>
      <c r="F5" s="2">
        <v>40.693681999999569</v>
      </c>
      <c r="G5" s="2">
        <v>41.664416000000202</v>
      </c>
      <c r="H5" s="2">
        <v>62.748268000000088</v>
      </c>
      <c r="I5" s="2">
        <v>93.599611000000024</v>
      </c>
      <c r="J5" s="2">
        <v>113.87151199999987</v>
      </c>
      <c r="K5" s="2">
        <v>131.2371159999997</v>
      </c>
      <c r="L5" s="2">
        <v>110.50994200000027</v>
      </c>
      <c r="M5" s="2">
        <v>56.484308999999655</v>
      </c>
      <c r="N5" s="2">
        <v>83.636537000000004</v>
      </c>
    </row>
    <row r="6" spans="1:15">
      <c r="A6" s="71"/>
      <c r="B6" s="1" t="s">
        <v>5</v>
      </c>
      <c r="C6" s="4">
        <f>SUM(C3:C5)</f>
        <v>240.07405499999987</v>
      </c>
      <c r="D6" s="4">
        <f t="shared" ref="D6:N6" si="0">SUM(D3:D5)</f>
        <v>139.44060099999979</v>
      </c>
      <c r="E6" s="4">
        <f t="shared" si="0"/>
        <v>143.17560400000076</v>
      </c>
      <c r="F6" s="4">
        <f t="shared" si="0"/>
        <v>124.47058799999911</v>
      </c>
      <c r="G6" s="4">
        <f t="shared" si="0"/>
        <v>114.67535699999985</v>
      </c>
      <c r="H6" s="4">
        <f t="shared" si="0"/>
        <v>154.21025000000108</v>
      </c>
      <c r="I6" s="4">
        <f t="shared" si="0"/>
        <v>243.07770100000033</v>
      </c>
      <c r="J6" s="4">
        <f t="shared" si="0"/>
        <v>294.79747599999888</v>
      </c>
      <c r="K6" s="4">
        <f t="shared" si="0"/>
        <v>349.12734599999965</v>
      </c>
      <c r="L6" s="4">
        <f t="shared" si="0"/>
        <v>315.50869800000049</v>
      </c>
      <c r="M6" s="4">
        <f t="shared" si="0"/>
        <v>169.09962499999932</v>
      </c>
      <c r="N6" s="4">
        <f t="shared" si="0"/>
        <v>226.17767699999999</v>
      </c>
      <c r="O6" s="5">
        <f>SUM(C6:N6)</f>
        <v>2513.8349779999994</v>
      </c>
    </row>
    <row r="7" spans="1:15">
      <c r="A7" s="67" t="s">
        <v>6</v>
      </c>
      <c r="B7" s="1" t="s">
        <v>2</v>
      </c>
      <c r="C7" s="2">
        <v>60.156740964755059</v>
      </c>
      <c r="D7" s="2">
        <v>39.041922395718593</v>
      </c>
      <c r="E7" s="2">
        <v>36.13144236323707</v>
      </c>
      <c r="F7" s="2">
        <v>29.832382908950844</v>
      </c>
      <c r="G7" s="2">
        <v>53.662190486857497</v>
      </c>
      <c r="H7" s="2">
        <v>69.586726820957182</v>
      </c>
      <c r="I7" s="2">
        <v>144.02002126632186</v>
      </c>
      <c r="J7" s="2">
        <v>225.96622996004422</v>
      </c>
      <c r="K7" s="2">
        <v>218.48002961033882</v>
      </c>
      <c r="L7" s="2">
        <v>116.32078511424751</v>
      </c>
      <c r="M7" s="2">
        <v>91.773558063271778</v>
      </c>
      <c r="N7" s="2">
        <v>84.968060161558284</v>
      </c>
    </row>
    <row r="8" spans="1:15">
      <c r="A8" s="67"/>
      <c r="B8" s="1" t="s">
        <v>3</v>
      </c>
      <c r="C8" s="2">
        <v>195.88533986175187</v>
      </c>
      <c r="D8" s="2">
        <v>110.09903698979635</v>
      </c>
      <c r="E8" s="2">
        <v>109.62334672532553</v>
      </c>
      <c r="F8" s="2">
        <v>100.19695827360036</v>
      </c>
      <c r="G8" s="2">
        <v>88.834882765830486</v>
      </c>
      <c r="H8" s="2">
        <v>116.48197333478716</v>
      </c>
      <c r="I8" s="2">
        <v>182.10580965181762</v>
      </c>
      <c r="J8" s="2">
        <v>220.81792552056689</v>
      </c>
      <c r="K8" s="2">
        <v>307.06589825837744</v>
      </c>
      <c r="L8" s="2">
        <v>224.2887607740231</v>
      </c>
      <c r="M8" s="2">
        <v>142.88117504409132</v>
      </c>
      <c r="N8" s="2">
        <v>177.05547427035367</v>
      </c>
    </row>
    <row r="9" spans="1:15">
      <c r="A9" s="67"/>
      <c r="B9" s="1" t="s">
        <v>4</v>
      </c>
      <c r="C9" s="2">
        <v>224.46273894862611</v>
      </c>
      <c r="D9" s="2">
        <v>125.70593584656085</v>
      </c>
      <c r="E9" s="2">
        <v>118.27512694145756</v>
      </c>
      <c r="F9" s="2">
        <v>111.48668981481482</v>
      </c>
      <c r="G9" s="2">
        <v>119.52535095579449</v>
      </c>
      <c r="H9" s="2">
        <v>150.98576388888887</v>
      </c>
      <c r="I9" s="2">
        <v>230.32676224611711</v>
      </c>
      <c r="J9" s="2">
        <v>282.68649193548384</v>
      </c>
      <c r="K9" s="2">
        <v>414.17152777777773</v>
      </c>
      <c r="L9" s="2">
        <v>266.45848267622455</v>
      </c>
      <c r="M9" s="2">
        <v>167.84344135802459</v>
      </c>
      <c r="N9" s="2">
        <v>203.04579779359258</v>
      </c>
    </row>
    <row r="10" spans="1:15" ht="29.25" customHeight="1">
      <c r="A10" s="68" t="s">
        <v>7</v>
      </c>
      <c r="B10" s="6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3">
    <mergeCell ref="A3:A6"/>
    <mergeCell ref="A7:A9"/>
    <mergeCell ref="A10:B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D45F-121C-4C97-9887-72AE2D494BDB}">
  <dimension ref="A2:O10"/>
  <sheetViews>
    <sheetView workbookViewId="0">
      <selection activeCell="O7" sqref="O7"/>
    </sheetView>
  </sheetViews>
  <sheetFormatPr defaultRowHeight="15"/>
  <cols>
    <col min="1" max="1" width="13.7109375" customWidth="1"/>
    <col min="2" max="2" width="13.85546875" bestFit="1" customWidth="1"/>
    <col min="3" max="7" width="9.7109375" bestFit="1" customWidth="1"/>
    <col min="8" max="14" width="10.5703125" bestFit="1" customWidth="1"/>
  </cols>
  <sheetData>
    <row r="2" spans="1:15">
      <c r="A2" s="1">
        <v>2019</v>
      </c>
      <c r="B2" s="1" t="s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</row>
    <row r="3" spans="1:15" ht="15" customHeight="1">
      <c r="A3" s="69" t="s">
        <v>1</v>
      </c>
      <c r="B3" s="1" t="s">
        <v>2</v>
      </c>
      <c r="C3" s="2">
        <v>22.552581999999937</v>
      </c>
      <c r="D3" s="2">
        <v>20.843499000000065</v>
      </c>
      <c r="E3" s="2">
        <v>29.454128999999956</v>
      </c>
      <c r="F3" s="2">
        <v>20.305261000000172</v>
      </c>
      <c r="G3" s="2">
        <v>13.686037000000011</v>
      </c>
      <c r="H3" s="2">
        <v>10.809938999999796</v>
      </c>
      <c r="I3" s="2">
        <v>12.072376000000164</v>
      </c>
      <c r="J3" s="2">
        <v>35.882240999999922</v>
      </c>
      <c r="K3" s="2">
        <v>30.512249000000068</v>
      </c>
      <c r="L3" s="2">
        <v>41.633333999999998</v>
      </c>
      <c r="M3" s="2">
        <v>47.532623000000001</v>
      </c>
      <c r="N3" s="2">
        <v>24.291547999999953</v>
      </c>
    </row>
    <row r="4" spans="1:15">
      <c r="A4" s="70"/>
      <c r="B4" s="1" t="s">
        <v>3</v>
      </c>
      <c r="C4" s="2">
        <v>126.22684200000018</v>
      </c>
      <c r="D4" s="2">
        <v>48.35960799999954</v>
      </c>
      <c r="E4" s="2">
        <v>60.347191000000066</v>
      </c>
      <c r="F4" s="2">
        <v>47.448669000000223</v>
      </c>
      <c r="G4" s="2">
        <v>52.397391999999975</v>
      </c>
      <c r="H4" s="2">
        <v>60.510794999999924</v>
      </c>
      <c r="I4" s="2">
        <v>56.785311999999919</v>
      </c>
      <c r="J4" s="2">
        <v>151.60729500000039</v>
      </c>
      <c r="K4" s="2">
        <v>179.00042699999923</v>
      </c>
      <c r="L4" s="2">
        <v>139.15062599999999</v>
      </c>
      <c r="M4" s="2">
        <v>176.23853199999999</v>
      </c>
      <c r="N4" s="2">
        <v>85.396231000000611</v>
      </c>
    </row>
    <row r="5" spans="1:15">
      <c r="A5" s="70"/>
      <c r="B5" s="1" t="s">
        <v>4</v>
      </c>
      <c r="C5" s="2">
        <v>91.580513000000266</v>
      </c>
      <c r="D5" s="2">
        <v>37.416697999999862</v>
      </c>
      <c r="E5" s="2">
        <v>43.255247999999902</v>
      </c>
      <c r="F5" s="2">
        <v>33.997204000000139</v>
      </c>
      <c r="G5" s="2">
        <v>39.573388000000037</v>
      </c>
      <c r="H5" s="2">
        <v>49.43702899999964</v>
      </c>
      <c r="I5" s="2">
        <v>43.086667000000133</v>
      </c>
      <c r="J5" s="2">
        <v>123.83850699999998</v>
      </c>
      <c r="K5" s="2">
        <v>139.80565200000024</v>
      </c>
      <c r="L5" s="2">
        <v>110.986784</v>
      </c>
      <c r="M5" s="2">
        <v>138.42449400000001</v>
      </c>
      <c r="N5" s="2">
        <v>63.395966000000016</v>
      </c>
    </row>
    <row r="6" spans="1:15">
      <c r="A6" s="71"/>
      <c r="B6" s="1" t="s">
        <v>5</v>
      </c>
      <c r="C6" s="4">
        <f>SUM(C3:C5)</f>
        <v>240.3599370000004</v>
      </c>
      <c r="D6" s="4">
        <f t="shared" ref="D6:N6" si="0">SUM(D3:D5)</f>
        <v>106.61980499999947</v>
      </c>
      <c r="E6" s="4">
        <f t="shared" si="0"/>
        <v>133.05656799999991</v>
      </c>
      <c r="F6" s="4">
        <f t="shared" si="0"/>
        <v>101.75113400000053</v>
      </c>
      <c r="G6" s="4">
        <f t="shared" si="0"/>
        <v>105.65681700000002</v>
      </c>
      <c r="H6" s="4">
        <f t="shared" si="0"/>
        <v>120.75776299999936</v>
      </c>
      <c r="I6" s="4">
        <f t="shared" si="0"/>
        <v>111.94435500000021</v>
      </c>
      <c r="J6" s="4">
        <f t="shared" si="0"/>
        <v>311.32804300000032</v>
      </c>
      <c r="K6" s="4">
        <f t="shared" si="0"/>
        <v>349.31832799999955</v>
      </c>
      <c r="L6" s="4">
        <f t="shared" si="0"/>
        <v>291.77074399999998</v>
      </c>
      <c r="M6" s="4">
        <f t="shared" si="0"/>
        <v>362.195649</v>
      </c>
      <c r="N6" s="4">
        <f t="shared" si="0"/>
        <v>173.08374500000059</v>
      </c>
      <c r="O6" s="5">
        <f>SUM(C6:N6)</f>
        <v>2407.8428880000001</v>
      </c>
    </row>
    <row r="7" spans="1:15">
      <c r="A7" s="67" t="s">
        <v>6</v>
      </c>
      <c r="B7" s="1" t="s">
        <v>2</v>
      </c>
      <c r="C7" s="2">
        <v>71.103282258064525</v>
      </c>
      <c r="D7" s="2">
        <v>33.986028465608349</v>
      </c>
      <c r="E7" s="2">
        <v>27.042327168577021</v>
      </c>
      <c r="F7" s="2">
        <v>29.647687975555311</v>
      </c>
      <c r="G7" s="2">
        <v>32.275657863003438</v>
      </c>
      <c r="H7" s="2">
        <v>46.812662552806401</v>
      </c>
      <c r="I7" s="2">
        <v>63.078359366171476</v>
      </c>
      <c r="J7" s="2">
        <v>151.61792792840828</v>
      </c>
      <c r="K7" s="2">
        <v>234.25467597557554</v>
      </c>
      <c r="L7" s="2">
        <v>107.68453867460541</v>
      </c>
      <c r="M7" s="2">
        <v>167.07581858945139</v>
      </c>
      <c r="N7" s="2">
        <v>66.735622909200004</v>
      </c>
    </row>
    <row r="8" spans="1:15">
      <c r="A8" s="67"/>
      <c r="B8" s="1" t="s">
        <v>3</v>
      </c>
      <c r="C8" s="2">
        <v>191.71425485577777</v>
      </c>
      <c r="D8" s="2">
        <v>85.032031203459837</v>
      </c>
      <c r="E8" s="2">
        <v>95.812717027221908</v>
      </c>
      <c r="F8" s="2">
        <v>79.890779935467208</v>
      </c>
      <c r="G8" s="2">
        <v>79.719896206690436</v>
      </c>
      <c r="H8" s="2">
        <v>98.342429397057629</v>
      </c>
      <c r="I8" s="2">
        <v>83.888467505071617</v>
      </c>
      <c r="J8" s="2">
        <v>228.90794102001314</v>
      </c>
      <c r="K8" s="2">
        <v>279.39415564373883</v>
      </c>
      <c r="L8" s="2">
        <v>207.80494858337619</v>
      </c>
      <c r="M8" s="2">
        <v>361.99018960768484</v>
      </c>
      <c r="N8" s="2">
        <v>130.82224249018637</v>
      </c>
    </row>
    <row r="9" spans="1:15">
      <c r="A9" s="67"/>
      <c r="B9" s="1" t="s">
        <v>4</v>
      </c>
      <c r="C9" s="2">
        <v>222.57467144563915</v>
      </c>
      <c r="D9" s="2">
        <v>98.437766203703674</v>
      </c>
      <c r="E9" s="2">
        <v>107.94455645161288</v>
      </c>
      <c r="F9" s="2">
        <v>90.475964506172858</v>
      </c>
      <c r="G9" s="2">
        <v>102.79357078853043</v>
      </c>
      <c r="H9" s="2">
        <v>126.9946759259259</v>
      </c>
      <c r="I9" s="2">
        <v>112.86932497013142</v>
      </c>
      <c r="J9" s="2">
        <v>306.62201314217441</v>
      </c>
      <c r="K9" s="2">
        <v>380.10065586419762</v>
      </c>
      <c r="L9" s="2">
        <v>268.33363201911584</v>
      </c>
      <c r="M9" s="2">
        <v>433.133699691358</v>
      </c>
      <c r="N9" s="2">
        <v>157.37190113500591</v>
      </c>
    </row>
    <row r="10" spans="1:15" ht="29.25" customHeight="1">
      <c r="A10" s="68" t="s">
        <v>7</v>
      </c>
      <c r="B10" s="6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3">
    <mergeCell ref="A3:A6"/>
    <mergeCell ref="A7:A9"/>
    <mergeCell ref="A10:B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70D6-C2D4-42E9-AC11-DBF3DF0BE059}">
  <dimension ref="A2:O10"/>
  <sheetViews>
    <sheetView workbookViewId="0">
      <selection activeCell="O7" sqref="O7"/>
    </sheetView>
  </sheetViews>
  <sheetFormatPr defaultRowHeight="15"/>
  <cols>
    <col min="1" max="1" width="13.7109375" customWidth="1"/>
    <col min="2" max="2" width="13.85546875" bestFit="1" customWidth="1"/>
    <col min="3" max="7" width="9.7109375" bestFit="1" customWidth="1"/>
    <col min="8" max="14" width="10.5703125" bestFit="1" customWidth="1"/>
  </cols>
  <sheetData>
    <row r="2" spans="1:15">
      <c r="A2" s="1">
        <v>2020</v>
      </c>
      <c r="B2" s="1" t="s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</row>
    <row r="3" spans="1:15" ht="15" customHeight="1">
      <c r="A3" s="69" t="s">
        <v>1</v>
      </c>
      <c r="B3" s="1" t="s">
        <v>2</v>
      </c>
      <c r="C3" s="2">
        <v>24.566246999999972</v>
      </c>
      <c r="D3" s="2">
        <v>22.680795000000156</v>
      </c>
      <c r="E3" s="2">
        <v>25.492474999999857</v>
      </c>
      <c r="F3" s="2">
        <v>14.732552000000142</v>
      </c>
      <c r="G3" s="2">
        <v>13.924613000000001</v>
      </c>
      <c r="H3" s="2">
        <v>10.573797000000253</v>
      </c>
      <c r="I3" s="2">
        <v>21.065653000000001</v>
      </c>
      <c r="J3" s="2">
        <v>36.94277800000016</v>
      </c>
      <c r="K3" s="2">
        <v>37.933302999999839</v>
      </c>
      <c r="L3" s="2">
        <v>22.716196000000231</v>
      </c>
      <c r="M3" s="2">
        <v>46.793722000000066</v>
      </c>
      <c r="N3" s="2">
        <v>43.477064999999939</v>
      </c>
    </row>
    <row r="4" spans="1:15">
      <c r="A4" s="70"/>
      <c r="B4" s="1" t="s">
        <v>3</v>
      </c>
      <c r="C4" s="2">
        <v>52.160716999999245</v>
      </c>
      <c r="D4" s="2">
        <v>38.226069000001068</v>
      </c>
      <c r="E4" s="2">
        <v>44.340092999999413</v>
      </c>
      <c r="F4" s="2">
        <v>29.286831000001168</v>
      </c>
      <c r="G4" s="2">
        <v>28.976669999999999</v>
      </c>
      <c r="H4" s="2">
        <v>75.012167999999605</v>
      </c>
      <c r="I4" s="2">
        <v>99.726883000000001</v>
      </c>
      <c r="J4" s="2">
        <v>195.32551900000007</v>
      </c>
      <c r="K4" s="2">
        <v>179.58833199999947</v>
      </c>
      <c r="L4" s="2">
        <v>193.41799200000031</v>
      </c>
      <c r="M4" s="2">
        <v>189.00704200000013</v>
      </c>
      <c r="N4" s="2">
        <v>202.91342899999952</v>
      </c>
    </row>
    <row r="5" spans="1:15">
      <c r="A5" s="70"/>
      <c r="B5" s="1" t="s">
        <v>4</v>
      </c>
      <c r="C5" s="2">
        <v>41.345302000000139</v>
      </c>
      <c r="D5" s="2">
        <v>31.129697999999859</v>
      </c>
      <c r="E5" s="2">
        <v>32.180595999999902</v>
      </c>
      <c r="F5" s="2">
        <v>24.479286000000315</v>
      </c>
      <c r="G5" s="2">
        <v>21.331489000000001</v>
      </c>
      <c r="H5" s="2">
        <v>59.464098999999926</v>
      </c>
      <c r="I5" s="2">
        <v>88.018130999999997</v>
      </c>
      <c r="J5" s="2">
        <v>156.36365299999994</v>
      </c>
      <c r="K5" s="2">
        <v>144.26588499999977</v>
      </c>
      <c r="L5" s="2">
        <v>159.092885</v>
      </c>
      <c r="M5" s="2">
        <v>151.58334699999961</v>
      </c>
      <c r="N5" s="2">
        <v>154.71383700000078</v>
      </c>
    </row>
    <row r="6" spans="1:15">
      <c r="A6" s="71"/>
      <c r="B6" s="1" t="s">
        <v>5</v>
      </c>
      <c r="C6" s="4">
        <f>SUM(C3:C5)</f>
        <v>118.07226599999936</v>
      </c>
      <c r="D6" s="4">
        <f t="shared" ref="D6:N6" si="0">SUM(D3:D5)</f>
        <v>92.036562000001084</v>
      </c>
      <c r="E6" s="4">
        <f t="shared" si="0"/>
        <v>102.01316399999916</v>
      </c>
      <c r="F6" s="4">
        <f t="shared" si="0"/>
        <v>68.498669000001627</v>
      </c>
      <c r="G6" s="4">
        <f t="shared" si="0"/>
        <v>64.232771999999997</v>
      </c>
      <c r="H6" s="4">
        <f t="shared" si="0"/>
        <v>145.05006399999979</v>
      </c>
      <c r="I6" s="4">
        <f t="shared" si="0"/>
        <v>208.810667</v>
      </c>
      <c r="J6" s="4">
        <f t="shared" si="0"/>
        <v>388.63195000000019</v>
      </c>
      <c r="K6" s="4">
        <f t="shared" si="0"/>
        <v>361.78751999999906</v>
      </c>
      <c r="L6" s="4">
        <f t="shared" si="0"/>
        <v>375.22707300000053</v>
      </c>
      <c r="M6" s="4">
        <f t="shared" si="0"/>
        <v>387.38411099999979</v>
      </c>
      <c r="N6" s="4">
        <f t="shared" si="0"/>
        <v>401.10433100000023</v>
      </c>
      <c r="O6" s="5">
        <f>SUM(C6:N6)</f>
        <v>2712.8491490000006</v>
      </c>
    </row>
    <row r="7" spans="1:15">
      <c r="A7" s="67" t="s">
        <v>6</v>
      </c>
      <c r="B7" s="1" t="s">
        <v>2</v>
      </c>
      <c r="C7" s="2">
        <v>38.33574257133629</v>
      </c>
      <c r="D7" s="2">
        <v>30.678342911877447</v>
      </c>
      <c r="E7" s="2">
        <v>21.352688172043006</v>
      </c>
      <c r="F7" s="2">
        <v>21.049055555555551</v>
      </c>
      <c r="G7" s="2">
        <v>20.578763440860214</v>
      </c>
      <c r="H7" s="2">
        <v>56.84350000000002</v>
      </c>
      <c r="I7" s="2">
        <v>81.693978494623664</v>
      </c>
      <c r="J7" s="2">
        <v>161.20344086021507</v>
      </c>
      <c r="K7" s="2">
        <v>148.64894555555554</v>
      </c>
      <c r="L7" s="2">
        <v>207.94838709677421</v>
      </c>
      <c r="M7" s="2">
        <v>154.26261111111111</v>
      </c>
      <c r="N7" s="2">
        <v>120.95</v>
      </c>
    </row>
    <row r="8" spans="1:15">
      <c r="A8" s="67"/>
      <c r="B8" s="1" t="s">
        <v>3</v>
      </c>
      <c r="C8" s="2">
        <v>81.947953062803563</v>
      </c>
      <c r="D8" s="2">
        <v>71.063773772261356</v>
      </c>
      <c r="E8" s="2">
        <v>76.290331182795697</v>
      </c>
      <c r="F8" s="2">
        <v>51.970844444444445</v>
      </c>
      <c r="G8" s="2">
        <v>54.088725806451606</v>
      </c>
      <c r="H8" s="2">
        <v>114.60418777777777</v>
      </c>
      <c r="I8" s="2">
        <v>152.08065698924733</v>
      </c>
      <c r="J8" s="2">
        <v>294.6357666666666</v>
      </c>
      <c r="K8" s="2">
        <v>281.70280111111111</v>
      </c>
      <c r="L8" s="2">
        <v>305.00406129032251</v>
      </c>
      <c r="M8" s="2">
        <v>375.0722422222222</v>
      </c>
      <c r="N8" s="2">
        <v>478.93006666666662</v>
      </c>
    </row>
    <row r="9" spans="1:15">
      <c r="A9" s="67"/>
      <c r="B9" s="1" t="s">
        <v>4</v>
      </c>
      <c r="C9" s="2">
        <v>102.58008345280763</v>
      </c>
      <c r="D9" s="2">
        <v>79.424073084291194</v>
      </c>
      <c r="E9" s="2">
        <v>84.231182795698928</v>
      </c>
      <c r="F9" s="2">
        <v>61.948611111111106</v>
      </c>
      <c r="G9" s="2">
        <v>58.83064516129032</v>
      </c>
      <c r="H9" s="2">
        <v>162.83055555555561</v>
      </c>
      <c r="I9" s="2">
        <v>216.80645161290323</v>
      </c>
      <c r="J9" s="2">
        <v>389.22446236559142</v>
      </c>
      <c r="K9" s="2">
        <v>366.97638777777775</v>
      </c>
      <c r="L9" s="2">
        <v>441.59005376344089</v>
      </c>
      <c r="M9" s="2">
        <v>459.68472222222226</v>
      </c>
      <c r="N9" s="2">
        <v>548.84274193548401</v>
      </c>
    </row>
    <row r="10" spans="1:15" ht="29.25" customHeight="1">
      <c r="A10" s="68" t="s">
        <v>7</v>
      </c>
      <c r="B10" s="6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3">
    <mergeCell ref="A3:A6"/>
    <mergeCell ref="A7:A9"/>
    <mergeCell ref="A10:B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1D80-373E-4904-B701-C714A7B1EDFD}">
  <dimension ref="A2:O10"/>
  <sheetViews>
    <sheetView workbookViewId="0">
      <selection activeCell="C5" sqref="C5:N5"/>
    </sheetView>
  </sheetViews>
  <sheetFormatPr defaultRowHeight="15"/>
  <cols>
    <col min="1" max="1" width="13.7109375" customWidth="1"/>
    <col min="2" max="2" width="13.85546875" bestFit="1" customWidth="1"/>
    <col min="3" max="7" width="9.7109375" bestFit="1" customWidth="1"/>
    <col min="8" max="14" width="10.5703125" bestFit="1" customWidth="1"/>
  </cols>
  <sheetData>
    <row r="2" spans="1:15">
      <c r="A2" s="1">
        <v>2021</v>
      </c>
      <c r="B2" s="1" t="s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</row>
    <row r="3" spans="1:15" ht="15" customHeight="1">
      <c r="A3" s="69" t="s">
        <v>1</v>
      </c>
      <c r="B3" s="1" t="s">
        <v>2</v>
      </c>
      <c r="C3" s="2">
        <v>29.164321999999927</v>
      </c>
      <c r="D3" s="2">
        <v>26.659041999999904</v>
      </c>
      <c r="E3" s="2">
        <v>29.322748000000139</v>
      </c>
      <c r="F3" s="2">
        <v>17.608156999999888</v>
      </c>
      <c r="G3" s="2">
        <v>14.82469700000016</v>
      </c>
      <c r="H3" s="2">
        <v>11.728076999999816</v>
      </c>
      <c r="I3" s="2">
        <v>19.794796000000261</v>
      </c>
      <c r="J3" s="2">
        <v>20.40146099999966</v>
      </c>
      <c r="K3" s="2">
        <v>26.350116000000156</v>
      </c>
      <c r="L3" s="2">
        <v>44.472706000000002</v>
      </c>
      <c r="M3" s="2">
        <v>56.895757999999908</v>
      </c>
      <c r="N3" s="2">
        <v>42.598993999999948</v>
      </c>
    </row>
    <row r="4" spans="1:15">
      <c r="A4" s="70"/>
      <c r="B4" s="1" t="s">
        <v>3</v>
      </c>
      <c r="C4" s="2">
        <v>110.36860699999997</v>
      </c>
      <c r="D4" s="2">
        <v>61.981315000000762</v>
      </c>
      <c r="E4" s="2">
        <v>61.426696999999223</v>
      </c>
      <c r="F4" s="2">
        <v>46.831182000000027</v>
      </c>
      <c r="G4" s="2">
        <v>53.630072999999967</v>
      </c>
      <c r="H4" s="2">
        <v>49.802541000000204</v>
      </c>
      <c r="I4" s="2">
        <v>81.105309000000133</v>
      </c>
      <c r="J4" s="2">
        <v>86.7923049999997</v>
      </c>
      <c r="K4" s="2">
        <v>166.61844500000123</v>
      </c>
      <c r="L4" s="2">
        <v>192.76609399999921</v>
      </c>
      <c r="M4" s="2">
        <v>192.90018000000086</v>
      </c>
      <c r="N4" s="2">
        <v>181.47385199999974</v>
      </c>
    </row>
    <row r="5" spans="1:15">
      <c r="A5" s="70"/>
      <c r="B5" s="1" t="s">
        <v>4</v>
      </c>
      <c r="C5" s="2">
        <v>84.770697999999385</v>
      </c>
      <c r="D5" s="2">
        <v>51.779504000000657</v>
      </c>
      <c r="E5" s="2">
        <v>43.542483000000004</v>
      </c>
      <c r="F5" s="2">
        <v>34.706387999999336</v>
      </c>
      <c r="G5" s="2">
        <v>42.992444000000134</v>
      </c>
      <c r="H5" s="2">
        <v>39.461503999999721</v>
      </c>
      <c r="I5" s="2">
        <v>62.004547000000166</v>
      </c>
      <c r="J5" s="2">
        <v>69.880805999999865</v>
      </c>
      <c r="K5" s="2">
        <v>133.2786650000005</v>
      </c>
      <c r="L5" s="2">
        <v>157.50553899999989</v>
      </c>
      <c r="M5" s="2">
        <v>157.48852799999995</v>
      </c>
      <c r="N5" s="2">
        <v>142.26362600000016</v>
      </c>
    </row>
    <row r="6" spans="1:15">
      <c r="A6" s="71"/>
      <c r="B6" s="1" t="s">
        <v>5</v>
      </c>
      <c r="C6" s="4">
        <f>SUM(C3:C5)</f>
        <v>224.3036269999993</v>
      </c>
      <c r="D6" s="4">
        <f t="shared" ref="D6:N6" si="0">SUM(D3:D5)</f>
        <v>140.41986100000133</v>
      </c>
      <c r="E6" s="4">
        <f t="shared" si="0"/>
        <v>134.29192799999936</v>
      </c>
      <c r="F6" s="4">
        <f t="shared" si="0"/>
        <v>99.145726999999255</v>
      </c>
      <c r="G6" s="4">
        <f t="shared" si="0"/>
        <v>111.44721400000026</v>
      </c>
      <c r="H6" s="4">
        <f t="shared" si="0"/>
        <v>100.99212199999974</v>
      </c>
      <c r="I6" s="4">
        <f t="shared" si="0"/>
        <v>162.90465200000057</v>
      </c>
      <c r="J6" s="4">
        <f t="shared" si="0"/>
        <v>177.07457199999922</v>
      </c>
      <c r="K6" s="4">
        <f t="shared" si="0"/>
        <v>326.24722600000189</v>
      </c>
      <c r="L6" s="4">
        <f t="shared" si="0"/>
        <v>394.74433899999912</v>
      </c>
      <c r="M6" s="4">
        <f t="shared" si="0"/>
        <v>407.28446600000075</v>
      </c>
      <c r="N6" s="4">
        <f t="shared" si="0"/>
        <v>366.33647199999984</v>
      </c>
      <c r="O6" s="5">
        <f>SUM(C6:N6)</f>
        <v>2645.1922060000011</v>
      </c>
    </row>
    <row r="7" spans="1:15">
      <c r="A7" s="67" t="s">
        <v>6</v>
      </c>
      <c r="B7" s="1" t="s">
        <v>2</v>
      </c>
      <c r="C7" s="2">
        <v>58.965483870967766</v>
      </c>
      <c r="D7" s="2">
        <v>38.899464285714281</v>
      </c>
      <c r="E7" s="2">
        <v>25.662795698924729</v>
      </c>
      <c r="F7" s="2">
        <v>32.283333333333331</v>
      </c>
      <c r="G7" s="2">
        <v>39.448387096774198</v>
      </c>
      <c r="H7" s="2">
        <v>43.951500000000003</v>
      </c>
      <c r="I7" s="2">
        <v>74.111021505376357</v>
      </c>
      <c r="J7" s="2">
        <v>86.702096774193549</v>
      </c>
      <c r="K7" s="2">
        <v>191.96166666666667</v>
      </c>
      <c r="L7" s="2">
        <v>257.33811827956987</v>
      </c>
      <c r="M7" s="2">
        <v>189.4975</v>
      </c>
      <c r="N7" s="2">
        <v>132.20188172043012</v>
      </c>
    </row>
    <row r="8" spans="1:15">
      <c r="A8" s="67"/>
      <c r="B8" s="1" t="s">
        <v>3</v>
      </c>
      <c r="C8" s="2">
        <v>168.78631505376339</v>
      </c>
      <c r="D8" s="2">
        <v>109.25753690476191</v>
      </c>
      <c r="E8" s="2">
        <v>96.941623460410582</v>
      </c>
      <c r="F8" s="2">
        <v>78.852806666666694</v>
      </c>
      <c r="G8" s="2">
        <v>82.61294193548386</v>
      </c>
      <c r="H8" s="2">
        <v>81.090311111111134</v>
      </c>
      <c r="I8" s="2">
        <v>124.71106451612899</v>
      </c>
      <c r="J8" s="2">
        <v>133.48928387096774</v>
      </c>
      <c r="K8" s="2">
        <v>267.21808888888881</v>
      </c>
      <c r="L8" s="2">
        <v>385.27039569892474</v>
      </c>
      <c r="M8" s="2">
        <v>536.5333333333333</v>
      </c>
      <c r="N8" s="2">
        <v>429.99193548387098</v>
      </c>
    </row>
    <row r="9" spans="1:15">
      <c r="A9" s="67"/>
      <c r="B9" s="1" t="s">
        <v>4</v>
      </c>
      <c r="C9" s="2">
        <v>205.91397849462371</v>
      </c>
      <c r="D9" s="2">
        <v>128.62499999999997</v>
      </c>
      <c r="E9" s="2">
        <v>113.03494623655912</v>
      </c>
      <c r="F9" s="2">
        <v>95.518055555555563</v>
      </c>
      <c r="G9" s="2">
        <v>102.0739247311828</v>
      </c>
      <c r="H9" s="2">
        <v>103.44444444444444</v>
      </c>
      <c r="I9" s="2">
        <v>157.18408602150538</v>
      </c>
      <c r="J9" s="2">
        <v>173.92204301075265</v>
      </c>
      <c r="K9" s="2">
        <v>375.68194444444447</v>
      </c>
      <c r="L9" s="2">
        <v>520.12940860215065</v>
      </c>
      <c r="M9" s="2">
        <v>619.40972222222217</v>
      </c>
      <c r="N9" s="2">
        <v>493.87096774193554</v>
      </c>
    </row>
    <row r="10" spans="1:15" ht="29.25" customHeight="1">
      <c r="A10" s="68" t="s">
        <v>7</v>
      </c>
      <c r="B10" s="6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3">
    <mergeCell ref="A3:A6"/>
    <mergeCell ref="A7:A9"/>
    <mergeCell ref="A10:B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35C1-620F-4F9C-A40B-C3932A2F2967}">
  <dimension ref="A2:O10"/>
  <sheetViews>
    <sheetView workbookViewId="0">
      <selection activeCell="O6" sqref="O6"/>
    </sheetView>
  </sheetViews>
  <sheetFormatPr defaultRowHeight="15"/>
  <cols>
    <col min="1" max="1" width="13.7109375" customWidth="1"/>
    <col min="2" max="2" width="13.85546875" bestFit="1" customWidth="1"/>
    <col min="3" max="7" width="9.7109375" bestFit="1" customWidth="1"/>
    <col min="8" max="14" width="10.5703125" bestFit="1" customWidth="1"/>
  </cols>
  <sheetData>
    <row r="2" spans="1:15">
      <c r="A2" s="1">
        <v>2022</v>
      </c>
      <c r="B2" s="1" t="s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</row>
    <row r="3" spans="1:15" ht="15" customHeight="1">
      <c r="A3" s="69" t="s">
        <v>1</v>
      </c>
      <c r="B3" s="1" t="s">
        <v>2</v>
      </c>
      <c r="C3" s="2">
        <v>33.846495199999993</v>
      </c>
      <c r="D3" s="2">
        <v>26.111034599999996</v>
      </c>
      <c r="E3" s="2">
        <v>29.464168099999998</v>
      </c>
      <c r="F3" s="2">
        <v>23.123994499999998</v>
      </c>
      <c r="G3" s="2">
        <v>24.264119900000001</v>
      </c>
      <c r="H3" s="2">
        <v>19.669999300000001</v>
      </c>
      <c r="I3" s="2">
        <v>33.584182800000008</v>
      </c>
      <c r="J3" s="2">
        <v>33.5064724</v>
      </c>
      <c r="K3" s="2">
        <v>49.386004699999994</v>
      </c>
      <c r="L3" s="2">
        <v>50.809693500000002</v>
      </c>
      <c r="M3" s="2">
        <v>38.933323999999999</v>
      </c>
      <c r="N3" s="2">
        <v>26.922136399999999</v>
      </c>
      <c r="O3">
        <v>389.62162539999997</v>
      </c>
    </row>
    <row r="4" spans="1:15">
      <c r="A4" s="70"/>
      <c r="B4" s="1" t="s">
        <v>3</v>
      </c>
      <c r="C4" s="2">
        <v>122.50594479999999</v>
      </c>
      <c r="D4" s="2">
        <v>66.919390800000002</v>
      </c>
      <c r="E4" s="2">
        <v>74.536053599999988</v>
      </c>
      <c r="F4" s="2">
        <v>71.592840899999985</v>
      </c>
      <c r="G4" s="2">
        <v>110.182541</v>
      </c>
      <c r="H4" s="2">
        <v>115.54800859999999</v>
      </c>
      <c r="I4" s="2">
        <v>163.9011251</v>
      </c>
      <c r="J4" s="2">
        <v>194.26107150000001</v>
      </c>
      <c r="K4" s="2">
        <v>193.2066274</v>
      </c>
      <c r="L4" s="2">
        <v>196.85656800000001</v>
      </c>
      <c r="M4" s="2">
        <v>168.38218649999999</v>
      </c>
      <c r="N4" s="2">
        <v>153.6295523</v>
      </c>
    </row>
    <row r="5" spans="1:15">
      <c r="A5" s="70"/>
      <c r="B5" s="1" t="s">
        <v>4</v>
      </c>
      <c r="C5" s="2">
        <v>88.530286399999994</v>
      </c>
      <c r="D5" s="2">
        <v>51.253605</v>
      </c>
      <c r="E5" s="2">
        <v>56.609788600000002</v>
      </c>
      <c r="F5" s="2">
        <v>56.4993154</v>
      </c>
      <c r="G5" s="2">
        <v>80.578215700000001</v>
      </c>
      <c r="H5" s="2">
        <v>99.400854399999986</v>
      </c>
      <c r="I5" s="2">
        <v>139.00226599999999</v>
      </c>
      <c r="J5" s="2">
        <v>157.24091799999999</v>
      </c>
      <c r="K5" s="2">
        <v>155.01225790000001</v>
      </c>
      <c r="L5" s="2">
        <v>154.3577477</v>
      </c>
      <c r="M5" s="2">
        <v>124.99818620000001</v>
      </c>
      <c r="N5" s="2">
        <v>115.0416532</v>
      </c>
    </row>
    <row r="6" spans="1:15">
      <c r="A6" s="71"/>
      <c r="B6" s="1" t="s">
        <v>5</v>
      </c>
      <c r="C6" s="4">
        <f>SUM(C3:C5)</f>
        <v>244.8827264</v>
      </c>
      <c r="D6" s="4">
        <f t="shared" ref="D6:N6" si="0">SUM(D3:D5)</f>
        <v>144.28403040000001</v>
      </c>
      <c r="E6" s="4">
        <f t="shared" si="0"/>
        <v>160.6100103</v>
      </c>
      <c r="F6" s="4">
        <f t="shared" si="0"/>
        <v>151.21615079999998</v>
      </c>
      <c r="G6" s="4">
        <f t="shared" si="0"/>
        <v>215.02487660000003</v>
      </c>
      <c r="H6" s="4">
        <f t="shared" si="0"/>
        <v>234.61886229999996</v>
      </c>
      <c r="I6" s="4">
        <f t="shared" si="0"/>
        <v>336.48757390000003</v>
      </c>
      <c r="J6" s="4">
        <f t="shared" si="0"/>
        <v>385.00846190000004</v>
      </c>
      <c r="K6" s="4">
        <f t="shared" si="0"/>
        <v>397.60489000000001</v>
      </c>
      <c r="L6" s="4">
        <f t="shared" si="0"/>
        <v>402.02400920000002</v>
      </c>
      <c r="M6" s="4">
        <f t="shared" si="0"/>
        <v>332.31369669999998</v>
      </c>
      <c r="N6" s="4">
        <f t="shared" si="0"/>
        <v>295.59334189999998</v>
      </c>
      <c r="O6" s="5">
        <f>SUM(C6:N6)</f>
        <v>3299.6686304</v>
      </c>
    </row>
    <row r="7" spans="1:15">
      <c r="A7" s="67" t="s">
        <v>6</v>
      </c>
      <c r="B7" s="1" t="s">
        <v>2</v>
      </c>
      <c r="C7" s="2">
        <v>63.148602150537641</v>
      </c>
      <c r="D7" s="2">
        <v>48.989226190476202</v>
      </c>
      <c r="E7" s="2">
        <v>35.236559139784951</v>
      </c>
      <c r="F7" s="2">
        <v>40.715333333333326</v>
      </c>
      <c r="G7" s="2">
        <v>81.481720430107529</v>
      </c>
      <c r="H7" s="2">
        <v>90.426888888888897</v>
      </c>
      <c r="I7" s="2">
        <v>119.99634408602152</v>
      </c>
      <c r="J7" s="2">
        <v>197.58252688172044</v>
      </c>
      <c r="K7" s="2">
        <v>186.16005555555557</v>
      </c>
      <c r="L7" s="2">
        <v>154.8290322580645</v>
      </c>
      <c r="M7" s="2">
        <v>92.518555555555565</v>
      </c>
      <c r="N7" s="2">
        <v>76.388763440860231</v>
      </c>
    </row>
    <row r="8" spans="1:15">
      <c r="A8" s="67"/>
      <c r="B8" s="1" t="s">
        <v>3</v>
      </c>
      <c r="C8" s="2">
        <v>187.2446247311828</v>
      </c>
      <c r="D8" s="2">
        <v>117.53720238095241</v>
      </c>
      <c r="E8" s="2">
        <v>117.4314516129032</v>
      </c>
      <c r="F8" s="2">
        <v>116.60138888888886</v>
      </c>
      <c r="G8" s="2">
        <v>165.90059139784947</v>
      </c>
      <c r="H8" s="2">
        <v>183.66533333333336</v>
      </c>
      <c r="I8" s="2">
        <v>245.81182795698922</v>
      </c>
      <c r="J8" s="2">
        <v>326.14773059606307</v>
      </c>
      <c r="K8" s="2">
        <v>344.36882689553721</v>
      </c>
      <c r="L8" s="2">
        <v>375.59049832896477</v>
      </c>
      <c r="M8" s="2">
        <v>269.2693534675721</v>
      </c>
      <c r="N8" s="2">
        <v>234.77126807868515</v>
      </c>
    </row>
    <row r="9" spans="1:15">
      <c r="A9" s="67"/>
      <c r="B9" s="1" t="s">
        <v>4</v>
      </c>
      <c r="C9" s="2">
        <v>222.7177419354839</v>
      </c>
      <c r="D9" s="2">
        <v>141.22767857142861</v>
      </c>
      <c r="E9" s="2">
        <v>140.88844086021504</v>
      </c>
      <c r="F9" s="2">
        <v>139.59305555555557</v>
      </c>
      <c r="G9" s="2">
        <v>219.6935483870968</v>
      </c>
      <c r="H9" s="2">
        <v>258.53333222222227</v>
      </c>
      <c r="I9" s="2">
        <v>336.91397849462368</v>
      </c>
      <c r="J9" s="2">
        <v>459.18413978494618</v>
      </c>
      <c r="K9" s="2">
        <v>485.4681666666666</v>
      </c>
      <c r="L9" s="2">
        <v>472.53763440860212</v>
      </c>
      <c r="M9" s="2">
        <v>327.00972222222219</v>
      </c>
      <c r="N9" s="2">
        <v>281.70430107526886</v>
      </c>
    </row>
    <row r="10" spans="1:15" ht="29.25" customHeight="1">
      <c r="A10" s="68" t="s">
        <v>7</v>
      </c>
      <c r="B10" s="6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3">
    <mergeCell ref="A3:A6"/>
    <mergeCell ref="A7:A9"/>
    <mergeCell ref="A10:B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DEE4-12F5-4DAB-912A-D3745A227877}">
  <dimension ref="A2:O10"/>
  <sheetViews>
    <sheetView workbookViewId="0">
      <selection activeCell="O7" sqref="O7"/>
    </sheetView>
  </sheetViews>
  <sheetFormatPr defaultRowHeight="15"/>
  <cols>
    <col min="1" max="1" width="13.7109375" customWidth="1"/>
    <col min="2" max="2" width="13.85546875" bestFit="1" customWidth="1"/>
    <col min="3" max="7" width="9.7109375" bestFit="1" customWidth="1"/>
    <col min="8" max="14" width="10.5703125" bestFit="1" customWidth="1"/>
  </cols>
  <sheetData>
    <row r="2" spans="1:15">
      <c r="A2" s="1">
        <v>2023</v>
      </c>
      <c r="B2" s="1" t="s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</row>
    <row r="3" spans="1:15" ht="15" customHeight="1">
      <c r="A3" s="69" t="s">
        <v>1</v>
      </c>
      <c r="B3" s="1" t="s">
        <v>2</v>
      </c>
      <c r="C3" s="2">
        <v>26.196023199999999</v>
      </c>
      <c r="D3" s="2">
        <v>28.2093384</v>
      </c>
      <c r="E3" s="2">
        <v>28.871705800000001</v>
      </c>
      <c r="F3" s="2">
        <v>23.975395199999998</v>
      </c>
      <c r="G3" s="2">
        <v>7.3071524999999999</v>
      </c>
      <c r="H3" s="2">
        <v>18.939633699999998</v>
      </c>
      <c r="I3" s="2">
        <v>27.245995299999997</v>
      </c>
      <c r="J3" s="2">
        <v>42.153500099999995</v>
      </c>
      <c r="K3" s="2">
        <v>60.6046391</v>
      </c>
      <c r="L3" s="2">
        <v>53.143639999999998</v>
      </c>
      <c r="M3" s="2">
        <v>42.165509899999996</v>
      </c>
      <c r="N3" s="2">
        <v>31.564488900000001</v>
      </c>
    </row>
    <row r="4" spans="1:15">
      <c r="A4" s="70"/>
      <c r="B4" s="1" t="s">
        <v>3</v>
      </c>
      <c r="C4" s="2">
        <v>113.1354312</v>
      </c>
      <c r="D4" s="2">
        <v>71.298942100000005</v>
      </c>
      <c r="E4" s="2">
        <v>70.493765299999993</v>
      </c>
      <c r="F4" s="2">
        <v>62.217610000000001</v>
      </c>
      <c r="G4" s="2">
        <v>43.759362299999999</v>
      </c>
      <c r="H4" s="2">
        <v>86.330209300000007</v>
      </c>
      <c r="I4" s="2">
        <v>141.6702884</v>
      </c>
      <c r="J4" s="2">
        <v>165.03639799999999</v>
      </c>
      <c r="K4" s="2">
        <v>195.23754399999999</v>
      </c>
      <c r="L4" s="2">
        <v>198.50973879999998</v>
      </c>
      <c r="M4" s="2">
        <v>163.315517</v>
      </c>
      <c r="N4" s="2">
        <v>125.9698503</v>
      </c>
    </row>
    <row r="5" spans="1:15">
      <c r="A5" s="70"/>
      <c r="B5" s="1" t="s">
        <v>4</v>
      </c>
      <c r="C5" s="2">
        <v>77.740175000000008</v>
      </c>
      <c r="D5" s="2">
        <v>56.724158600000003</v>
      </c>
      <c r="E5" s="2">
        <v>48.161090799999997</v>
      </c>
      <c r="F5" s="2">
        <v>48.283616699999996</v>
      </c>
      <c r="G5" s="2">
        <v>32.450061300000002</v>
      </c>
      <c r="H5" s="2">
        <v>71.005335399999993</v>
      </c>
      <c r="I5" s="2">
        <v>122.0062195</v>
      </c>
      <c r="J5" s="2">
        <v>136.3989627</v>
      </c>
      <c r="K5" s="2">
        <v>153.81893869999999</v>
      </c>
      <c r="L5" s="2">
        <v>154.06884539999999</v>
      </c>
      <c r="M5" s="2">
        <v>124.3363421</v>
      </c>
      <c r="N5" s="2">
        <v>94.563951599999996</v>
      </c>
    </row>
    <row r="6" spans="1:15">
      <c r="A6" s="71"/>
      <c r="B6" s="1" t="s">
        <v>5</v>
      </c>
      <c r="C6" s="4">
        <f>SUM(C3:C5)</f>
        <v>217.07162940000001</v>
      </c>
      <c r="D6" s="4">
        <f t="shared" ref="D6:N6" si="0">SUM(D3:D5)</f>
        <v>156.23243910000002</v>
      </c>
      <c r="E6" s="4">
        <f t="shared" si="0"/>
        <v>147.52656189999999</v>
      </c>
      <c r="F6" s="4">
        <f t="shared" si="0"/>
        <v>134.4766219</v>
      </c>
      <c r="G6" s="4">
        <f t="shared" si="0"/>
        <v>83.516576100000009</v>
      </c>
      <c r="H6" s="4">
        <f t="shared" si="0"/>
        <v>176.27517840000002</v>
      </c>
      <c r="I6" s="4">
        <f t="shared" si="0"/>
        <v>290.92250319999999</v>
      </c>
      <c r="J6" s="4">
        <f t="shared" si="0"/>
        <v>343.58886080000002</v>
      </c>
      <c r="K6" s="4">
        <f t="shared" si="0"/>
        <v>409.66112179999999</v>
      </c>
      <c r="L6" s="4">
        <f t="shared" si="0"/>
        <v>405.72222419999997</v>
      </c>
      <c r="M6" s="4">
        <f t="shared" si="0"/>
        <v>329.81736899999999</v>
      </c>
      <c r="N6" s="4">
        <f t="shared" si="0"/>
        <v>252.0982908</v>
      </c>
      <c r="O6" s="5">
        <f>SUM(C6:N6)</f>
        <v>2946.9093766000001</v>
      </c>
    </row>
    <row r="7" spans="1:15">
      <c r="A7" s="67" t="s">
        <v>6</v>
      </c>
      <c r="B7" s="1" t="s">
        <v>2</v>
      </c>
      <c r="C7" s="2">
        <v>65.299086021505389</v>
      </c>
      <c r="D7" s="2">
        <v>36.709523809523809</v>
      </c>
      <c r="E7" s="2">
        <v>22.855645161290326</v>
      </c>
      <c r="F7" s="2">
        <v>27.988111111111106</v>
      </c>
      <c r="G7" s="2">
        <v>48.204838709677418</v>
      </c>
      <c r="H7" s="2">
        <v>83.425333333333327</v>
      </c>
      <c r="I7" s="2">
        <v>171.28838709677419</v>
      </c>
      <c r="J7" s="2">
        <v>200.94758709677419</v>
      </c>
      <c r="K7" s="2">
        <v>206.59583000000001</v>
      </c>
      <c r="L7" s="2">
        <v>169.93816774193547</v>
      </c>
      <c r="M7" s="2">
        <v>123.92639</v>
      </c>
      <c r="N7" s="2">
        <v>83</v>
      </c>
    </row>
    <row r="8" spans="1:15">
      <c r="A8" s="67"/>
      <c r="B8" s="1" t="s">
        <v>3</v>
      </c>
      <c r="C8" s="2">
        <v>174.73765561284768</v>
      </c>
      <c r="D8" s="2">
        <v>127.35625488144804</v>
      </c>
      <c r="E8" s="2">
        <v>108.60906275246862</v>
      </c>
      <c r="F8" s="2">
        <v>105.01789714709945</v>
      </c>
      <c r="G8" s="2">
        <v>64.385454002305039</v>
      </c>
      <c r="H8" s="2">
        <v>133.54334259243078</v>
      </c>
      <c r="I8" s="2">
        <v>220.71516721864697</v>
      </c>
      <c r="J8" s="2">
        <v>263.93816451612906</v>
      </c>
      <c r="K8" s="2">
        <v>392.73611333333332</v>
      </c>
      <c r="L8" s="2">
        <v>340.18951290322582</v>
      </c>
      <c r="M8" s="2">
        <v>273.68054666666671</v>
      </c>
      <c r="N8" s="2">
        <v>195.77149354838716</v>
      </c>
    </row>
    <row r="9" spans="1:15">
      <c r="A9" s="67"/>
      <c r="B9" s="1" t="s">
        <v>4</v>
      </c>
      <c r="C9" s="2">
        <v>205.4852150537634</v>
      </c>
      <c r="D9" s="2">
        <v>145.83035714285717</v>
      </c>
      <c r="E9" s="2">
        <v>126.83870967741935</v>
      </c>
      <c r="F9" s="2">
        <v>114.52638888888887</v>
      </c>
      <c r="G9" s="2">
        <v>101.15994623655916</v>
      </c>
      <c r="H9" s="2">
        <v>176.75694444444443</v>
      </c>
      <c r="I9" s="2">
        <v>314.22849462365593</v>
      </c>
      <c r="J9" s="2">
        <v>362.17070967741932</v>
      </c>
      <c r="K9" s="2">
        <v>516.00833666666665</v>
      </c>
      <c r="L9" s="2">
        <v>438.979835483871</v>
      </c>
      <c r="M9" s="2">
        <v>336.45694999999995</v>
      </c>
      <c r="N9" s="2">
        <v>239.06182580645162</v>
      </c>
    </row>
    <row r="10" spans="1:15" ht="29.25" customHeight="1">
      <c r="A10" s="68" t="s">
        <v>7</v>
      </c>
      <c r="B10" s="6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3">
    <mergeCell ref="A3:A6"/>
    <mergeCell ref="A7:A9"/>
    <mergeCell ref="A10:B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E86E-9346-44A1-A1DD-4F46DC948234}">
  <dimension ref="A2:O10"/>
  <sheetViews>
    <sheetView workbookViewId="0">
      <selection activeCell="K16" sqref="K16"/>
    </sheetView>
  </sheetViews>
  <sheetFormatPr defaultRowHeight="15"/>
  <cols>
    <col min="1" max="1" width="13.7109375" customWidth="1"/>
    <col min="2" max="2" width="13.85546875" bestFit="1" customWidth="1"/>
    <col min="3" max="7" width="9.7109375" bestFit="1" customWidth="1"/>
    <col min="8" max="14" width="10.5703125" bestFit="1" customWidth="1"/>
  </cols>
  <sheetData>
    <row r="2" spans="1:15">
      <c r="A2" s="1">
        <v>2024</v>
      </c>
      <c r="B2" s="1" t="s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</row>
    <row r="3" spans="1:15" ht="15" customHeight="1">
      <c r="A3" s="69" t="s">
        <v>1</v>
      </c>
      <c r="B3" s="1" t="s">
        <v>2</v>
      </c>
      <c r="C3" s="2">
        <v>27.937671999999999</v>
      </c>
      <c r="D3" s="2">
        <v>20.617661599999998</v>
      </c>
      <c r="E3" s="2">
        <v>18.585530500000001</v>
      </c>
      <c r="F3" s="2">
        <v>17.219771600000001</v>
      </c>
      <c r="G3" s="2">
        <v>15.0814433</v>
      </c>
      <c r="H3" s="2">
        <v>23.646055400000002</v>
      </c>
      <c r="I3" s="2">
        <v>25.2517505</v>
      </c>
      <c r="J3" s="2">
        <v>41.779785799999999</v>
      </c>
      <c r="K3" s="2">
        <v>44.453589399999998</v>
      </c>
      <c r="L3" s="2">
        <v>55.450868700000001</v>
      </c>
      <c r="M3" s="2">
        <v>34.919919800000002</v>
      </c>
      <c r="N3" s="2">
        <v>19.430500599999998</v>
      </c>
    </row>
    <row r="4" spans="1:15">
      <c r="A4" s="70"/>
      <c r="B4" s="1" t="s">
        <v>3</v>
      </c>
      <c r="C4" s="2">
        <v>73.596486099999993</v>
      </c>
      <c r="D4" s="2">
        <v>42.832670400000005</v>
      </c>
      <c r="E4" s="2">
        <v>35.955296799999999</v>
      </c>
      <c r="F4" s="2">
        <v>35.971539700000001</v>
      </c>
      <c r="G4" s="2">
        <v>54.107530500000003</v>
      </c>
      <c r="H4" s="2">
        <v>76.060693000000001</v>
      </c>
      <c r="I4" s="2">
        <v>135.68690319999999</v>
      </c>
      <c r="J4" s="2">
        <v>176.95260999999999</v>
      </c>
      <c r="K4" s="2">
        <v>179.47948259999998</v>
      </c>
      <c r="L4" s="2">
        <v>185.35782839999999</v>
      </c>
      <c r="M4" s="2">
        <v>134.72737609999999</v>
      </c>
      <c r="N4" s="2">
        <v>137.06628800000001</v>
      </c>
    </row>
    <row r="5" spans="1:15">
      <c r="A5" s="70"/>
      <c r="B5" s="1" t="s">
        <v>4</v>
      </c>
      <c r="C5" s="2">
        <v>57.337101000000004</v>
      </c>
      <c r="D5" s="2">
        <v>34.6663651</v>
      </c>
      <c r="E5" s="2">
        <v>20.916935600000002</v>
      </c>
      <c r="F5" s="2">
        <v>29.124926299999998</v>
      </c>
      <c r="G5" s="2">
        <v>40.0913307</v>
      </c>
      <c r="H5" s="2">
        <v>59.6659243</v>
      </c>
      <c r="I5" s="2">
        <v>100.58270630000001</v>
      </c>
      <c r="J5" s="2">
        <v>135.36586209999999</v>
      </c>
      <c r="K5" s="2">
        <v>144.5077186</v>
      </c>
      <c r="L5" s="2">
        <v>141.72220670000002</v>
      </c>
      <c r="M5" s="2">
        <v>98.1990239</v>
      </c>
      <c r="N5" s="2">
        <v>93.2850526</v>
      </c>
    </row>
    <row r="6" spans="1:15">
      <c r="A6" s="71"/>
      <c r="B6" s="1" t="s">
        <v>5</v>
      </c>
      <c r="C6" s="4">
        <f>SUM(C3:C5)</f>
        <v>158.87125909999997</v>
      </c>
      <c r="D6" s="4">
        <f t="shared" ref="D6:N6" si="0">SUM(D3:D5)</f>
        <v>98.11669710000001</v>
      </c>
      <c r="E6" s="4">
        <f t="shared" si="0"/>
        <v>75.457762900000006</v>
      </c>
      <c r="F6" s="4">
        <f t="shared" si="0"/>
        <v>82.316237599999994</v>
      </c>
      <c r="G6" s="4">
        <f t="shared" si="0"/>
        <v>109.2803045</v>
      </c>
      <c r="H6" s="4">
        <f t="shared" si="0"/>
        <v>159.37267270000001</v>
      </c>
      <c r="I6" s="4">
        <f t="shared" si="0"/>
        <v>261.52135999999996</v>
      </c>
      <c r="J6" s="4">
        <f t="shared" si="0"/>
        <v>354.09825790000002</v>
      </c>
      <c r="K6" s="4">
        <f t="shared" si="0"/>
        <v>368.44079060000001</v>
      </c>
      <c r="L6" s="4">
        <f t="shared" si="0"/>
        <v>382.53090380000003</v>
      </c>
      <c r="M6" s="4">
        <f t="shared" si="0"/>
        <v>267.8463198</v>
      </c>
      <c r="N6" s="4">
        <f t="shared" si="0"/>
        <v>249.7818412</v>
      </c>
      <c r="O6" s="5">
        <f>SUM(C6:N6)</f>
        <v>2567.6344072000002</v>
      </c>
    </row>
    <row r="7" spans="1:15">
      <c r="A7" s="67" t="s">
        <v>6</v>
      </c>
      <c r="B7" s="1" t="s">
        <v>2</v>
      </c>
      <c r="C7" s="2">
        <v>42.162625806451615</v>
      </c>
      <c r="D7" s="2">
        <v>32.270000000000003</v>
      </c>
      <c r="E7" s="2">
        <v>20.516132258064516</v>
      </c>
      <c r="F7" s="2">
        <v>23.573613333333334</v>
      </c>
      <c r="G7" s="2">
        <v>55.271509677419353</v>
      </c>
      <c r="H7" s="2">
        <v>51.7</v>
      </c>
      <c r="I7" s="2">
        <v>142.86289677419356</v>
      </c>
      <c r="J7" s="2">
        <v>140.49596774193546</v>
      </c>
      <c r="K7" s="2">
        <v>240.57499999999999</v>
      </c>
      <c r="L7" s="2">
        <v>137.51209354838701</v>
      </c>
      <c r="M7" s="2">
        <v>113.17129629629629</v>
      </c>
      <c r="N7" s="2">
        <v>112.0967806451613</v>
      </c>
    </row>
    <row r="8" spans="1:15">
      <c r="A8" s="67"/>
      <c r="B8" s="1" t="s">
        <v>3</v>
      </c>
      <c r="C8" s="2">
        <v>113.54301290322583</v>
      </c>
      <c r="D8" s="2">
        <v>75.31177586206897</v>
      </c>
      <c r="E8" s="2">
        <v>59.8763516129032</v>
      </c>
      <c r="F8" s="2">
        <v>62.27</v>
      </c>
      <c r="G8" s="2">
        <v>78.919354838709694</v>
      </c>
      <c r="H8" s="2">
        <v>118.23888333333333</v>
      </c>
      <c r="I8" s="2">
        <v>206.36828387096773</v>
      </c>
      <c r="J8" s="2">
        <v>267.68945161290327</v>
      </c>
      <c r="K8" s="2">
        <v>326.01</v>
      </c>
      <c r="L8" s="2">
        <v>290.95294838709685</v>
      </c>
      <c r="M8" s="2">
        <v>227.44</v>
      </c>
      <c r="N8" s="2">
        <v>220.07123870967743</v>
      </c>
    </row>
    <row r="9" spans="1:15">
      <c r="A9" s="67"/>
      <c r="B9" s="1" t="s">
        <v>4</v>
      </c>
      <c r="C9" s="2">
        <v>136.53628387096776</v>
      </c>
      <c r="D9" s="2">
        <v>89.97844137931034</v>
      </c>
      <c r="E9" s="2">
        <v>71.677425806451595</v>
      </c>
      <c r="F9" s="2">
        <v>76.03</v>
      </c>
      <c r="G9" s="2">
        <v>102.72983548387097</v>
      </c>
      <c r="H9" s="2">
        <v>143.88194333333331</v>
      </c>
      <c r="I9" s="2">
        <v>258.7325225806452</v>
      </c>
      <c r="J9" s="2">
        <v>345.33736774193545</v>
      </c>
      <c r="K9" s="2">
        <v>421.67</v>
      </c>
      <c r="L9" s="2">
        <v>344.87018846153848</v>
      </c>
      <c r="M9" s="2">
        <v>268.59833200000003</v>
      </c>
      <c r="N9" s="2">
        <v>248.40457096774193</v>
      </c>
    </row>
    <row r="10" spans="1:15" ht="29.25" customHeight="1">
      <c r="A10" s="68" t="s">
        <v>7</v>
      </c>
      <c r="B10" s="6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3">
    <mergeCell ref="A3:A6"/>
    <mergeCell ref="A7:A9"/>
    <mergeCell ref="A10:B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5D90-2BD7-4281-A175-4141662CDC30}">
  <dimension ref="A1:AG81"/>
  <sheetViews>
    <sheetView workbookViewId="0">
      <pane xSplit="2" ySplit="2" topLeftCell="E51" activePane="bottomRight" state="frozen"/>
      <selection pane="bottomRight" activeCell="P67" sqref="P67"/>
      <selection pane="bottomLeft" activeCell="A3" sqref="A3"/>
      <selection pane="topRight" activeCell="C1" sqref="C1"/>
    </sheetView>
  </sheetViews>
  <sheetFormatPr defaultRowHeight="15"/>
  <cols>
    <col min="3" max="3" width="9.5703125" bestFit="1" customWidth="1"/>
  </cols>
  <sheetData>
    <row r="1" spans="1:33">
      <c r="C1" s="72" t="s">
        <v>1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Q1" s="73" t="s">
        <v>8</v>
      </c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58"/>
    </row>
    <row r="2" spans="1:33">
      <c r="C2" s="32">
        <v>1</v>
      </c>
      <c r="D2" s="32">
        <v>2</v>
      </c>
      <c r="E2" s="32">
        <v>3</v>
      </c>
      <c r="F2" s="32">
        <v>4</v>
      </c>
      <c r="G2" s="32">
        <v>5</v>
      </c>
      <c r="H2" s="32">
        <v>6</v>
      </c>
      <c r="I2" s="32">
        <v>7</v>
      </c>
      <c r="J2" s="32">
        <v>8</v>
      </c>
      <c r="K2" s="32">
        <v>9</v>
      </c>
      <c r="L2" s="32">
        <v>10</v>
      </c>
      <c r="M2" s="32">
        <v>11</v>
      </c>
      <c r="N2" s="32">
        <v>12</v>
      </c>
      <c r="O2" s="10" t="s">
        <v>9</v>
      </c>
      <c r="Q2" s="8">
        <v>1</v>
      </c>
      <c r="R2" s="8">
        <v>2</v>
      </c>
      <c r="S2" s="8">
        <v>3</v>
      </c>
      <c r="T2" s="8">
        <v>4</v>
      </c>
      <c r="U2" s="8">
        <v>5</v>
      </c>
      <c r="V2" s="8">
        <v>6</v>
      </c>
      <c r="W2" s="8">
        <v>7</v>
      </c>
      <c r="X2" s="8">
        <v>8</v>
      </c>
      <c r="Y2" s="8">
        <v>9</v>
      </c>
      <c r="Z2" s="8">
        <v>10</v>
      </c>
      <c r="AA2" s="8">
        <v>11</v>
      </c>
      <c r="AB2" s="8">
        <v>12</v>
      </c>
      <c r="AC2" t="s">
        <v>10</v>
      </c>
      <c r="AD2" t="s">
        <v>11</v>
      </c>
      <c r="AE2" t="s">
        <v>12</v>
      </c>
      <c r="AF2" s="8">
        <v>8.8800000000000008</v>
      </c>
      <c r="AG2" s="13" t="s">
        <v>13</v>
      </c>
    </row>
    <row r="3" spans="1:33">
      <c r="B3">
        <v>1977</v>
      </c>
      <c r="C3" s="15">
        <f>IF(Q3*DAY(EOMONTH(DATE($B3,$C$2,1),0))*24*3600/$AF$2/10^6&gt;$AF$3,$AF$3,Q3*DAY(EOMONTH(DATE($B3,$C$2,1),0))*24*3600/$AF$2/10^6)</f>
        <v>11.642594594594595</v>
      </c>
      <c r="D3" s="15">
        <f>IF(R3*DAY(EOMONTH(DATE($B3,$D$2,1),0))*24*3600/$AF$2/10^6&gt;$AF$3,$AF$3,R3*DAY(EOMONTH(DATE($B3,$D$2,1),0))*24*3600/$AF$2/10^6)</f>
        <v>7.3284324324324315</v>
      </c>
      <c r="E3" s="15">
        <f>IF(S3*DAY(EOMONTH(DATE($B3,$E$2,1),0))*24*3600/$AF$2/10^6&gt;$AF$3,$AF$3,S3*DAY(EOMONTH(DATE($B3,$E$2,1),0))*24*3600/$AF$2/10^6)</f>
        <v>5.4895135135135131</v>
      </c>
      <c r="F3" s="15">
        <f>IF(T3*DAY(EOMONTH(DATE($B3,$F$2,1),0))*24*3600/$AF$2/10^6&gt;$AF$3,$AF$3,T3*DAY(EOMONTH(DATE($B3,$F$2,1),0))*24*3600/$AF$2/10^6)</f>
        <v>3.6486486486486487</v>
      </c>
      <c r="G3" s="15">
        <f>IF(U3*DAY(EOMONTH(DATE($B3,$G$2,1),0))*24*3600/$AF$2/10^6&gt;$AF$3,$AF$3,U3*DAY(EOMONTH(DATE($B3,$G$2,1),0))*24*3600/$AF$2/10^6)</f>
        <v>5.2180540540540532</v>
      </c>
      <c r="H3" s="15">
        <f>IF(V3*DAY(EOMONTH(DATE($B3,$H$2,1),0))*24*3600/$AF$2/10^6&gt;$AF$3,$AF$3,V3*DAY(EOMONTH(DATE($B3,$H$2,1),0))*24*3600/$AF$2/10^6)</f>
        <v>4.2032432432432429</v>
      </c>
      <c r="I3" s="15">
        <f>IF(W3*DAY(EOMONTH(DATE($B3,$I$2,1),0))*24*3600/$AF$2/10^6&gt;$AF$3,$AF$3,W3*DAY(EOMONTH(DATE($B3,$I$2,1),0))*24*3600/$AF$2/10^6)</f>
        <v>14.779459459459458</v>
      </c>
      <c r="J3" s="15">
        <f>IF(X3*DAY(EOMONTH(DATE($B3,$J$2,1),0))*24*3600/$AF$2/10^6&gt;$AF$3,$AF$3,X3*DAY(EOMONTH(DATE($B3,$J$2,1),0))*24*3600/$AF$2/10^6)</f>
        <v>14.930270270270269</v>
      </c>
      <c r="K3" s="15">
        <f>IF(Y3*DAY(EOMONTH(DATE($B3,$K$2,1),0))*24*3600/$AF$2/10^6&gt;$AF$3,$AF$3,Y3*DAY(EOMONTH(DATE($B3,$K$2,1),0))*24*3600/$AF$2/10^6)</f>
        <v>48.454054054054055</v>
      </c>
      <c r="L3" s="15">
        <f>IF(Z3*DAY(EOMONTH(DATE($B3,$L$2,1),0))*24*3600/$AF$2/10^6&gt;$AF$3,$AF$3,Z3*DAY(EOMONTH(DATE($B3,$L$2,1),0))*24*3600/$AF$2/10^6)</f>
        <v>46.449729729729725</v>
      </c>
      <c r="M3" s="15">
        <f>IF(AA3*DAY(EOMONTH(DATE($B3,$M$2,1),0))*24*3600/$AF$2/10^6&gt;$AF$3,$AF$3,AA3*DAY(EOMONTH(DATE($B3,$M$2,1),0))*24*3600/$AF$2/10^6)</f>
        <v>25.744864864864862</v>
      </c>
      <c r="N3" s="15">
        <f>IF(AB3*DAY(EOMONTH(DATE($B3,$N$2,1),0))*24*3600/$AF$2/10^6&gt;$AF$3,$AF$3,AB3*DAY(EOMONTH(DATE($B3,$N$2,1),0))*24*3600/$AF$2/10^6)</f>
        <v>13.271351351351351</v>
      </c>
      <c r="O3" s="34">
        <f>SUM(C3:N3)</f>
        <v>201.16021621621621</v>
      </c>
      <c r="Q3">
        <v>38.6</v>
      </c>
      <c r="R3">
        <v>26.9</v>
      </c>
      <c r="S3">
        <v>18.2</v>
      </c>
      <c r="T3">
        <v>12.5</v>
      </c>
      <c r="U3">
        <v>17.3</v>
      </c>
      <c r="V3">
        <v>14.4</v>
      </c>
      <c r="W3">
        <v>49</v>
      </c>
      <c r="X3">
        <v>49.5</v>
      </c>
      <c r="Y3">
        <v>166</v>
      </c>
      <c r="Z3">
        <v>154</v>
      </c>
      <c r="AA3">
        <v>88.2</v>
      </c>
      <c r="AB3">
        <v>44</v>
      </c>
      <c r="AC3">
        <f>CORREL($Q$52:$V$52,Q3:V3)</f>
        <v>0.87391485708116523</v>
      </c>
      <c r="AD3">
        <f>SQRT(SUMXMY2($Q$52:$V$52,Q3:V3))</f>
        <v>59.353637630729935</v>
      </c>
      <c r="AE3" t="s">
        <v>14</v>
      </c>
      <c r="AF3">
        <v>61.07</v>
      </c>
      <c r="AG3" s="13" t="s">
        <v>15</v>
      </c>
    </row>
    <row r="4" spans="1:33">
      <c r="B4">
        <v>1978</v>
      </c>
      <c r="C4" s="15">
        <f t="shared" ref="C4:C36" si="0">IF(Q4*DAY(EOMONTH(DATE($B4,$C$2,1),0))*24*3600/$AF$2/10^6&gt;$AF$3,$AF$3,Q4*DAY(EOMONTH(DATE($B4,$C$2,1),0))*24*3600/$AF$2/10^6)</f>
        <v>6.937297297297297</v>
      </c>
      <c r="D4" s="15">
        <f t="shared" ref="D4:D36" si="1">IF(R4*DAY(EOMONTH(DATE($B4,$D$2,1),0))*24*3600/$AF$2/10^6&gt;$AF$3,$AF$3,R4*DAY(EOMONTH(DATE($B4,$D$2,1),0))*24*3600/$AF$2/10^6)</f>
        <v>4.4134054054054053</v>
      </c>
      <c r="E4" s="15">
        <f t="shared" ref="E4:E36" si="2">IF(S4*DAY(EOMONTH(DATE($B4,$E$2,1),0))*24*3600/$AF$2/10^6&gt;$AF$3,$AF$3,S4*DAY(EOMONTH(DATE($B4,$E$2,1),0))*24*3600/$AF$2/10^6)</f>
        <v>4.5544864864864865</v>
      </c>
      <c r="F4" s="15">
        <f t="shared" ref="F4:F36" si="3">IF(T4*DAY(EOMONTH(DATE($B4,$F$2,1),0))*24*3600/$AF$2/10^6&gt;$AF$3,$AF$3,T4*DAY(EOMONTH(DATE($B4,$F$2,1),0))*24*3600/$AF$2/10^6)</f>
        <v>4.2908108108108109</v>
      </c>
      <c r="G4" s="15">
        <f t="shared" ref="G4:G36" si="4">IF(U4*DAY(EOMONTH(DATE($B4,$G$2,1),0))*24*3600/$AF$2/10^6&gt;$AF$3,$AF$3,U4*DAY(EOMONTH(DATE($B4,$G$2,1),0))*24*3600/$AF$2/10^6)</f>
        <v>8.9883243243243225</v>
      </c>
      <c r="H4" s="15">
        <f t="shared" ref="H4:H36" si="5">IF(V4*DAY(EOMONTH(DATE($B4,$H$2,1),0))*24*3600/$AF$2/10^6&gt;$AF$3,$AF$3,V4*DAY(EOMONTH(DATE($B4,$H$2,1),0))*24*3600/$AF$2/10^6)</f>
        <v>9.0486486486486477</v>
      </c>
      <c r="I4" s="15">
        <f t="shared" ref="I4:I36" si="6">IF(W4*DAY(EOMONTH(DATE($B4,$I$2,1),0))*24*3600/$AF$2/10^6&gt;$AF$3,$AF$3,W4*DAY(EOMONTH(DATE($B4,$I$2,1),0))*24*3600/$AF$2/10^6)</f>
        <v>22.681945945945944</v>
      </c>
      <c r="J4" s="15">
        <f t="shared" ref="J4:J36" si="7">IF(X4*DAY(EOMONTH(DATE($B4,$J$2,1),0))*24*3600/$AF$2/10^6&gt;$AF$3,$AF$3,X4*DAY(EOMONTH(DATE($B4,$J$2,1),0))*24*3600/$AF$2/10^6)</f>
        <v>59.117837837837833</v>
      </c>
      <c r="K4" s="15">
        <f t="shared" ref="K4:K36" si="8">IF(Y4*DAY(EOMONTH(DATE($B4,$K$2,1),0))*24*3600/$AF$2/10^6&gt;$AF$3,$AF$3,Y4*DAY(EOMONTH(DATE($B4,$K$2,1),0))*24*3600/$AF$2/10^6)</f>
        <v>61.07</v>
      </c>
      <c r="L4" s="15">
        <f t="shared" ref="L4:L36" si="9">IF(Z4*DAY(EOMONTH(DATE($B4,$L$2,1),0))*24*3600/$AF$2/10^6&gt;$AF$3,$AF$3,Z4*DAY(EOMONTH(DATE($B4,$L$2,1),0))*24*3600/$AF$2/10^6)</f>
        <v>61.07</v>
      </c>
      <c r="M4" s="15">
        <f t="shared" ref="M4:M36" si="10">IF(AA4*DAY(EOMONTH(DATE($B4,$M$2,1),0))*24*3600/$AF$2/10^6&gt;$AF$3,$AF$3,AA4*DAY(EOMONTH(DATE($B4,$M$2,1),0))*24*3600/$AF$2/10^6)</f>
        <v>42.324324324324316</v>
      </c>
      <c r="N4" s="15">
        <f t="shared" ref="N4:N36" si="11">IF(AB4*DAY(EOMONTH(DATE($B4,$N$2,1),0))*24*3600/$AF$2/10^6&gt;$AF$3,$AF$3,AB4*DAY(EOMONTH(DATE($B4,$N$2,1),0))*24*3600/$AF$2/10^6)</f>
        <v>18.881513513513514</v>
      </c>
      <c r="O4" s="34">
        <f t="shared" ref="O4:O36" si="12">SUM(C4:N4)</f>
        <v>303.37859459459457</v>
      </c>
      <c r="Q4">
        <v>23</v>
      </c>
      <c r="R4">
        <v>16.2</v>
      </c>
      <c r="S4">
        <v>15.1</v>
      </c>
      <c r="T4">
        <v>14.7</v>
      </c>
      <c r="U4">
        <v>29.8</v>
      </c>
      <c r="V4">
        <v>31</v>
      </c>
      <c r="W4">
        <v>75.2</v>
      </c>
      <c r="X4">
        <v>196</v>
      </c>
      <c r="Y4">
        <v>225</v>
      </c>
      <c r="Z4">
        <v>275</v>
      </c>
      <c r="AA4">
        <v>145</v>
      </c>
      <c r="AB4">
        <v>62.6</v>
      </c>
      <c r="AC4">
        <f t="shared" ref="AC4:AC51" si="13">CORREL($Q$52:$V$52,Q4:V4)</f>
        <v>0.26674630294331719</v>
      </c>
      <c r="AD4">
        <f t="shared" ref="AD4:AD51" si="14">SQRT(SUMXMY2($Q$52:$V$52,Q4:V4))</f>
        <v>64.436932732711611</v>
      </c>
    </row>
    <row r="5" spans="1:33">
      <c r="B5">
        <v>1979</v>
      </c>
      <c r="C5" s="15">
        <f t="shared" si="0"/>
        <v>11.159999999999998</v>
      </c>
      <c r="D5" s="15">
        <f t="shared" si="1"/>
        <v>7.3284324324324315</v>
      </c>
      <c r="E5" s="15">
        <f t="shared" si="2"/>
        <v>6.4848648648648641</v>
      </c>
      <c r="F5" s="15">
        <f t="shared" si="3"/>
        <v>7.5308108108108103</v>
      </c>
      <c r="G5" s="15">
        <f t="shared" si="4"/>
        <v>10.526594594594593</v>
      </c>
      <c r="H5" s="15">
        <f t="shared" si="5"/>
        <v>25.803243243243241</v>
      </c>
      <c r="I5" s="15">
        <f t="shared" si="6"/>
        <v>49.767567567567568</v>
      </c>
      <c r="J5" s="15">
        <f t="shared" si="7"/>
        <v>61.07</v>
      </c>
      <c r="K5" s="15">
        <f t="shared" si="8"/>
        <v>37.65405405405405</v>
      </c>
      <c r="L5" s="15">
        <f t="shared" si="9"/>
        <v>61.07</v>
      </c>
      <c r="M5" s="15">
        <f t="shared" si="10"/>
        <v>43.783783783783775</v>
      </c>
      <c r="N5" s="15">
        <f t="shared" si="11"/>
        <v>24.491675675675676</v>
      </c>
      <c r="O5" s="34">
        <f t="shared" si="12"/>
        <v>346.67102702702698</v>
      </c>
      <c r="Q5">
        <v>37</v>
      </c>
      <c r="R5">
        <v>26.9</v>
      </c>
      <c r="S5">
        <v>21.5</v>
      </c>
      <c r="T5">
        <v>25.8</v>
      </c>
      <c r="U5">
        <v>34.9</v>
      </c>
      <c r="V5">
        <v>88.4</v>
      </c>
      <c r="W5">
        <v>165</v>
      </c>
      <c r="X5">
        <v>244</v>
      </c>
      <c r="Y5">
        <v>129</v>
      </c>
      <c r="Z5">
        <v>209</v>
      </c>
      <c r="AA5">
        <v>150</v>
      </c>
      <c r="AB5">
        <v>81.2</v>
      </c>
      <c r="AC5">
        <f t="shared" si="13"/>
        <v>0.23266445540911648</v>
      </c>
      <c r="AD5">
        <f t="shared" si="14"/>
        <v>58.67418768078516</v>
      </c>
    </row>
    <row r="6" spans="1:33">
      <c r="A6" s="33"/>
      <c r="B6">
        <v>1980</v>
      </c>
      <c r="C6" s="15">
        <f t="shared" si="0"/>
        <v>17.192432432432433</v>
      </c>
      <c r="D6" s="15">
        <f t="shared" si="1"/>
        <v>11.08897297297297</v>
      </c>
      <c r="E6" s="15">
        <f t="shared" si="2"/>
        <v>8.5358918918918913</v>
      </c>
      <c r="F6" s="15">
        <f t="shared" si="3"/>
        <v>8.2313513513513499</v>
      </c>
      <c r="G6" s="15">
        <f t="shared" si="4"/>
        <v>14.2667027027027</v>
      </c>
      <c r="H6" s="15">
        <f t="shared" si="5"/>
        <v>24.168648648648645</v>
      </c>
      <c r="I6" s="15">
        <f t="shared" si="6"/>
        <v>25.547351351351349</v>
      </c>
      <c r="J6" s="15">
        <f t="shared" si="7"/>
        <v>38.909189189189185</v>
      </c>
      <c r="K6" s="15">
        <f t="shared" si="8"/>
        <v>61.07</v>
      </c>
      <c r="L6" s="15">
        <f t="shared" si="9"/>
        <v>61.07</v>
      </c>
      <c r="M6" s="15">
        <f t="shared" si="10"/>
        <v>53.416216216216213</v>
      </c>
      <c r="N6" s="15">
        <f t="shared" si="11"/>
        <v>23.61697297297297</v>
      </c>
      <c r="O6" s="34">
        <f t="shared" si="12"/>
        <v>347.11372972972976</v>
      </c>
      <c r="Q6">
        <v>57</v>
      </c>
      <c r="R6">
        <v>39.299999999999997</v>
      </c>
      <c r="S6">
        <v>28.3</v>
      </c>
      <c r="T6">
        <v>28.2</v>
      </c>
      <c r="U6">
        <v>47.3</v>
      </c>
      <c r="V6">
        <v>82.8</v>
      </c>
      <c r="W6">
        <v>84.7</v>
      </c>
      <c r="X6">
        <v>129</v>
      </c>
      <c r="Y6">
        <v>249</v>
      </c>
      <c r="Z6">
        <v>241</v>
      </c>
      <c r="AA6">
        <v>183</v>
      </c>
      <c r="AB6">
        <v>78.3</v>
      </c>
      <c r="AC6">
        <f t="shared" si="13"/>
        <v>0.50383504062772499</v>
      </c>
      <c r="AD6">
        <f t="shared" si="14"/>
        <v>41.24284544014877</v>
      </c>
    </row>
    <row r="7" spans="1:33">
      <c r="B7">
        <v>1981</v>
      </c>
      <c r="C7" s="15">
        <f t="shared" si="0"/>
        <v>14.23654054054054</v>
      </c>
      <c r="D7" s="15">
        <f t="shared" si="1"/>
        <v>9.2627027027027005</v>
      </c>
      <c r="E7" s="15">
        <f t="shared" si="2"/>
        <v>7.6913513513513507</v>
      </c>
      <c r="F7" s="15">
        <f t="shared" si="3"/>
        <v>7.0345945945945942</v>
      </c>
      <c r="G7" s="15">
        <f t="shared" si="4"/>
        <v>10.436108108108106</v>
      </c>
      <c r="H7" s="15">
        <f t="shared" si="5"/>
        <v>30.356756756756752</v>
      </c>
      <c r="I7" s="15">
        <f t="shared" si="6"/>
        <v>22.35016216216216</v>
      </c>
      <c r="J7" s="15">
        <f t="shared" si="7"/>
        <v>61.07</v>
      </c>
      <c r="K7" s="15">
        <f t="shared" si="8"/>
        <v>43.783783783783775</v>
      </c>
      <c r="L7" s="15">
        <f t="shared" si="9"/>
        <v>61.07</v>
      </c>
      <c r="M7" s="15">
        <f t="shared" si="10"/>
        <v>61.07</v>
      </c>
      <c r="N7" s="15">
        <f t="shared" si="11"/>
        <v>47.656216216216215</v>
      </c>
      <c r="O7" s="34">
        <f t="shared" si="12"/>
        <v>376.01821621621616</v>
      </c>
      <c r="Q7">
        <v>47.2</v>
      </c>
      <c r="R7">
        <v>34</v>
      </c>
      <c r="S7">
        <v>25.5</v>
      </c>
      <c r="T7">
        <v>24.1</v>
      </c>
      <c r="U7">
        <v>34.6</v>
      </c>
      <c r="V7">
        <v>104</v>
      </c>
      <c r="W7">
        <v>74.099999999999994</v>
      </c>
      <c r="X7">
        <v>282</v>
      </c>
      <c r="Y7">
        <v>150</v>
      </c>
      <c r="Z7">
        <v>274</v>
      </c>
      <c r="AA7">
        <v>235</v>
      </c>
      <c r="AB7">
        <v>158</v>
      </c>
      <c r="AC7">
        <f t="shared" si="13"/>
        <v>0.34012835116159956</v>
      </c>
      <c r="AD7">
        <f t="shared" si="14"/>
        <v>63.862714474096705</v>
      </c>
    </row>
    <row r="8" spans="1:33">
      <c r="B8">
        <v>1982</v>
      </c>
      <c r="C8" s="15">
        <f t="shared" si="0"/>
        <v>18.368756756756756</v>
      </c>
      <c r="D8" s="15">
        <f t="shared" si="1"/>
        <v>10.624864864864863</v>
      </c>
      <c r="E8" s="15">
        <f t="shared" si="2"/>
        <v>8.8676756756756756</v>
      </c>
      <c r="F8" s="15">
        <f t="shared" si="3"/>
        <v>9.1945945945945944</v>
      </c>
      <c r="G8" s="15">
        <f t="shared" si="4"/>
        <v>8.7470270270270252</v>
      </c>
      <c r="H8" s="15">
        <f t="shared" si="5"/>
        <v>21.921081081081077</v>
      </c>
      <c r="I8" s="15">
        <f t="shared" si="6"/>
        <v>26.844324324324322</v>
      </c>
      <c r="J8" s="15">
        <f t="shared" si="7"/>
        <v>23.134378378378376</v>
      </c>
      <c r="K8" s="15">
        <f t="shared" si="8"/>
        <v>61.07</v>
      </c>
      <c r="L8" s="15">
        <f t="shared" si="9"/>
        <v>40.718918918918916</v>
      </c>
      <c r="M8" s="15">
        <f t="shared" si="10"/>
        <v>23.555675675675676</v>
      </c>
      <c r="N8" s="15">
        <f t="shared" si="11"/>
        <v>14.779459459459458</v>
      </c>
      <c r="O8" s="34">
        <f t="shared" si="12"/>
        <v>267.82675675675671</v>
      </c>
      <c r="Q8">
        <v>60.9</v>
      </c>
      <c r="R8">
        <v>39</v>
      </c>
      <c r="S8">
        <v>29.4</v>
      </c>
      <c r="T8">
        <v>31.5</v>
      </c>
      <c r="U8">
        <v>29</v>
      </c>
      <c r="V8">
        <v>75.099999999999994</v>
      </c>
      <c r="W8">
        <v>89</v>
      </c>
      <c r="X8">
        <v>76.7</v>
      </c>
      <c r="Y8">
        <v>307</v>
      </c>
      <c r="Z8">
        <v>135</v>
      </c>
      <c r="AA8">
        <v>80.7</v>
      </c>
      <c r="AB8">
        <v>49</v>
      </c>
      <c r="AC8">
        <f t="shared" si="13"/>
        <v>0.65578929066412661</v>
      </c>
      <c r="AD8">
        <f t="shared" si="14"/>
        <v>32.815458247600326</v>
      </c>
    </row>
    <row r="9" spans="1:33">
      <c r="B9">
        <v>1983</v>
      </c>
      <c r="C9" s="15">
        <f t="shared" si="0"/>
        <v>11.491783783783783</v>
      </c>
      <c r="D9" s="15">
        <f t="shared" si="1"/>
        <v>7.5191351351351345</v>
      </c>
      <c r="E9" s="15">
        <f t="shared" si="2"/>
        <v>6.665837837837838</v>
      </c>
      <c r="F9" s="15">
        <f t="shared" si="3"/>
        <v>5.3416216216216208</v>
      </c>
      <c r="G9" s="15">
        <f t="shared" si="4"/>
        <v>8.5962162162162166</v>
      </c>
      <c r="H9" s="15">
        <f t="shared" si="5"/>
        <v>14.594594594594595</v>
      </c>
      <c r="I9" s="15">
        <f t="shared" si="6"/>
        <v>12.607783783783781</v>
      </c>
      <c r="J9" s="15">
        <f t="shared" si="7"/>
        <v>31.97189189189189</v>
      </c>
      <c r="K9" s="15">
        <f t="shared" si="8"/>
        <v>31.232432432432429</v>
      </c>
      <c r="L9" s="15">
        <f t="shared" si="9"/>
        <v>61.07</v>
      </c>
      <c r="M9" s="15">
        <f t="shared" si="10"/>
        <v>35.902702702702705</v>
      </c>
      <c r="N9" s="15">
        <f t="shared" si="11"/>
        <v>18.42908108108108</v>
      </c>
      <c r="O9" s="34">
        <f t="shared" si="12"/>
        <v>245.42308108108105</v>
      </c>
      <c r="Q9">
        <v>38.1</v>
      </c>
      <c r="R9">
        <v>27.6</v>
      </c>
      <c r="S9">
        <v>22.1</v>
      </c>
      <c r="T9">
        <v>18.3</v>
      </c>
      <c r="U9">
        <v>28.5</v>
      </c>
      <c r="V9">
        <v>50</v>
      </c>
      <c r="W9">
        <v>41.8</v>
      </c>
      <c r="X9">
        <v>106</v>
      </c>
      <c r="Y9">
        <v>107</v>
      </c>
      <c r="Z9">
        <v>302</v>
      </c>
      <c r="AA9">
        <v>123</v>
      </c>
      <c r="AB9">
        <v>61.1</v>
      </c>
      <c r="AC9">
        <f t="shared" si="13"/>
        <v>0.60819158178653809</v>
      </c>
      <c r="AD9">
        <f t="shared" si="14"/>
        <v>42.632151013055868</v>
      </c>
    </row>
    <row r="10" spans="1:33">
      <c r="B10">
        <v>1984</v>
      </c>
      <c r="C10" s="15">
        <f t="shared" si="0"/>
        <v>12.487135135135135</v>
      </c>
      <c r="D10" s="15">
        <f t="shared" si="1"/>
        <v>8.0134054054054022</v>
      </c>
      <c r="E10" s="15">
        <f t="shared" si="2"/>
        <v>6.6055135135135119</v>
      </c>
      <c r="F10" s="15">
        <f t="shared" si="3"/>
        <v>7.7935135135135125</v>
      </c>
      <c r="G10" s="15">
        <f t="shared" si="4"/>
        <v>13.241189189189187</v>
      </c>
      <c r="H10" s="15">
        <f t="shared" si="5"/>
        <v>23.67243243243243</v>
      </c>
      <c r="I10" s="15">
        <f t="shared" si="6"/>
        <v>28.623891891891894</v>
      </c>
      <c r="J10" s="15">
        <f t="shared" si="7"/>
        <v>61.07</v>
      </c>
      <c r="K10" s="15">
        <f t="shared" si="8"/>
        <v>61.07</v>
      </c>
      <c r="L10" s="15">
        <f t="shared" si="9"/>
        <v>61.07</v>
      </c>
      <c r="M10" s="15">
        <f t="shared" si="10"/>
        <v>33.567567567567565</v>
      </c>
      <c r="N10" s="15">
        <f t="shared" si="11"/>
        <v>23.828108108108108</v>
      </c>
      <c r="O10" s="34">
        <f t="shared" si="12"/>
        <v>341.04275675675672</v>
      </c>
      <c r="Q10">
        <v>41.4</v>
      </c>
      <c r="R10">
        <v>28.4</v>
      </c>
      <c r="S10">
        <v>21.9</v>
      </c>
      <c r="T10">
        <v>26.7</v>
      </c>
      <c r="U10">
        <v>43.9</v>
      </c>
      <c r="V10">
        <v>81.099999999999994</v>
      </c>
      <c r="W10">
        <v>94.9</v>
      </c>
      <c r="X10">
        <v>296</v>
      </c>
      <c r="Y10">
        <v>250</v>
      </c>
      <c r="Z10">
        <v>254</v>
      </c>
      <c r="AA10">
        <v>115</v>
      </c>
      <c r="AB10">
        <v>79</v>
      </c>
      <c r="AC10">
        <f t="shared" si="13"/>
        <v>0.27121387650004153</v>
      </c>
      <c r="AD10">
        <f t="shared" si="14"/>
        <v>50.990178466053642</v>
      </c>
    </row>
    <row r="11" spans="1:33">
      <c r="B11">
        <v>1985</v>
      </c>
      <c r="C11" s="15">
        <f t="shared" si="0"/>
        <v>12.969729729729728</v>
      </c>
      <c r="D11" s="15">
        <f t="shared" si="1"/>
        <v>8.172972972972973</v>
      </c>
      <c r="E11" s="15">
        <f t="shared" si="2"/>
        <v>7.0579459459459448</v>
      </c>
      <c r="F11" s="15">
        <f t="shared" si="3"/>
        <v>10.595675675675675</v>
      </c>
      <c r="G11" s="15">
        <f t="shared" si="4"/>
        <v>13.060216216216213</v>
      </c>
      <c r="H11" s="15">
        <f t="shared" si="5"/>
        <v>23.701621621621619</v>
      </c>
      <c r="I11" s="15">
        <f t="shared" si="6"/>
        <v>33.781621621621618</v>
      </c>
      <c r="J11" s="15">
        <f t="shared" si="7"/>
        <v>31.670270270270265</v>
      </c>
      <c r="K11" s="15">
        <f t="shared" si="8"/>
        <v>51.956756756756754</v>
      </c>
      <c r="L11" s="15">
        <f t="shared" si="9"/>
        <v>46.751351351351353</v>
      </c>
      <c r="M11" s="15">
        <f t="shared" si="10"/>
        <v>26.27027027027027</v>
      </c>
      <c r="N11" s="15">
        <f t="shared" si="11"/>
        <v>21.535783783783785</v>
      </c>
      <c r="O11" s="34">
        <f t="shared" si="12"/>
        <v>287.52421621621625</v>
      </c>
      <c r="Q11">
        <v>43</v>
      </c>
      <c r="R11">
        <v>30</v>
      </c>
      <c r="S11">
        <v>23.4</v>
      </c>
      <c r="T11">
        <v>36.299999999999997</v>
      </c>
      <c r="U11">
        <v>43.3</v>
      </c>
      <c r="V11">
        <v>81.2</v>
      </c>
      <c r="W11">
        <v>112</v>
      </c>
      <c r="X11">
        <v>105</v>
      </c>
      <c r="Y11">
        <v>178</v>
      </c>
      <c r="Z11">
        <v>155</v>
      </c>
      <c r="AA11">
        <v>90</v>
      </c>
      <c r="AB11">
        <v>71.400000000000006</v>
      </c>
      <c r="AC11">
        <f t="shared" si="13"/>
        <v>0.2075950377719169</v>
      </c>
      <c r="AD11">
        <f t="shared" si="14"/>
        <v>49.654328109440776</v>
      </c>
    </row>
    <row r="12" spans="1:33">
      <c r="B12">
        <v>1986</v>
      </c>
      <c r="C12" s="15">
        <f t="shared" si="0"/>
        <v>11.763243243243242</v>
      </c>
      <c r="D12" s="15">
        <f t="shared" si="1"/>
        <v>6.8652972972972979</v>
      </c>
      <c r="E12" s="15">
        <f t="shared" si="2"/>
        <v>5.8514594594594582</v>
      </c>
      <c r="F12" s="15">
        <f t="shared" si="3"/>
        <v>3.8237837837837838</v>
      </c>
      <c r="G12" s="15">
        <f t="shared" si="4"/>
        <v>7.4198918918918917</v>
      </c>
      <c r="H12" s="15">
        <f t="shared" si="5"/>
        <v>9.9827027027027011</v>
      </c>
      <c r="I12" s="15">
        <f t="shared" si="6"/>
        <v>21.113513513513514</v>
      </c>
      <c r="J12" s="15">
        <f t="shared" si="7"/>
        <v>61.07</v>
      </c>
      <c r="K12" s="15">
        <f t="shared" si="8"/>
        <v>48.745945945945941</v>
      </c>
      <c r="L12" s="15">
        <f t="shared" si="9"/>
        <v>49.46594594594594</v>
      </c>
      <c r="M12" s="15">
        <f t="shared" si="10"/>
        <v>28.225945945945945</v>
      </c>
      <c r="N12" s="15">
        <f t="shared" si="11"/>
        <v>34.083243243243238</v>
      </c>
      <c r="O12" s="34">
        <f t="shared" si="12"/>
        <v>288.41097297297296</v>
      </c>
      <c r="Q12">
        <v>39</v>
      </c>
      <c r="R12">
        <v>25.2</v>
      </c>
      <c r="S12">
        <v>19.399999999999999</v>
      </c>
      <c r="T12">
        <v>13.1</v>
      </c>
      <c r="U12">
        <v>24.6</v>
      </c>
      <c r="V12">
        <v>34.200000000000003</v>
      </c>
      <c r="W12">
        <v>70</v>
      </c>
      <c r="X12">
        <v>231</v>
      </c>
      <c r="Y12">
        <v>167</v>
      </c>
      <c r="Z12">
        <v>164</v>
      </c>
      <c r="AA12">
        <v>96.7</v>
      </c>
      <c r="AB12">
        <v>113</v>
      </c>
      <c r="AC12">
        <f t="shared" si="13"/>
        <v>0.89948351452593045</v>
      </c>
      <c r="AD12">
        <f t="shared" si="14"/>
        <v>48.347412547105357</v>
      </c>
    </row>
    <row r="13" spans="1:33">
      <c r="B13">
        <v>1987</v>
      </c>
      <c r="C13" s="15">
        <f t="shared" si="0"/>
        <v>15.382702702702701</v>
      </c>
      <c r="D13" s="15">
        <f t="shared" si="1"/>
        <v>9.0447567567567564</v>
      </c>
      <c r="E13" s="15">
        <f t="shared" si="2"/>
        <v>7.480216216216216</v>
      </c>
      <c r="F13" s="15">
        <f t="shared" si="3"/>
        <v>4.8745945945945941</v>
      </c>
      <c r="G13" s="15">
        <f t="shared" si="4"/>
        <v>6.7563243243243232</v>
      </c>
      <c r="H13" s="15">
        <f t="shared" si="5"/>
        <v>18.681081081081082</v>
      </c>
      <c r="I13" s="15">
        <f t="shared" si="6"/>
        <v>35.591351351351349</v>
      </c>
      <c r="J13" s="15">
        <f t="shared" si="7"/>
        <v>36.797837837837839</v>
      </c>
      <c r="K13" s="15">
        <f t="shared" si="8"/>
        <v>61.07</v>
      </c>
      <c r="L13" s="15">
        <f t="shared" si="9"/>
        <v>41.9254054054054</v>
      </c>
      <c r="M13" s="15">
        <f t="shared" si="10"/>
        <v>32.4</v>
      </c>
      <c r="N13" s="15">
        <f t="shared" si="11"/>
        <v>20.902378378378376</v>
      </c>
      <c r="O13" s="34">
        <f t="shared" si="12"/>
        <v>290.90664864864863</v>
      </c>
      <c r="Q13">
        <v>51</v>
      </c>
      <c r="R13">
        <v>33.200000000000003</v>
      </c>
      <c r="S13">
        <v>24.8</v>
      </c>
      <c r="T13">
        <v>16.7</v>
      </c>
      <c r="U13">
        <v>22.4</v>
      </c>
      <c r="V13">
        <v>64</v>
      </c>
      <c r="W13">
        <v>118</v>
      </c>
      <c r="X13">
        <v>122</v>
      </c>
      <c r="Y13">
        <v>213</v>
      </c>
      <c r="Z13">
        <v>139</v>
      </c>
      <c r="AA13">
        <v>111</v>
      </c>
      <c r="AB13">
        <v>69.3</v>
      </c>
      <c r="AC13">
        <f t="shared" si="13"/>
        <v>0.71058982317059594</v>
      </c>
      <c r="AD13">
        <f t="shared" si="14"/>
        <v>36.898784532827101</v>
      </c>
    </row>
    <row r="14" spans="1:33">
      <c r="B14">
        <v>1988</v>
      </c>
      <c r="C14" s="15">
        <f t="shared" si="0"/>
        <v>13.391999999999998</v>
      </c>
      <c r="D14" s="15">
        <f t="shared" si="1"/>
        <v>8.9163243243243251</v>
      </c>
      <c r="E14" s="15">
        <f t="shared" si="2"/>
        <v>6.4848648648648641</v>
      </c>
      <c r="F14" s="15">
        <f t="shared" si="3"/>
        <v>6.4216216216216209</v>
      </c>
      <c r="G14" s="15">
        <f t="shared" si="4"/>
        <v>12.426810810810812</v>
      </c>
      <c r="H14" s="15">
        <f t="shared" si="5"/>
        <v>18.330810810810807</v>
      </c>
      <c r="I14" s="15">
        <f t="shared" si="6"/>
        <v>20.118162162162157</v>
      </c>
      <c r="J14" s="15">
        <f t="shared" si="7"/>
        <v>24.73297297297297</v>
      </c>
      <c r="K14" s="15">
        <f t="shared" si="8"/>
        <v>40.57297297297297</v>
      </c>
      <c r="L14" s="15">
        <f t="shared" si="9"/>
        <v>61.07</v>
      </c>
      <c r="M14" s="15">
        <f t="shared" si="10"/>
        <v>50.497297297297294</v>
      </c>
      <c r="N14" s="15">
        <f t="shared" si="11"/>
        <v>24.461513513513509</v>
      </c>
      <c r="O14" s="34">
        <f t="shared" si="12"/>
        <v>287.42535135135137</v>
      </c>
      <c r="Q14">
        <v>44.4</v>
      </c>
      <c r="R14">
        <v>31.6</v>
      </c>
      <c r="S14">
        <v>21.5</v>
      </c>
      <c r="T14">
        <v>22</v>
      </c>
      <c r="U14">
        <v>41.2</v>
      </c>
      <c r="V14">
        <v>62.8</v>
      </c>
      <c r="W14">
        <v>66.7</v>
      </c>
      <c r="X14">
        <v>82</v>
      </c>
      <c r="Y14">
        <v>139</v>
      </c>
      <c r="Z14">
        <v>211</v>
      </c>
      <c r="AA14">
        <v>173</v>
      </c>
      <c r="AB14">
        <v>81.099999999999994</v>
      </c>
      <c r="AC14">
        <f t="shared" si="13"/>
        <v>0.48456318391286196</v>
      </c>
      <c r="AD14">
        <f t="shared" si="14"/>
        <v>38.389768168093966</v>
      </c>
    </row>
    <row r="15" spans="1:33">
      <c r="B15">
        <v>1989</v>
      </c>
      <c r="C15" s="15">
        <f t="shared" si="0"/>
        <v>16.679675675675675</v>
      </c>
      <c r="D15" s="15">
        <f t="shared" si="1"/>
        <v>9.1537297297297293</v>
      </c>
      <c r="E15" s="15">
        <f t="shared" si="2"/>
        <v>9.4709189189189189</v>
      </c>
      <c r="F15" s="15">
        <f t="shared" si="3"/>
        <v>9.1070270270270264</v>
      </c>
      <c r="G15" s="15">
        <f t="shared" si="4"/>
        <v>22.078702702702699</v>
      </c>
      <c r="H15" s="15">
        <f t="shared" si="5"/>
        <v>30.648648648648646</v>
      </c>
      <c r="I15" s="15">
        <f t="shared" si="6"/>
        <v>39.512432432432426</v>
      </c>
      <c r="J15" s="15">
        <f t="shared" si="7"/>
        <v>58.212972972972963</v>
      </c>
      <c r="K15" s="15">
        <f t="shared" si="8"/>
        <v>61.07</v>
      </c>
      <c r="L15" s="15">
        <f t="shared" si="9"/>
        <v>52.180540540540541</v>
      </c>
      <c r="M15" s="15">
        <f t="shared" si="10"/>
        <v>27.408648648648647</v>
      </c>
      <c r="N15" s="15">
        <f t="shared" si="11"/>
        <v>16.981297297297296</v>
      </c>
      <c r="O15" s="34">
        <f t="shared" si="12"/>
        <v>352.50459459459461</v>
      </c>
      <c r="Q15">
        <v>55.3</v>
      </c>
      <c r="R15">
        <v>33.6</v>
      </c>
      <c r="S15">
        <v>31.4</v>
      </c>
      <c r="T15">
        <v>31.2</v>
      </c>
      <c r="U15">
        <v>73.2</v>
      </c>
      <c r="V15">
        <v>105</v>
      </c>
      <c r="W15">
        <v>131</v>
      </c>
      <c r="X15">
        <v>193</v>
      </c>
      <c r="Y15">
        <v>243</v>
      </c>
      <c r="Z15">
        <v>173</v>
      </c>
      <c r="AA15">
        <v>93.9</v>
      </c>
      <c r="AB15">
        <v>56.3</v>
      </c>
      <c r="AC15">
        <f t="shared" si="13"/>
        <v>0.23818190585475335</v>
      </c>
      <c r="AD15">
        <f t="shared" si="14"/>
        <v>70.991452302372295</v>
      </c>
    </row>
    <row r="16" spans="1:33">
      <c r="B16">
        <v>1990</v>
      </c>
      <c r="C16" s="15">
        <f t="shared" si="0"/>
        <v>11.371135135135136</v>
      </c>
      <c r="D16" s="15">
        <f t="shared" si="1"/>
        <v>7.2467027027027022</v>
      </c>
      <c r="E16" s="15">
        <f t="shared" si="2"/>
        <v>6.1832432432432425</v>
      </c>
      <c r="F16" s="15">
        <f t="shared" si="3"/>
        <v>6.3048648648648644</v>
      </c>
      <c r="G16" s="15">
        <f t="shared" si="4"/>
        <v>8.385081081081081</v>
      </c>
      <c r="H16" s="15">
        <f t="shared" si="5"/>
        <v>52.24864864864864</v>
      </c>
      <c r="I16" s="15">
        <f t="shared" si="6"/>
        <v>40.417297297297289</v>
      </c>
      <c r="J16" s="15">
        <f t="shared" si="7"/>
        <v>61.07</v>
      </c>
      <c r="K16" s="15">
        <f t="shared" si="8"/>
        <v>61.07</v>
      </c>
      <c r="L16" s="15">
        <f t="shared" si="9"/>
        <v>53.085405405405403</v>
      </c>
      <c r="M16" s="15">
        <f t="shared" si="10"/>
        <v>61.07</v>
      </c>
      <c r="N16" s="15">
        <f t="shared" si="11"/>
        <v>30.463783783783782</v>
      </c>
      <c r="O16" s="34">
        <f t="shared" si="12"/>
        <v>398.9161621621621</v>
      </c>
      <c r="Q16">
        <v>37.700000000000003</v>
      </c>
      <c r="R16">
        <v>26.6</v>
      </c>
      <c r="S16">
        <v>20.5</v>
      </c>
      <c r="T16">
        <v>21.6</v>
      </c>
      <c r="U16">
        <v>27.8</v>
      </c>
      <c r="V16">
        <v>179</v>
      </c>
      <c r="W16">
        <v>134</v>
      </c>
      <c r="X16">
        <v>271</v>
      </c>
      <c r="Y16">
        <v>260</v>
      </c>
      <c r="Z16">
        <v>176</v>
      </c>
      <c r="AA16">
        <v>229</v>
      </c>
      <c r="AB16">
        <v>101</v>
      </c>
      <c r="AC16">
        <f t="shared" si="13"/>
        <v>0.18297684982804624</v>
      </c>
      <c r="AD16">
        <f t="shared" si="14"/>
        <v>138.58073567419103</v>
      </c>
    </row>
    <row r="17" spans="2:30">
      <c r="B17">
        <v>1991</v>
      </c>
      <c r="C17" s="15">
        <f t="shared" si="0"/>
        <v>18.760864864864864</v>
      </c>
      <c r="D17" s="15">
        <f t="shared" si="1"/>
        <v>10.570378378378377</v>
      </c>
      <c r="E17" s="15">
        <f t="shared" si="2"/>
        <v>9.1692972972972964</v>
      </c>
      <c r="F17" s="15">
        <f t="shared" si="3"/>
        <v>7.997837837837837</v>
      </c>
      <c r="G17" s="15">
        <f t="shared" si="4"/>
        <v>12.276</v>
      </c>
      <c r="H17" s="15">
        <f t="shared" si="5"/>
        <v>15.557837837837836</v>
      </c>
      <c r="I17" s="15">
        <f t="shared" si="6"/>
        <v>26.331567567567564</v>
      </c>
      <c r="J17" s="15">
        <f t="shared" si="7"/>
        <v>41.322162162162158</v>
      </c>
      <c r="K17" s="15">
        <f t="shared" si="8"/>
        <v>51.956756756756754</v>
      </c>
      <c r="L17" s="15">
        <f t="shared" si="9"/>
        <v>54.593513513513507</v>
      </c>
      <c r="M17" s="15">
        <f t="shared" si="10"/>
        <v>23.759999999999998</v>
      </c>
      <c r="N17" s="15">
        <f t="shared" si="11"/>
        <v>12.818918918918916</v>
      </c>
      <c r="O17" s="34">
        <f t="shared" si="12"/>
        <v>285.11513513513512</v>
      </c>
      <c r="Q17">
        <v>62.2</v>
      </c>
      <c r="R17">
        <v>38.799999999999997</v>
      </c>
      <c r="S17">
        <v>30.4</v>
      </c>
      <c r="T17">
        <v>27.4</v>
      </c>
      <c r="U17">
        <v>40.700000000000003</v>
      </c>
      <c r="V17">
        <v>53.3</v>
      </c>
      <c r="W17">
        <v>87.3</v>
      </c>
      <c r="X17">
        <v>137</v>
      </c>
      <c r="Y17">
        <v>178</v>
      </c>
      <c r="Z17">
        <v>181</v>
      </c>
      <c r="AA17">
        <v>81.400000000000006</v>
      </c>
      <c r="AB17">
        <v>42.5</v>
      </c>
      <c r="AC17">
        <f t="shared" si="13"/>
        <v>0.89098019044825383</v>
      </c>
      <c r="AD17">
        <f t="shared" si="14"/>
        <v>15.604367978229691</v>
      </c>
    </row>
    <row r="18" spans="2:30">
      <c r="B18">
        <v>1992</v>
      </c>
      <c r="C18" s="15">
        <f t="shared" si="0"/>
        <v>8.3247567567567557</v>
      </c>
      <c r="D18" s="15">
        <f t="shared" si="1"/>
        <v>5.6150270270270255</v>
      </c>
      <c r="E18" s="15">
        <f t="shared" si="2"/>
        <v>4.9164324324324316</v>
      </c>
      <c r="F18" s="15">
        <f t="shared" si="3"/>
        <v>5.7502702702702697</v>
      </c>
      <c r="G18" s="15">
        <f t="shared" si="4"/>
        <v>9.5010810810810788</v>
      </c>
      <c r="H18" s="15">
        <f t="shared" si="5"/>
        <v>30.648648648648646</v>
      </c>
      <c r="I18" s="15">
        <f t="shared" si="6"/>
        <v>26.271243243243237</v>
      </c>
      <c r="J18" s="15">
        <f t="shared" si="7"/>
        <v>61.07</v>
      </c>
      <c r="K18" s="15">
        <f t="shared" si="8"/>
        <v>61.07</v>
      </c>
      <c r="L18" s="15">
        <f t="shared" si="9"/>
        <v>61.07</v>
      </c>
      <c r="M18" s="15">
        <f t="shared" si="10"/>
        <v>50.497297297297294</v>
      </c>
      <c r="N18" s="15">
        <f t="shared" si="11"/>
        <v>27.960324324324322</v>
      </c>
      <c r="O18" s="34">
        <f t="shared" si="12"/>
        <v>352.69508108108107</v>
      </c>
      <c r="Q18">
        <v>27.6</v>
      </c>
      <c r="R18">
        <v>19.899999999999999</v>
      </c>
      <c r="S18">
        <v>16.3</v>
      </c>
      <c r="T18">
        <v>19.7</v>
      </c>
      <c r="U18">
        <v>31.5</v>
      </c>
      <c r="V18">
        <v>105</v>
      </c>
      <c r="W18">
        <v>87.1</v>
      </c>
      <c r="X18">
        <v>241</v>
      </c>
      <c r="Y18">
        <v>225</v>
      </c>
      <c r="Z18">
        <v>292</v>
      </c>
      <c r="AA18">
        <v>173</v>
      </c>
      <c r="AB18">
        <v>92.7</v>
      </c>
      <c r="AC18">
        <f t="shared" si="13"/>
        <v>0.15183695921997833</v>
      </c>
      <c r="AD18">
        <f t="shared" si="14"/>
        <v>80.003826783473315</v>
      </c>
    </row>
    <row r="19" spans="2:30">
      <c r="B19">
        <v>1993</v>
      </c>
      <c r="C19" s="15">
        <f t="shared" si="0"/>
        <v>15.171567567567566</v>
      </c>
      <c r="D19" s="15">
        <f t="shared" si="1"/>
        <v>9.7803243243243223</v>
      </c>
      <c r="E19" s="15">
        <f t="shared" si="2"/>
        <v>9.6217297297297293</v>
      </c>
      <c r="F19" s="15">
        <f t="shared" si="3"/>
        <v>7.8518918918918912</v>
      </c>
      <c r="G19" s="15">
        <f t="shared" si="4"/>
        <v>13.060216216216213</v>
      </c>
      <c r="H19" s="15">
        <f t="shared" si="5"/>
        <v>14.71135135135135</v>
      </c>
      <c r="I19" s="15">
        <f t="shared" si="6"/>
        <v>31.067027027027027</v>
      </c>
      <c r="J19" s="15">
        <f t="shared" si="7"/>
        <v>34.686486486486487</v>
      </c>
      <c r="K19" s="15">
        <f t="shared" si="8"/>
        <v>39.98918918918919</v>
      </c>
      <c r="L19" s="15">
        <f t="shared" si="9"/>
        <v>61.07</v>
      </c>
      <c r="M19" s="15">
        <f t="shared" si="10"/>
        <v>38.821621621621617</v>
      </c>
      <c r="N19" s="15">
        <f t="shared" si="11"/>
        <v>56.101621621621618</v>
      </c>
      <c r="O19" s="34">
        <f t="shared" si="12"/>
        <v>331.93302702702698</v>
      </c>
      <c r="Q19">
        <v>50.3</v>
      </c>
      <c r="R19">
        <v>35.9</v>
      </c>
      <c r="S19">
        <v>31.9</v>
      </c>
      <c r="T19">
        <v>26.9</v>
      </c>
      <c r="U19">
        <v>43.3</v>
      </c>
      <c r="V19">
        <v>50.4</v>
      </c>
      <c r="W19">
        <v>103</v>
      </c>
      <c r="X19">
        <v>115</v>
      </c>
      <c r="Y19">
        <v>137</v>
      </c>
      <c r="Z19">
        <v>316</v>
      </c>
      <c r="AA19">
        <v>133</v>
      </c>
      <c r="AB19">
        <v>186</v>
      </c>
      <c r="AC19">
        <f t="shared" si="13"/>
        <v>0.74364008936512993</v>
      </c>
      <c r="AD19">
        <f t="shared" si="14"/>
        <v>24.095358474195823</v>
      </c>
    </row>
    <row r="20" spans="2:30">
      <c r="B20">
        <v>1994</v>
      </c>
      <c r="C20" s="15">
        <f t="shared" si="0"/>
        <v>19.756216216216213</v>
      </c>
      <c r="D20" s="15">
        <f t="shared" si="1"/>
        <v>11.959783783783784</v>
      </c>
      <c r="E20" s="15">
        <f t="shared" si="2"/>
        <v>9.8630270270270284</v>
      </c>
      <c r="F20" s="15">
        <f t="shared" si="3"/>
        <v>9.6032432432432415</v>
      </c>
      <c r="G20" s="15">
        <f t="shared" si="4"/>
        <v>12.547459459459457</v>
      </c>
      <c r="H20" s="15">
        <f t="shared" si="5"/>
        <v>16.112432432432431</v>
      </c>
      <c r="I20" s="15">
        <f t="shared" si="6"/>
        <v>36.496216216216212</v>
      </c>
      <c r="J20" s="15">
        <f t="shared" si="7"/>
        <v>37.401081081081081</v>
      </c>
      <c r="K20" s="15">
        <f t="shared" si="8"/>
        <v>58.670270270270265</v>
      </c>
      <c r="L20" s="15">
        <f t="shared" si="9"/>
        <v>52.482162162162155</v>
      </c>
      <c r="M20" s="15">
        <f t="shared" si="10"/>
        <v>22.388108108108106</v>
      </c>
      <c r="N20" s="15">
        <f t="shared" si="11"/>
        <v>15.081081081081079</v>
      </c>
      <c r="O20" s="34">
        <f t="shared" si="12"/>
        <v>302.36108108108107</v>
      </c>
      <c r="Q20">
        <v>65.5</v>
      </c>
      <c r="R20">
        <v>43.9</v>
      </c>
      <c r="S20">
        <v>32.700000000000003</v>
      </c>
      <c r="T20">
        <v>32.9</v>
      </c>
      <c r="U20">
        <v>41.6</v>
      </c>
      <c r="V20">
        <v>55.2</v>
      </c>
      <c r="W20">
        <v>121</v>
      </c>
      <c r="X20">
        <v>124</v>
      </c>
      <c r="Y20">
        <v>201</v>
      </c>
      <c r="Z20">
        <v>174</v>
      </c>
      <c r="AA20">
        <v>76.7</v>
      </c>
      <c r="AB20">
        <v>50</v>
      </c>
      <c r="AC20">
        <f t="shared" si="13"/>
        <v>0.90297608515341043</v>
      </c>
      <c r="AD20">
        <f t="shared" si="14"/>
        <v>13.555305234482921</v>
      </c>
    </row>
    <row r="21" spans="2:30">
      <c r="B21">
        <v>1995</v>
      </c>
      <c r="C21" s="15">
        <f t="shared" si="0"/>
        <v>10.07416216216216</v>
      </c>
      <c r="D21" s="15">
        <f t="shared" si="1"/>
        <v>7.0015135135135136</v>
      </c>
      <c r="E21" s="15">
        <f t="shared" si="2"/>
        <v>6.5451891891891885</v>
      </c>
      <c r="F21" s="15">
        <f t="shared" si="3"/>
        <v>5.5167567567567568</v>
      </c>
      <c r="G21" s="15">
        <f t="shared" si="4"/>
        <v>7.6913513513513507</v>
      </c>
      <c r="H21" s="15">
        <f t="shared" si="5"/>
        <v>9.2529729729729731</v>
      </c>
      <c r="I21" s="15">
        <f t="shared" si="6"/>
        <v>17.946486486486485</v>
      </c>
      <c r="J21" s="15">
        <f t="shared" si="7"/>
        <v>18.972000000000001</v>
      </c>
      <c r="K21" s="15">
        <f t="shared" si="8"/>
        <v>40.281081081081076</v>
      </c>
      <c r="L21" s="15">
        <f t="shared" si="9"/>
        <v>49.767567567567568</v>
      </c>
      <c r="M21" s="15">
        <f t="shared" si="10"/>
        <v>21.424864864864862</v>
      </c>
      <c r="N21" s="15">
        <f t="shared" si="11"/>
        <v>19.514918918918919</v>
      </c>
      <c r="O21" s="34">
        <f t="shared" si="12"/>
        <v>213.98886486486487</v>
      </c>
      <c r="Q21">
        <v>33.4</v>
      </c>
      <c r="R21">
        <v>25.7</v>
      </c>
      <c r="S21">
        <v>21.7</v>
      </c>
      <c r="T21">
        <v>18.899999999999999</v>
      </c>
      <c r="U21">
        <v>25.5</v>
      </c>
      <c r="V21">
        <v>31.7</v>
      </c>
      <c r="W21">
        <v>59.5</v>
      </c>
      <c r="X21">
        <v>62.9</v>
      </c>
      <c r="Y21">
        <v>138</v>
      </c>
      <c r="Z21">
        <v>165</v>
      </c>
      <c r="AA21">
        <v>73.400000000000006</v>
      </c>
      <c r="AB21">
        <v>64.7</v>
      </c>
      <c r="AC21">
        <f t="shared" si="13"/>
        <v>0.86430095246757455</v>
      </c>
      <c r="AD21">
        <f t="shared" si="14"/>
        <v>50.089762427066873</v>
      </c>
    </row>
    <row r="22" spans="2:30">
      <c r="B22">
        <v>1996</v>
      </c>
      <c r="C22" s="15">
        <f t="shared" si="0"/>
        <v>14.176216216216217</v>
      </c>
      <c r="D22" s="15">
        <f t="shared" si="1"/>
        <v>8.9445405405405385</v>
      </c>
      <c r="E22" s="15">
        <f t="shared" si="2"/>
        <v>7.8119999999999994</v>
      </c>
      <c r="F22" s="15">
        <f t="shared" si="3"/>
        <v>9.077837837837837</v>
      </c>
      <c r="G22" s="15">
        <f t="shared" si="4"/>
        <v>20.268972972972971</v>
      </c>
      <c r="H22" s="15">
        <f t="shared" si="5"/>
        <v>27.70054054054054</v>
      </c>
      <c r="I22" s="15">
        <f t="shared" si="6"/>
        <v>37.702702702702702</v>
      </c>
      <c r="J22" s="15">
        <f t="shared" si="7"/>
        <v>48.561081081081078</v>
      </c>
      <c r="K22" s="15">
        <f t="shared" si="8"/>
        <v>61.07</v>
      </c>
      <c r="L22" s="15">
        <f t="shared" si="9"/>
        <v>61.07</v>
      </c>
      <c r="M22" s="15">
        <f t="shared" si="10"/>
        <v>61.07</v>
      </c>
      <c r="N22" s="15">
        <f t="shared" si="11"/>
        <v>57.00648648648648</v>
      </c>
      <c r="O22" s="34">
        <f t="shared" si="12"/>
        <v>414.46037837837838</v>
      </c>
      <c r="Q22">
        <v>47</v>
      </c>
      <c r="R22">
        <v>31.7</v>
      </c>
      <c r="S22">
        <v>25.9</v>
      </c>
      <c r="T22">
        <v>31.1</v>
      </c>
      <c r="U22">
        <v>67.2</v>
      </c>
      <c r="V22">
        <v>94.9</v>
      </c>
      <c r="W22">
        <v>125</v>
      </c>
      <c r="X22">
        <v>161</v>
      </c>
      <c r="Y22">
        <v>249</v>
      </c>
      <c r="Z22">
        <v>348</v>
      </c>
      <c r="AA22">
        <v>267</v>
      </c>
      <c r="AB22">
        <v>189</v>
      </c>
      <c r="AC22">
        <f t="shared" si="13"/>
        <v>0.17416450145144174</v>
      </c>
      <c r="AD22">
        <f t="shared" si="14"/>
        <v>63.783385767768721</v>
      </c>
    </row>
    <row r="23" spans="2:30">
      <c r="B23">
        <v>1997</v>
      </c>
      <c r="C23" s="15">
        <f t="shared" si="0"/>
        <v>23.647135135135137</v>
      </c>
      <c r="D23" s="15">
        <f t="shared" si="1"/>
        <v>15.310702702702701</v>
      </c>
      <c r="E23" s="15">
        <f t="shared" si="2"/>
        <v>11.88389189189189</v>
      </c>
      <c r="F23" s="15">
        <f t="shared" si="3"/>
        <v>12.405405405405403</v>
      </c>
      <c r="G23" s="15">
        <f t="shared" si="4"/>
        <v>17.011459459459459</v>
      </c>
      <c r="H23" s="15">
        <f t="shared" si="5"/>
        <v>15.324324324324323</v>
      </c>
      <c r="I23" s="15">
        <f t="shared" si="6"/>
        <v>43.43351351351351</v>
      </c>
      <c r="J23" s="15">
        <f t="shared" si="7"/>
        <v>61.07</v>
      </c>
      <c r="K23" s="15">
        <f t="shared" si="8"/>
        <v>61.07</v>
      </c>
      <c r="L23" s="15">
        <f t="shared" si="9"/>
        <v>49.767567567567568</v>
      </c>
      <c r="M23" s="15">
        <f t="shared" si="10"/>
        <v>30.940540540540539</v>
      </c>
      <c r="N23" s="15">
        <f t="shared" si="11"/>
        <v>15.322378378378376</v>
      </c>
      <c r="O23" s="34">
        <f t="shared" si="12"/>
        <v>357.18691891891893</v>
      </c>
      <c r="Q23">
        <v>78.400000000000006</v>
      </c>
      <c r="R23">
        <v>56.2</v>
      </c>
      <c r="S23">
        <v>39.4</v>
      </c>
      <c r="T23">
        <v>42.5</v>
      </c>
      <c r="U23">
        <v>56.4</v>
      </c>
      <c r="V23">
        <v>52.5</v>
      </c>
      <c r="W23">
        <v>144</v>
      </c>
      <c r="X23">
        <v>221</v>
      </c>
      <c r="Y23">
        <v>211</v>
      </c>
      <c r="Z23">
        <v>165</v>
      </c>
      <c r="AA23">
        <v>106</v>
      </c>
      <c r="AB23">
        <v>50.8</v>
      </c>
      <c r="AC23">
        <f t="shared" si="13"/>
        <v>0.86566162436029226</v>
      </c>
      <c r="AD23">
        <f t="shared" si="14"/>
        <v>28.503408568099356</v>
      </c>
    </row>
    <row r="24" spans="2:30">
      <c r="B24">
        <v>1998</v>
      </c>
      <c r="C24" s="15">
        <f t="shared" si="0"/>
        <v>12.095027027027026</v>
      </c>
      <c r="D24" s="15">
        <f t="shared" si="1"/>
        <v>8.2547027027027013</v>
      </c>
      <c r="E24" s="15">
        <f t="shared" si="2"/>
        <v>6.5451891891891885</v>
      </c>
      <c r="F24" s="15">
        <f t="shared" si="3"/>
        <v>6.1297297297297284</v>
      </c>
      <c r="G24" s="15">
        <f t="shared" si="4"/>
        <v>11.461621621621619</v>
      </c>
      <c r="H24" s="15">
        <f t="shared" si="5"/>
        <v>9.077837837837837</v>
      </c>
      <c r="I24" s="15">
        <f t="shared" si="6"/>
        <v>15.262054054054053</v>
      </c>
      <c r="J24" s="15">
        <f t="shared" si="7"/>
        <v>21.053189189189187</v>
      </c>
      <c r="K24" s="15">
        <f t="shared" si="8"/>
        <v>24.139459459459456</v>
      </c>
      <c r="L24" s="15">
        <f t="shared" si="9"/>
        <v>53.990270270270265</v>
      </c>
      <c r="M24" s="15">
        <f t="shared" si="10"/>
        <v>61.07</v>
      </c>
      <c r="N24" s="15">
        <f t="shared" si="11"/>
        <v>61.07</v>
      </c>
      <c r="O24" s="34">
        <f t="shared" si="12"/>
        <v>290.14908108108108</v>
      </c>
      <c r="Q24">
        <v>40.1</v>
      </c>
      <c r="R24">
        <v>30.3</v>
      </c>
      <c r="S24">
        <v>21.7</v>
      </c>
      <c r="T24">
        <v>21</v>
      </c>
      <c r="U24">
        <v>38</v>
      </c>
      <c r="V24">
        <v>31.1</v>
      </c>
      <c r="W24">
        <v>50.6</v>
      </c>
      <c r="X24">
        <v>69.8</v>
      </c>
      <c r="Y24">
        <v>82.7</v>
      </c>
      <c r="Z24">
        <v>179</v>
      </c>
      <c r="AA24">
        <v>312</v>
      </c>
      <c r="AB24">
        <v>265</v>
      </c>
      <c r="AC24">
        <f t="shared" si="13"/>
        <v>0.67485929155985025</v>
      </c>
      <c r="AD24">
        <f t="shared" si="14"/>
        <v>42.017785519943814</v>
      </c>
    </row>
    <row r="25" spans="2:30">
      <c r="B25">
        <v>1999</v>
      </c>
      <c r="C25" s="15">
        <f t="shared" si="0"/>
        <v>41.020540540540537</v>
      </c>
      <c r="D25" s="15">
        <f t="shared" si="1"/>
        <v>21.167999999999996</v>
      </c>
      <c r="E25" s="15">
        <f t="shared" si="2"/>
        <v>18.670378378378377</v>
      </c>
      <c r="F25" s="15">
        <f t="shared" si="3"/>
        <v>20.549189189189189</v>
      </c>
      <c r="G25" s="15">
        <f t="shared" si="4"/>
        <v>44.941621621621614</v>
      </c>
      <c r="H25" s="15">
        <f t="shared" si="5"/>
        <v>61.07</v>
      </c>
      <c r="I25" s="15">
        <f t="shared" si="6"/>
        <v>54.291891891891886</v>
      </c>
      <c r="J25" s="15">
        <f t="shared" si="7"/>
        <v>61.07</v>
      </c>
      <c r="K25" s="15">
        <f t="shared" si="8"/>
        <v>52.54054054054054</v>
      </c>
      <c r="L25" s="15">
        <f t="shared" si="9"/>
        <v>61.07</v>
      </c>
      <c r="M25" s="15">
        <f t="shared" si="10"/>
        <v>54.291891891891886</v>
      </c>
      <c r="N25" s="15">
        <f t="shared" si="11"/>
        <v>50.069189189189188</v>
      </c>
      <c r="O25" s="34">
        <f t="shared" si="12"/>
        <v>540.75324324324322</v>
      </c>
      <c r="Q25">
        <v>136</v>
      </c>
      <c r="R25">
        <v>77.7</v>
      </c>
      <c r="S25">
        <v>61.9</v>
      </c>
      <c r="T25">
        <v>70.400000000000006</v>
      </c>
      <c r="U25">
        <v>149</v>
      </c>
      <c r="V25">
        <v>223</v>
      </c>
      <c r="W25">
        <v>180</v>
      </c>
      <c r="X25">
        <v>271</v>
      </c>
      <c r="Y25">
        <v>180</v>
      </c>
      <c r="Z25">
        <v>204</v>
      </c>
      <c r="AA25">
        <v>186</v>
      </c>
      <c r="AB25">
        <v>166</v>
      </c>
      <c r="AC25">
        <f t="shared" si="13"/>
        <v>0.34903152342645616</v>
      </c>
      <c r="AD25">
        <f t="shared" si="14"/>
        <v>225.94549851678835</v>
      </c>
    </row>
    <row r="26" spans="2:30">
      <c r="B26">
        <v>2000</v>
      </c>
      <c r="C26" s="15">
        <f t="shared" si="0"/>
        <v>21.354810810810807</v>
      </c>
      <c r="D26" s="15">
        <f t="shared" si="1"/>
        <v>14.503135135135134</v>
      </c>
      <c r="E26" s="15">
        <f t="shared" si="2"/>
        <v>12.517297297297297</v>
      </c>
      <c r="F26" s="15">
        <f t="shared" si="3"/>
        <v>13.602162162162161</v>
      </c>
      <c r="G26" s="15">
        <f t="shared" si="4"/>
        <v>15.714486486486486</v>
      </c>
      <c r="H26" s="15">
        <f t="shared" si="5"/>
        <v>24.606486486486482</v>
      </c>
      <c r="I26" s="15">
        <f t="shared" si="6"/>
        <v>43.735135135135131</v>
      </c>
      <c r="J26" s="15">
        <f t="shared" si="7"/>
        <v>44.33837837837838</v>
      </c>
      <c r="K26" s="15">
        <f t="shared" si="8"/>
        <v>61.07</v>
      </c>
      <c r="L26" s="15">
        <f t="shared" si="9"/>
        <v>61.07</v>
      </c>
      <c r="M26" s="15">
        <f t="shared" si="10"/>
        <v>61.07</v>
      </c>
      <c r="N26" s="15">
        <f t="shared" si="11"/>
        <v>61.07</v>
      </c>
      <c r="O26" s="34">
        <f t="shared" si="12"/>
        <v>434.65189189189186</v>
      </c>
      <c r="Q26">
        <v>70.8</v>
      </c>
      <c r="R26">
        <v>51.4</v>
      </c>
      <c r="S26">
        <v>41.5</v>
      </c>
      <c r="T26">
        <v>46.6</v>
      </c>
      <c r="U26">
        <v>52.1</v>
      </c>
      <c r="V26">
        <v>84.3</v>
      </c>
      <c r="W26">
        <v>145</v>
      </c>
      <c r="X26">
        <v>147</v>
      </c>
      <c r="Y26">
        <v>289</v>
      </c>
      <c r="Z26">
        <v>688</v>
      </c>
      <c r="AA26">
        <v>288</v>
      </c>
      <c r="AB26">
        <v>211</v>
      </c>
      <c r="AC26">
        <f t="shared" si="13"/>
        <v>0.6056784392543656</v>
      </c>
      <c r="AD26">
        <f t="shared" si="14"/>
        <v>44.347607601763592</v>
      </c>
    </row>
    <row r="27" spans="2:30">
      <c r="B27">
        <v>2001</v>
      </c>
      <c r="C27" s="15">
        <f t="shared" si="0"/>
        <v>22.35016216216216</v>
      </c>
      <c r="D27" s="15">
        <f t="shared" si="1"/>
        <v>10.67935135135135</v>
      </c>
      <c r="E27" s="15">
        <f t="shared" si="2"/>
        <v>10.194810810810807</v>
      </c>
      <c r="F27" s="15">
        <f t="shared" si="3"/>
        <v>9.6324324324324309</v>
      </c>
      <c r="G27" s="15">
        <f t="shared" si="4"/>
        <v>11.944216216216216</v>
      </c>
      <c r="H27" s="15">
        <f t="shared" si="5"/>
        <v>21.191351351351351</v>
      </c>
      <c r="I27" s="15">
        <f t="shared" si="6"/>
        <v>28.65405405405405</v>
      </c>
      <c r="J27" s="15">
        <f t="shared" si="7"/>
        <v>61.07</v>
      </c>
      <c r="K27" s="15">
        <f t="shared" si="8"/>
        <v>59.545945945945938</v>
      </c>
      <c r="L27" s="15">
        <f t="shared" si="9"/>
        <v>44.639999999999993</v>
      </c>
      <c r="M27" s="15">
        <f t="shared" si="10"/>
        <v>35.318918918918918</v>
      </c>
      <c r="N27" s="15">
        <f t="shared" si="11"/>
        <v>21.596108108108105</v>
      </c>
      <c r="O27" s="34">
        <f t="shared" si="12"/>
        <v>336.81735135135136</v>
      </c>
      <c r="Q27">
        <v>74.099999999999994</v>
      </c>
      <c r="R27">
        <v>39.200000000000003</v>
      </c>
      <c r="S27">
        <v>33.799999999999997</v>
      </c>
      <c r="T27">
        <v>33</v>
      </c>
      <c r="U27">
        <v>39.6</v>
      </c>
      <c r="V27">
        <v>72.599999999999994</v>
      </c>
      <c r="W27">
        <v>95</v>
      </c>
      <c r="X27">
        <v>242</v>
      </c>
      <c r="Y27">
        <v>204</v>
      </c>
      <c r="Z27">
        <v>148</v>
      </c>
      <c r="AA27">
        <v>121</v>
      </c>
      <c r="AB27">
        <v>71.599999999999994</v>
      </c>
      <c r="AC27">
        <f t="shared" si="13"/>
        <v>0.81031077357293702</v>
      </c>
      <c r="AD27">
        <f t="shared" si="14"/>
        <v>27.40887265102306</v>
      </c>
    </row>
    <row r="28" spans="2:30">
      <c r="B28">
        <v>2002</v>
      </c>
      <c r="C28" s="15">
        <f t="shared" si="0"/>
        <v>19.786378378378373</v>
      </c>
      <c r="D28" s="15">
        <f t="shared" si="1"/>
        <v>9.5351351351351354</v>
      </c>
      <c r="E28" s="15">
        <f t="shared" si="2"/>
        <v>9.289945945945945</v>
      </c>
      <c r="F28" s="15">
        <f t="shared" si="3"/>
        <v>7.5308108108108103</v>
      </c>
      <c r="G28" s="15">
        <f t="shared" si="4"/>
        <v>6.6055135135135119</v>
      </c>
      <c r="H28" s="15">
        <f t="shared" si="5"/>
        <v>23.322162162162158</v>
      </c>
      <c r="I28" s="15">
        <f t="shared" si="6"/>
        <v>19.062486486486485</v>
      </c>
      <c r="J28" s="15">
        <f t="shared" si="7"/>
        <v>61.07</v>
      </c>
      <c r="K28" s="15">
        <f t="shared" si="8"/>
        <v>61.07</v>
      </c>
      <c r="L28" s="15">
        <f t="shared" si="9"/>
        <v>44.036756756756752</v>
      </c>
      <c r="M28" s="15">
        <f t="shared" si="10"/>
        <v>35.610810810810804</v>
      </c>
      <c r="N28" s="15">
        <f t="shared" si="11"/>
        <v>19.152972972972972</v>
      </c>
      <c r="O28" s="34">
        <f t="shared" si="12"/>
        <v>316.07297297297293</v>
      </c>
      <c r="Q28">
        <v>65.599999999999994</v>
      </c>
      <c r="R28">
        <v>35</v>
      </c>
      <c r="S28">
        <v>30.8</v>
      </c>
      <c r="T28">
        <v>25.8</v>
      </c>
      <c r="U28">
        <v>21.9</v>
      </c>
      <c r="V28">
        <v>79.900000000000006</v>
      </c>
      <c r="W28">
        <v>63.2</v>
      </c>
      <c r="X28">
        <v>304</v>
      </c>
      <c r="Y28">
        <v>225</v>
      </c>
      <c r="Z28">
        <v>146</v>
      </c>
      <c r="AA28">
        <v>122</v>
      </c>
      <c r="AB28">
        <v>63.5</v>
      </c>
      <c r="AC28">
        <f t="shared" si="13"/>
        <v>0.69837127408837707</v>
      </c>
      <c r="AD28">
        <f t="shared" si="14"/>
        <v>38.662905995281847</v>
      </c>
    </row>
    <row r="29" spans="2:30">
      <c r="B29">
        <v>2003</v>
      </c>
      <c r="C29" s="15">
        <f t="shared" si="0"/>
        <v>15.623999999999999</v>
      </c>
      <c r="D29" s="15">
        <f t="shared" si="1"/>
        <v>10.161729729729728</v>
      </c>
      <c r="E29" s="15">
        <f t="shared" si="2"/>
        <v>8.4454054054054044</v>
      </c>
      <c r="F29" s="15">
        <f t="shared" si="3"/>
        <v>6.9762162162162156</v>
      </c>
      <c r="G29" s="15">
        <f t="shared" si="4"/>
        <v>15.804972972972973</v>
      </c>
      <c r="H29" s="15">
        <f t="shared" si="5"/>
        <v>18.155675675675674</v>
      </c>
      <c r="I29" s="15">
        <f t="shared" si="6"/>
        <v>24.793297297297297</v>
      </c>
      <c r="J29" s="15">
        <f t="shared" si="7"/>
        <v>38.004324324324315</v>
      </c>
      <c r="K29" s="15">
        <f t="shared" si="8"/>
        <v>49.913513513513507</v>
      </c>
      <c r="L29" s="15">
        <f t="shared" si="9"/>
        <v>49.46594594594594</v>
      </c>
      <c r="M29" s="15">
        <f t="shared" si="10"/>
        <v>31.232432432432429</v>
      </c>
      <c r="N29" s="15">
        <f t="shared" si="11"/>
        <v>16.800324324324322</v>
      </c>
      <c r="O29" s="34">
        <f t="shared" si="12"/>
        <v>285.37783783783783</v>
      </c>
      <c r="Q29">
        <v>51.8</v>
      </c>
      <c r="R29">
        <v>37.299999999999997</v>
      </c>
      <c r="S29">
        <v>28</v>
      </c>
      <c r="T29">
        <v>23.9</v>
      </c>
      <c r="U29">
        <v>52.4</v>
      </c>
      <c r="V29">
        <v>62.2</v>
      </c>
      <c r="W29">
        <v>82.2</v>
      </c>
      <c r="X29">
        <v>126</v>
      </c>
      <c r="Y29">
        <v>171</v>
      </c>
      <c r="Z29">
        <v>164</v>
      </c>
      <c r="AA29">
        <v>107</v>
      </c>
      <c r="AB29">
        <v>55.7</v>
      </c>
      <c r="AC29">
        <f t="shared" si="13"/>
        <v>0.53988396059132415</v>
      </c>
      <c r="AD29">
        <f t="shared" si="14"/>
        <v>31.794689808205401</v>
      </c>
    </row>
    <row r="30" spans="2:30">
      <c r="B30">
        <v>2004</v>
      </c>
      <c r="C30" s="15">
        <f t="shared" si="0"/>
        <v>13.030054054054055</v>
      </c>
      <c r="D30" s="15">
        <f t="shared" si="1"/>
        <v>8.2391351351351325</v>
      </c>
      <c r="E30" s="15">
        <f t="shared" si="2"/>
        <v>6.4547027027027015</v>
      </c>
      <c r="F30" s="15">
        <f t="shared" si="3"/>
        <v>7.4724324324324316</v>
      </c>
      <c r="G30" s="15">
        <f t="shared" si="4"/>
        <v>9.018486486486486</v>
      </c>
      <c r="H30" s="15">
        <f t="shared" si="5"/>
        <v>17.60108108108108</v>
      </c>
      <c r="I30" s="15">
        <f t="shared" si="6"/>
        <v>18.368756756756756</v>
      </c>
      <c r="J30" s="15">
        <f t="shared" si="7"/>
        <v>45.544864864864863</v>
      </c>
      <c r="K30" s="15">
        <f t="shared" si="8"/>
        <v>27.467027027027026</v>
      </c>
      <c r="L30" s="15">
        <f t="shared" si="9"/>
        <v>17.373405405405403</v>
      </c>
      <c r="M30" s="15">
        <f t="shared" si="10"/>
        <v>9.486486486486486</v>
      </c>
      <c r="N30" s="15">
        <f t="shared" si="11"/>
        <v>6.7563243243243232</v>
      </c>
      <c r="O30" s="34">
        <f t="shared" si="12"/>
        <v>186.81275675675673</v>
      </c>
      <c r="Q30">
        <v>43.2</v>
      </c>
      <c r="R30">
        <v>29.2</v>
      </c>
      <c r="S30">
        <v>21.4</v>
      </c>
      <c r="T30">
        <v>25.6</v>
      </c>
      <c r="U30">
        <v>29.9</v>
      </c>
      <c r="V30">
        <v>60.3</v>
      </c>
      <c r="W30">
        <v>60.9</v>
      </c>
      <c r="X30">
        <v>151</v>
      </c>
      <c r="Y30">
        <v>94.1</v>
      </c>
      <c r="Z30">
        <v>57.6</v>
      </c>
      <c r="AA30">
        <v>32.5</v>
      </c>
      <c r="AB30">
        <v>22.4</v>
      </c>
      <c r="AC30">
        <f t="shared" si="13"/>
        <v>0.5188126758733741</v>
      </c>
      <c r="AD30">
        <f t="shared" si="14"/>
        <v>39.200718105667406</v>
      </c>
    </row>
    <row r="31" spans="2:30">
      <c r="B31">
        <v>2005</v>
      </c>
      <c r="C31" s="15">
        <f t="shared" si="0"/>
        <v>5.3990270270270262</v>
      </c>
      <c r="D31" s="15">
        <f t="shared" si="1"/>
        <v>4.0864864864864865</v>
      </c>
      <c r="E31" s="15">
        <f t="shared" si="2"/>
        <v>3.9512432432432432</v>
      </c>
      <c r="F31" s="15">
        <f t="shared" si="3"/>
        <v>3.9697297297297292</v>
      </c>
      <c r="G31" s="15">
        <f t="shared" si="4"/>
        <v>6.0022702702702695</v>
      </c>
      <c r="H31" s="15">
        <f t="shared" si="5"/>
        <v>7.5016216216216209</v>
      </c>
      <c r="I31" s="15">
        <f t="shared" si="6"/>
        <v>14.146054054054053</v>
      </c>
      <c r="J31" s="15">
        <f t="shared" si="7"/>
        <v>28.623891891891894</v>
      </c>
      <c r="K31" s="15">
        <f t="shared" si="8"/>
        <v>61.07</v>
      </c>
      <c r="L31" s="15">
        <f t="shared" si="9"/>
        <v>35.591351351351349</v>
      </c>
      <c r="M31" s="15">
        <f t="shared" si="10"/>
        <v>19.877837837837834</v>
      </c>
      <c r="N31" s="15">
        <f t="shared" si="11"/>
        <v>50.974054054054051</v>
      </c>
      <c r="O31" s="34">
        <f t="shared" si="12"/>
        <v>241.19356756756756</v>
      </c>
      <c r="Q31">
        <v>17.899999999999999</v>
      </c>
      <c r="R31">
        <v>15</v>
      </c>
      <c r="S31">
        <v>13.1</v>
      </c>
      <c r="T31">
        <v>13.6</v>
      </c>
      <c r="U31">
        <v>19.899999999999999</v>
      </c>
      <c r="V31">
        <v>25.7</v>
      </c>
      <c r="W31">
        <v>46.9</v>
      </c>
      <c r="X31">
        <v>94.9</v>
      </c>
      <c r="Y31">
        <v>217</v>
      </c>
      <c r="Z31">
        <v>118</v>
      </c>
      <c r="AA31">
        <v>68.099999999999994</v>
      </c>
      <c r="AB31">
        <v>169</v>
      </c>
      <c r="AC31">
        <f t="shared" si="13"/>
        <v>0.28757343544078684</v>
      </c>
      <c r="AD31">
        <f t="shared" si="14"/>
        <v>72.852785121778297</v>
      </c>
    </row>
    <row r="32" spans="2:30">
      <c r="B32">
        <v>2006</v>
      </c>
      <c r="C32" s="15">
        <f t="shared" si="0"/>
        <v>16.619351351351352</v>
      </c>
      <c r="D32" s="15">
        <f t="shared" si="1"/>
        <v>11.19697297297297</v>
      </c>
      <c r="E32" s="15">
        <f t="shared" si="2"/>
        <v>10.617081081081082</v>
      </c>
      <c r="F32" s="15">
        <f t="shared" si="3"/>
        <v>10.566486486486486</v>
      </c>
      <c r="G32" s="15">
        <f t="shared" si="4"/>
        <v>12.064864864864864</v>
      </c>
      <c r="H32" s="15">
        <f t="shared" si="5"/>
        <v>13.952432432432431</v>
      </c>
      <c r="I32" s="15">
        <f t="shared" si="6"/>
        <v>32.876756756756755</v>
      </c>
      <c r="J32" s="15">
        <f t="shared" si="7"/>
        <v>60.625945945945944</v>
      </c>
      <c r="K32" s="15">
        <f t="shared" si="8"/>
        <v>47.870270270270268</v>
      </c>
      <c r="L32" s="15">
        <f t="shared" si="9"/>
        <v>61.07</v>
      </c>
      <c r="M32" s="15">
        <f t="shared" si="10"/>
        <v>20.578378378378375</v>
      </c>
      <c r="N32" s="15">
        <f t="shared" si="11"/>
        <v>15.533513513513514</v>
      </c>
      <c r="O32" s="34">
        <f t="shared" si="12"/>
        <v>313.57205405405404</v>
      </c>
      <c r="Q32">
        <v>55.1</v>
      </c>
      <c r="R32">
        <v>41.1</v>
      </c>
      <c r="S32">
        <v>35.200000000000003</v>
      </c>
      <c r="T32">
        <v>36.200000000000003</v>
      </c>
      <c r="U32">
        <v>40</v>
      </c>
      <c r="V32">
        <v>47.8</v>
      </c>
      <c r="W32">
        <v>109</v>
      </c>
      <c r="X32">
        <v>201</v>
      </c>
      <c r="Y32">
        <v>164</v>
      </c>
      <c r="Z32">
        <v>230</v>
      </c>
      <c r="AA32">
        <v>70.5</v>
      </c>
      <c r="AB32">
        <v>51.5</v>
      </c>
      <c r="AC32">
        <f t="shared" si="13"/>
        <v>0.90944836115278394</v>
      </c>
      <c r="AD32">
        <f t="shared" si="14"/>
        <v>18.07363549483059</v>
      </c>
    </row>
    <row r="33" spans="2:30">
      <c r="B33">
        <v>2007</v>
      </c>
      <c r="C33" s="15">
        <f t="shared" si="0"/>
        <v>13.391999999999998</v>
      </c>
      <c r="D33" s="15">
        <f t="shared" si="1"/>
        <v>8.2274594594594586</v>
      </c>
      <c r="E33" s="15">
        <f t="shared" si="2"/>
        <v>8.0834594594594584</v>
      </c>
      <c r="F33" s="15">
        <f t="shared" si="3"/>
        <v>7.3556756756756752</v>
      </c>
      <c r="G33" s="15">
        <f t="shared" si="4"/>
        <v>15.171567567567566</v>
      </c>
      <c r="H33" s="15">
        <f t="shared" si="5"/>
        <v>19.294054054054047</v>
      </c>
      <c r="I33" s="15">
        <f t="shared" si="6"/>
        <v>33.178378378378376</v>
      </c>
      <c r="J33" s="15">
        <f t="shared" si="7"/>
        <v>61.07</v>
      </c>
      <c r="K33" s="15">
        <f t="shared" si="8"/>
        <v>61.07</v>
      </c>
      <c r="L33" s="15">
        <f t="shared" si="9"/>
        <v>61.07</v>
      </c>
      <c r="M33" s="15">
        <f t="shared" si="10"/>
        <v>56.043243243243239</v>
      </c>
      <c r="N33" s="15">
        <f t="shared" si="11"/>
        <v>28.714378378378377</v>
      </c>
      <c r="O33" s="34">
        <f t="shared" si="12"/>
        <v>372.6702162162162</v>
      </c>
      <c r="Q33">
        <v>44.4</v>
      </c>
      <c r="R33">
        <v>30.2</v>
      </c>
      <c r="S33">
        <v>26.8</v>
      </c>
      <c r="T33">
        <v>25.2</v>
      </c>
      <c r="U33">
        <v>50.3</v>
      </c>
      <c r="V33">
        <v>66.099999999999994</v>
      </c>
      <c r="W33">
        <v>110</v>
      </c>
      <c r="X33">
        <v>374</v>
      </c>
      <c r="Y33">
        <v>273</v>
      </c>
      <c r="Z33">
        <v>284</v>
      </c>
      <c r="AA33">
        <v>192</v>
      </c>
      <c r="AB33">
        <v>95.2</v>
      </c>
      <c r="AC33">
        <f t="shared" si="13"/>
        <v>0.35604000471174596</v>
      </c>
      <c r="AD33">
        <f t="shared" si="14"/>
        <v>39.676646783719015</v>
      </c>
    </row>
    <row r="34" spans="2:30">
      <c r="B34">
        <v>2008</v>
      </c>
      <c r="C34" s="15">
        <f t="shared" si="0"/>
        <v>20.389621621621615</v>
      </c>
      <c r="D34" s="15">
        <f t="shared" si="1"/>
        <v>14.220972972972971</v>
      </c>
      <c r="E34" s="15">
        <f t="shared" si="2"/>
        <v>11.974378378378379</v>
      </c>
      <c r="F34" s="15">
        <f t="shared" si="3"/>
        <v>10.332972972972973</v>
      </c>
      <c r="G34" s="15">
        <f t="shared" si="4"/>
        <v>15.835135135135133</v>
      </c>
      <c r="H34" s="15">
        <f t="shared" si="5"/>
        <v>14.857297297297295</v>
      </c>
      <c r="I34" s="15">
        <f t="shared" si="6"/>
        <v>18.7307027027027</v>
      </c>
      <c r="J34" s="15">
        <f t="shared" si="7"/>
        <v>31.97189189189189</v>
      </c>
      <c r="K34" s="15">
        <f t="shared" si="8"/>
        <v>34.443243243243238</v>
      </c>
      <c r="L34" s="15">
        <f t="shared" si="9"/>
        <v>38.004324324324315</v>
      </c>
      <c r="M34" s="15">
        <f t="shared" si="10"/>
        <v>40.57297297297297</v>
      </c>
      <c r="N34" s="15">
        <f t="shared" si="11"/>
        <v>23.918594594594595</v>
      </c>
      <c r="O34" s="34">
        <f t="shared" si="12"/>
        <v>275.25210810810802</v>
      </c>
      <c r="Q34">
        <v>67.599999999999994</v>
      </c>
      <c r="R34">
        <v>50.4</v>
      </c>
      <c r="S34">
        <v>39.700000000000003</v>
      </c>
      <c r="T34">
        <v>35.4</v>
      </c>
      <c r="U34">
        <v>52.5</v>
      </c>
      <c r="V34">
        <v>50.9</v>
      </c>
      <c r="W34">
        <v>62.1</v>
      </c>
      <c r="X34">
        <v>106</v>
      </c>
      <c r="Y34">
        <v>118</v>
      </c>
      <c r="Z34">
        <v>126</v>
      </c>
      <c r="AA34">
        <v>139</v>
      </c>
      <c r="AB34">
        <v>79.3</v>
      </c>
      <c r="AC34">
        <f t="shared" si="13"/>
        <v>0.89372187419798932</v>
      </c>
      <c r="AD34">
        <f t="shared" si="14"/>
        <v>18.489194141443807</v>
      </c>
    </row>
    <row r="35" spans="2:30">
      <c r="B35">
        <v>2009</v>
      </c>
      <c r="C35" s="15">
        <f t="shared" si="0"/>
        <v>20.389621621621615</v>
      </c>
      <c r="D35" s="15">
        <f t="shared" si="1"/>
        <v>13.730594594594596</v>
      </c>
      <c r="E35" s="15">
        <f t="shared" si="2"/>
        <v>11.974378378378379</v>
      </c>
      <c r="F35" s="15">
        <f t="shared" si="3"/>
        <v>10.332972972972973</v>
      </c>
      <c r="G35" s="15">
        <f t="shared" si="4"/>
        <v>15.835135135135133</v>
      </c>
      <c r="H35" s="15">
        <f t="shared" si="5"/>
        <v>14.857297297297295</v>
      </c>
      <c r="I35" s="15">
        <f t="shared" si="6"/>
        <v>18.7307027027027</v>
      </c>
      <c r="J35" s="15">
        <f t="shared" si="7"/>
        <v>31.97189189189189</v>
      </c>
      <c r="K35" s="15">
        <f t="shared" si="8"/>
        <v>34.443243243243238</v>
      </c>
      <c r="L35" s="15">
        <f t="shared" si="9"/>
        <v>38.004324324324315</v>
      </c>
      <c r="M35" s="15">
        <f t="shared" si="10"/>
        <v>40.57297297297297</v>
      </c>
      <c r="N35" s="15">
        <f t="shared" si="11"/>
        <v>23.918594594594595</v>
      </c>
      <c r="O35" s="34">
        <f t="shared" si="12"/>
        <v>274.76172972972972</v>
      </c>
      <c r="Q35">
        <v>67.599999999999994</v>
      </c>
      <c r="R35">
        <v>50.4</v>
      </c>
      <c r="S35">
        <v>39.700000000000003</v>
      </c>
      <c r="T35">
        <v>35.4</v>
      </c>
      <c r="U35">
        <v>52.5</v>
      </c>
      <c r="V35">
        <v>50.9</v>
      </c>
      <c r="W35">
        <v>62.1</v>
      </c>
      <c r="X35">
        <v>106</v>
      </c>
      <c r="Y35">
        <v>118</v>
      </c>
      <c r="Z35">
        <v>126</v>
      </c>
      <c r="AA35">
        <v>139</v>
      </c>
      <c r="AB35">
        <v>79.3</v>
      </c>
      <c r="AC35">
        <f t="shared" si="13"/>
        <v>0.89372187419798932</v>
      </c>
      <c r="AD35">
        <f t="shared" si="14"/>
        <v>18.489194141443807</v>
      </c>
    </row>
    <row r="36" spans="2:30">
      <c r="B36">
        <v>2010</v>
      </c>
      <c r="C36" s="15">
        <f t="shared" si="0"/>
        <v>16.034088648648645</v>
      </c>
      <c r="D36" s="15">
        <f t="shared" si="1"/>
        <v>9.0586410810810793</v>
      </c>
      <c r="E36" s="15">
        <f t="shared" si="2"/>
        <v>7.5094735135135133</v>
      </c>
      <c r="F36" s="15">
        <f t="shared" si="3"/>
        <v>7.7386377027022837</v>
      </c>
      <c r="G36" s="15">
        <f t="shared" si="4"/>
        <v>10.114521081081078</v>
      </c>
      <c r="H36" s="15">
        <f t="shared" si="5"/>
        <v>13.731732972972969</v>
      </c>
      <c r="I36" s="15">
        <f t="shared" si="6"/>
        <v>18.850599864866364</v>
      </c>
      <c r="J36" s="15">
        <f t="shared" si="7"/>
        <v>26.568457297297293</v>
      </c>
      <c r="K36" s="15">
        <f t="shared" si="8"/>
        <v>25.086843243243244</v>
      </c>
      <c r="L36" s="15">
        <f t="shared" si="9"/>
        <v>34.561050810810812</v>
      </c>
      <c r="M36" s="15">
        <f t="shared" si="10"/>
        <v>51.483053603603736</v>
      </c>
      <c r="N36" s="15">
        <f t="shared" si="11"/>
        <v>26.371264864864859</v>
      </c>
      <c r="O36" s="34">
        <f t="shared" si="12"/>
        <v>247.10836468468585</v>
      </c>
      <c r="Q36" s="5">
        <v>53.159612903225799</v>
      </c>
      <c r="R36" s="5">
        <v>33.250964285714289</v>
      </c>
      <c r="S36" s="5">
        <v>24.897000000000006</v>
      </c>
      <c r="T36" s="5">
        <v>26.511999537035603</v>
      </c>
      <c r="U36" s="5">
        <v>33.533806451612897</v>
      </c>
      <c r="V36" s="5">
        <v>47.043899999999994</v>
      </c>
      <c r="W36" s="5">
        <v>62.497508512549778</v>
      </c>
      <c r="X36" s="5">
        <v>88.085387096774198</v>
      </c>
      <c r="Y36" s="5">
        <v>85.945666666666682</v>
      </c>
      <c r="Z36" s="5">
        <v>114.58412903225809</v>
      </c>
      <c r="AA36" s="5">
        <v>176.37712808642021</v>
      </c>
      <c r="AB36" s="5">
        <v>87.431612903225798</v>
      </c>
      <c r="AC36">
        <f t="shared" si="13"/>
        <v>0.85846823332532207</v>
      </c>
      <c r="AD36">
        <f t="shared" si="14"/>
        <v>25.819165359014693</v>
      </c>
    </row>
    <row r="37" spans="2:30">
      <c r="B37" s="38">
        <v>2011</v>
      </c>
      <c r="C37" s="39">
        <f>'2011'!C3</f>
        <v>20.360220000000009</v>
      </c>
      <c r="D37" s="39">
        <f>'2011'!D3</f>
        <v>13.233499999999999</v>
      </c>
      <c r="E37" s="39">
        <f>'2011'!E3</f>
        <v>32.383919999999989</v>
      </c>
      <c r="F37" s="39">
        <f>'2011'!F3</f>
        <v>22.10473</v>
      </c>
      <c r="G37" s="39">
        <f>'2011'!G3</f>
        <v>13.201589999999999</v>
      </c>
      <c r="H37" s="39">
        <f>'2011'!H3</f>
        <v>23.40821</v>
      </c>
      <c r="I37" s="39">
        <f>'2011'!I3</f>
        <v>26.187750000000001</v>
      </c>
      <c r="J37" s="39">
        <f>'2011'!J3</f>
        <v>32.645659999999999</v>
      </c>
      <c r="K37" s="39">
        <f>'2011'!K3</f>
        <v>24.484770000000001</v>
      </c>
      <c r="L37" s="39">
        <f>'2011'!L3</f>
        <v>57.841043999999997</v>
      </c>
      <c r="M37" s="39">
        <f>'2011'!M3</f>
        <v>40.546990000000001</v>
      </c>
      <c r="N37" s="39">
        <f>'2011'!N3</f>
        <v>35.038040000000002</v>
      </c>
      <c r="O37" s="40">
        <f>SUM(C37:N37)</f>
        <v>341.43642399999999</v>
      </c>
      <c r="Q37" s="5">
        <v>38.738900836320433</v>
      </c>
      <c r="R37" s="5">
        <v>27.375714285714288</v>
      </c>
      <c r="S37" s="5">
        <v>31.266451612903225</v>
      </c>
      <c r="T37" s="5">
        <v>28.102333333333331</v>
      </c>
      <c r="U37" s="5">
        <v>44.50928248207201</v>
      </c>
      <c r="V37" s="5">
        <v>93.037875231509133</v>
      </c>
      <c r="W37" s="5">
        <v>99.70354838709676</v>
      </c>
      <c r="X37" s="5">
        <v>132.49586648744747</v>
      </c>
      <c r="Y37" s="5">
        <v>178.27868518519443</v>
      </c>
      <c r="Z37" s="5">
        <v>269.91673596172609</v>
      </c>
      <c r="AA37" s="5">
        <v>114.62363580246019</v>
      </c>
      <c r="AB37" s="5">
        <v>78.933500597372273</v>
      </c>
      <c r="AC37">
        <f t="shared" si="13"/>
        <v>0.17901992142315057</v>
      </c>
      <c r="AD37">
        <f t="shared" si="14"/>
        <v>58.993028985282173</v>
      </c>
    </row>
    <row r="38" spans="2:30">
      <c r="B38" s="41">
        <v>2012</v>
      </c>
      <c r="C38" s="5">
        <f>'2012'!C3</f>
        <v>17.593199999999996</v>
      </c>
      <c r="D38" s="5">
        <f>'2012'!D3</f>
        <v>24.945170000000036</v>
      </c>
      <c r="E38" s="5">
        <f>'2012'!E3</f>
        <v>30.776419999999984</v>
      </c>
      <c r="F38" s="5">
        <f>'2012'!F3</f>
        <v>18.331620000000012</v>
      </c>
      <c r="G38" s="5">
        <f>'2012'!G3</f>
        <v>32.240810000000003</v>
      </c>
      <c r="H38" s="5">
        <f>'2012'!H3</f>
        <v>18.239860000000004</v>
      </c>
      <c r="I38" s="5">
        <f>'2012'!I3</f>
        <v>23.386310000000002</v>
      </c>
      <c r="J38" s="5">
        <f>'2012'!J3</f>
        <v>24.5884</v>
      </c>
      <c r="K38" s="5">
        <f>'2012'!K3</f>
        <v>20.333479999999973</v>
      </c>
      <c r="L38" s="5">
        <f>'2012'!L3</f>
        <v>61.827579999999998</v>
      </c>
      <c r="M38" s="5">
        <f>'2012'!M3</f>
        <v>45.540440000000011</v>
      </c>
      <c r="N38" s="5">
        <f>'2012'!N3</f>
        <v>26.213860000000061</v>
      </c>
      <c r="O38" s="42">
        <f t="shared" ref="O38:O56" si="15">SUM(C38:N38)</f>
        <v>344.01715000000007</v>
      </c>
      <c r="Q38" s="5">
        <v>55.972894265237954</v>
      </c>
      <c r="R38" s="5">
        <v>40.181792784181681</v>
      </c>
      <c r="S38" s="5">
        <v>32.362717517938343</v>
      </c>
      <c r="T38" s="5">
        <v>67.798986111149347</v>
      </c>
      <c r="U38" s="5">
        <v>64.25935573475536</v>
      </c>
      <c r="V38" s="5">
        <v>69.118345679022283</v>
      </c>
      <c r="W38" s="5">
        <v>99.439608721656029</v>
      </c>
      <c r="X38" s="5">
        <v>99.352768070596838</v>
      </c>
      <c r="Y38" s="5">
        <v>216.54865725316139</v>
      </c>
      <c r="Z38" s="5">
        <v>230.99617682199681</v>
      </c>
      <c r="AA38" s="5">
        <v>85.825743827153886</v>
      </c>
      <c r="AB38" s="5">
        <v>50.229206989236509</v>
      </c>
      <c r="AC38">
        <f t="shared" si="13"/>
        <v>-0.10875781369159065</v>
      </c>
      <c r="AD38">
        <f t="shared" si="14"/>
        <v>55.069693438096095</v>
      </c>
    </row>
    <row r="39" spans="2:30">
      <c r="B39" s="41">
        <v>2013</v>
      </c>
      <c r="C39" s="5">
        <f>'2013'!C3</f>
        <v>14.871199999999954</v>
      </c>
      <c r="D39" s="5">
        <f>'2013'!D3</f>
        <v>12.562000000000058</v>
      </c>
      <c r="E39" s="5">
        <f>'2013'!E3</f>
        <v>19.831499999999998</v>
      </c>
      <c r="F39" s="5">
        <f>'2013'!F3</f>
        <v>15.300799999999988</v>
      </c>
      <c r="G39" s="5">
        <f>'2013'!G3</f>
        <v>14.842599999999917</v>
      </c>
      <c r="H39" s="5">
        <f>'2013'!H3</f>
        <v>25.203587000000027</v>
      </c>
      <c r="I39" s="5">
        <f>'2013'!I3</f>
        <v>28.08679999999999</v>
      </c>
      <c r="J39" s="5">
        <f>'2013'!J3</f>
        <v>28.797600000000035</v>
      </c>
      <c r="K39" s="5">
        <f>'2013'!K3</f>
        <v>27.668199999999956</v>
      </c>
      <c r="L39" s="5">
        <f>'2013'!L3</f>
        <v>52.665999999999997</v>
      </c>
      <c r="M39" s="5">
        <f>'2013'!M3</f>
        <v>29.38620000000007</v>
      </c>
      <c r="N39" s="5">
        <f>'2013'!N3</f>
        <v>23.657800000000044</v>
      </c>
      <c r="O39" s="42">
        <f t="shared" si="15"/>
        <v>292.87428700000009</v>
      </c>
      <c r="Q39" s="5">
        <v>41.046547192375925</v>
      </c>
      <c r="R39" s="5">
        <v>28.786989252657925</v>
      </c>
      <c r="S39" s="5">
        <v>25.524187948015204</v>
      </c>
      <c r="T39" s="5">
        <v>31.451485185186737</v>
      </c>
      <c r="U39" s="5">
        <v>50.590147849364676</v>
      </c>
      <c r="V39" s="5">
        <v>99.378532407469706</v>
      </c>
      <c r="W39" s="5">
        <v>133.13818443851662</v>
      </c>
      <c r="X39" s="5">
        <v>128.81654136793136</v>
      </c>
      <c r="Y39" s="5">
        <v>188.24694506176547</v>
      </c>
      <c r="Z39" s="5">
        <v>161.75350209077899</v>
      </c>
      <c r="AA39" s="5">
        <v>97.149582716033137</v>
      </c>
      <c r="AB39" s="5">
        <v>56.430753882905776</v>
      </c>
      <c r="AC39">
        <f t="shared" si="13"/>
        <v>0.16080643618619705</v>
      </c>
      <c r="AD39">
        <f t="shared" si="14"/>
        <v>64.745830740614082</v>
      </c>
    </row>
    <row r="40" spans="2:30">
      <c r="B40" s="41">
        <v>2014</v>
      </c>
      <c r="C40" s="5">
        <f>'2014'!C3</f>
        <v>25.792999999999999</v>
      </c>
      <c r="D40" s="5">
        <f>'2014'!D3</f>
        <v>25.095699999999955</v>
      </c>
      <c r="E40" s="5">
        <f>'2014'!E3</f>
        <v>29.489099999999979</v>
      </c>
      <c r="F40" s="5">
        <f>'2014'!F3</f>
        <v>14.045010000000008</v>
      </c>
      <c r="G40" s="5">
        <f>'2014'!G3</f>
        <v>10.383187</v>
      </c>
      <c r="H40" s="5">
        <f>'2014'!H3</f>
        <v>19.245000000000001</v>
      </c>
      <c r="I40" s="5">
        <f>'2014'!I3</f>
        <v>42.027600000000092</v>
      </c>
      <c r="J40" s="5">
        <f>'2014'!J3</f>
        <v>38.610900000000022</v>
      </c>
      <c r="K40" s="5">
        <f>'2014'!K3</f>
        <v>32.21689999999991</v>
      </c>
      <c r="L40" s="5">
        <f>'2014'!L3</f>
        <v>50.42570000000007</v>
      </c>
      <c r="M40" s="5">
        <f>'2014'!M3</f>
        <v>17.23429999999993</v>
      </c>
      <c r="N40" s="5">
        <f>'2014'!N3</f>
        <v>17.038914999999978</v>
      </c>
      <c r="O40" s="42">
        <f t="shared" si="15"/>
        <v>321.60531199999991</v>
      </c>
      <c r="Q40" s="5">
        <v>35.146559737070518</v>
      </c>
      <c r="R40" s="5">
        <v>27.15906580688775</v>
      </c>
      <c r="S40" s="5">
        <v>23.631079375733613</v>
      </c>
      <c r="T40" s="5">
        <v>40.349888271594381</v>
      </c>
      <c r="U40" s="5">
        <v>51.112523894887069</v>
      </c>
      <c r="V40" s="5">
        <v>91.451206790143999</v>
      </c>
      <c r="W40" s="5">
        <v>161.72910170254349</v>
      </c>
      <c r="X40" s="5">
        <v>192.08524955206752</v>
      </c>
      <c r="Y40" s="5">
        <v>178.71934567903116</v>
      </c>
      <c r="Z40" s="5">
        <v>117.00135394264403</v>
      </c>
      <c r="AA40" s="5">
        <v>66.744210493805511</v>
      </c>
      <c r="AB40" s="5">
        <v>56.586698924764292</v>
      </c>
      <c r="AC40">
        <f t="shared" si="13"/>
        <v>3.8336679095924981E-4</v>
      </c>
      <c r="AD40">
        <f t="shared" si="14"/>
        <v>63.765077634699388</v>
      </c>
    </row>
    <row r="41" spans="2:30">
      <c r="B41" s="41">
        <v>2015</v>
      </c>
      <c r="C41" s="5">
        <f>'2015'!C3</f>
        <v>19.655700000000071</v>
      </c>
      <c r="D41" s="5">
        <f>'2015'!D3</f>
        <v>16.195399999999907</v>
      </c>
      <c r="E41" s="5">
        <f>'2015'!E3</f>
        <v>21.992599999999978</v>
      </c>
      <c r="F41" s="5">
        <f>'2015'!F3</f>
        <v>19.548800000000163</v>
      </c>
      <c r="G41" s="5">
        <f>'2015'!G3</f>
        <v>14.585599999999861</v>
      </c>
      <c r="H41" s="5">
        <f>'2015'!H3</f>
        <v>16.866854000000092</v>
      </c>
      <c r="I41" s="5">
        <f>'2015'!I3</f>
        <v>30.453499999999998</v>
      </c>
      <c r="J41" s="5">
        <f>'2015'!J3</f>
        <v>23.635599999999979</v>
      </c>
      <c r="K41" s="5">
        <f>'2015'!K3</f>
        <v>10.946999999999999</v>
      </c>
      <c r="L41" s="5">
        <f>'2015'!L3</f>
        <v>5.6862000000000696</v>
      </c>
      <c r="M41" s="5">
        <f>'2015'!M3</f>
        <v>6.8305999999999765</v>
      </c>
      <c r="N41" s="5">
        <f>'2015'!N3</f>
        <v>11.53079999999993</v>
      </c>
      <c r="O41" s="42">
        <f t="shared" si="15"/>
        <v>197.92865400000005</v>
      </c>
      <c r="Q41" s="5">
        <v>36.899219235444427</v>
      </c>
      <c r="R41" s="5">
        <v>27.700377976303493</v>
      </c>
      <c r="S41" s="5">
        <v>21.834744250359524</v>
      </c>
      <c r="T41" s="5">
        <v>20.873681249971828</v>
      </c>
      <c r="U41" s="5">
        <v>32.755230510842587</v>
      </c>
      <c r="V41" s="5">
        <v>65.172759490823239</v>
      </c>
      <c r="W41" s="5">
        <v>84.748947207350341</v>
      </c>
      <c r="X41" s="5">
        <v>100.64193548387097</v>
      </c>
      <c r="Y41" s="5">
        <v>89.368023865740454</v>
      </c>
      <c r="Z41" s="5">
        <v>95.338733042582007</v>
      </c>
      <c r="AA41" s="5">
        <v>65.611737461419381</v>
      </c>
      <c r="AB41" s="5">
        <v>49.560215247355998</v>
      </c>
      <c r="AC41">
        <f t="shared" si="13"/>
        <v>0.37653427217716673</v>
      </c>
      <c r="AD41">
        <f t="shared" si="14"/>
        <v>45.932626180085208</v>
      </c>
    </row>
    <row r="42" spans="2:30">
      <c r="B42" s="41">
        <v>2016</v>
      </c>
      <c r="C42" s="5">
        <f>'2016'!C3</f>
        <v>20.582000000000001</v>
      </c>
      <c r="D42" s="5">
        <f>'2016'!D3</f>
        <v>14.816299999999929</v>
      </c>
      <c r="E42" s="5">
        <f>'2016'!E3</f>
        <v>17.285700000000066</v>
      </c>
      <c r="F42" s="5">
        <f>'2016'!F3</f>
        <v>16.085000000000001</v>
      </c>
      <c r="G42" s="5">
        <f>'2016'!G3</f>
        <v>14.919699999999953</v>
      </c>
      <c r="H42" s="5">
        <f>'2016'!H3</f>
        <v>13.799793000000115</v>
      </c>
      <c r="I42" s="5">
        <f>'2016'!I3</f>
        <v>24.193314999999945</v>
      </c>
      <c r="J42" s="5">
        <f>'2016'!J3</f>
        <v>24.424043999999991</v>
      </c>
      <c r="K42" s="5">
        <f>'2016'!K3</f>
        <v>11.858167000000014</v>
      </c>
      <c r="L42" s="5">
        <f>'2016'!L3</f>
        <v>39.069295000000047</v>
      </c>
      <c r="M42" s="5">
        <f>'2016'!M3</f>
        <v>50.507664999999918</v>
      </c>
      <c r="N42" s="5">
        <f>'2016'!N3</f>
        <v>46.910890000000137</v>
      </c>
      <c r="O42" s="42">
        <f t="shared" si="15"/>
        <v>294.4518690000001</v>
      </c>
      <c r="Q42" s="5">
        <v>29.580185111435593</v>
      </c>
      <c r="R42" s="5">
        <v>16.848667478675001</v>
      </c>
      <c r="S42" s="5">
        <v>18.407985485793549</v>
      </c>
      <c r="T42" s="5">
        <v>16.031014531152952</v>
      </c>
      <c r="U42" s="5">
        <v>33.494146653889509</v>
      </c>
      <c r="V42" s="5">
        <v>59.305720097166024</v>
      </c>
      <c r="W42" s="5">
        <v>76.74981678818763</v>
      </c>
      <c r="X42" s="5">
        <v>99.231310763888885</v>
      </c>
      <c r="Y42" s="5">
        <v>121.84469738618897</v>
      </c>
      <c r="Z42" s="5">
        <v>202.08879389572627</v>
      </c>
      <c r="AA42" s="5">
        <v>187.2208672249819</v>
      </c>
      <c r="AB42" s="5">
        <v>135.96849792845055</v>
      </c>
      <c r="AC42">
        <f t="shared" si="13"/>
        <v>0.27747779677953044</v>
      </c>
      <c r="AD42">
        <f t="shared" si="14"/>
        <v>56.399292288913799</v>
      </c>
    </row>
    <row r="43" spans="2:30">
      <c r="B43" s="41">
        <v>2017</v>
      </c>
      <c r="C43" s="5">
        <f>'2017'!C3</f>
        <v>31.364885999999821</v>
      </c>
      <c r="D43" s="5">
        <f>'2017'!D3</f>
        <v>21.604490000000109</v>
      </c>
      <c r="E43" s="5">
        <f>'2017'!E3</f>
        <v>24.754403000000053</v>
      </c>
      <c r="F43" s="5">
        <f>'2017'!F3</f>
        <v>30.05861999999988</v>
      </c>
      <c r="G43" s="5">
        <f>'2017'!G3</f>
        <v>35.617789999999928</v>
      </c>
      <c r="H43" s="5">
        <f>'2017'!H3</f>
        <v>49.377231000000151</v>
      </c>
      <c r="I43" s="5">
        <f>'2017'!I3</f>
        <v>26.841631999999986</v>
      </c>
      <c r="J43" s="5">
        <f>'2017'!J3</f>
        <v>41.75631599999987</v>
      </c>
      <c r="K43" s="5">
        <f>'2017'!K3</f>
        <v>61.071907000000117</v>
      </c>
      <c r="L43" s="5">
        <f>'2017'!L3</f>
        <v>55.999551999999909</v>
      </c>
      <c r="M43" s="5">
        <f>'2017'!M3</f>
        <v>54.194130000000122</v>
      </c>
      <c r="N43" s="5">
        <f>'2017'!N3</f>
        <v>41.483336999999821</v>
      </c>
      <c r="O43" s="42">
        <f t="shared" si="15"/>
        <v>474.12429399999985</v>
      </c>
      <c r="Q43" s="5">
        <v>82.219469729025406</v>
      </c>
      <c r="R43" s="5">
        <v>52.005773137814423</v>
      </c>
      <c r="S43" s="5">
        <v>36.55785361077907</v>
      </c>
      <c r="T43" s="5">
        <v>43.784481540871404</v>
      </c>
      <c r="U43" s="5">
        <v>118.53983196664123</v>
      </c>
      <c r="V43" s="5">
        <v>102.65489337902204</v>
      </c>
      <c r="W43" s="5">
        <v>183.00931298605718</v>
      </c>
      <c r="X43" s="5">
        <v>189.46759352616743</v>
      </c>
      <c r="Y43" s="5">
        <v>162.03646946132204</v>
      </c>
      <c r="Z43" s="5">
        <v>187.77007677030474</v>
      </c>
      <c r="AA43" s="5">
        <v>185.4505127565362</v>
      </c>
      <c r="AB43" s="5">
        <v>118.3095881519756</v>
      </c>
      <c r="AC43">
        <f t="shared" si="13"/>
        <v>0.25292600698246304</v>
      </c>
      <c r="AD43">
        <f t="shared" si="14"/>
        <v>100.74343633006153</v>
      </c>
    </row>
    <row r="44" spans="2:30">
      <c r="B44" s="41">
        <v>2018</v>
      </c>
      <c r="C44" s="5">
        <f>'2018'!C3</f>
        <v>29.766293000000065</v>
      </c>
      <c r="D44" s="5">
        <f>'2018'!D3</f>
        <v>25.200817000000271</v>
      </c>
      <c r="E44" s="5">
        <f>'2018'!E3</f>
        <v>30.107095999999903</v>
      </c>
      <c r="F44" s="5">
        <f>'2018'!F3</f>
        <v>24.195173</v>
      </c>
      <c r="G44" s="5">
        <f>'2018'!G3</f>
        <v>15.153889999999665</v>
      </c>
      <c r="H44" s="5">
        <f>'2018'!H3</f>
        <v>20.327558000000217</v>
      </c>
      <c r="I44" s="5">
        <f>'2018'!I3</f>
        <v>30.515135000000242</v>
      </c>
      <c r="J44" s="5">
        <f>'2018'!J3</f>
        <v>39.907780000000031</v>
      </c>
      <c r="K44" s="5">
        <f>'2018'!K3</f>
        <v>53.387756999999745</v>
      </c>
      <c r="L44" s="5">
        <f>'2018'!L3</f>
        <v>57.173652000000239</v>
      </c>
      <c r="M44" s="5">
        <f>'2018'!M3</f>
        <v>24.243526999999769</v>
      </c>
      <c r="N44" s="5">
        <f>'2018'!N3</f>
        <v>27.942357999999999</v>
      </c>
      <c r="O44" s="42">
        <f t="shared" si="15"/>
        <v>377.92103600000013</v>
      </c>
      <c r="Q44" s="5">
        <v>60.156740964755059</v>
      </c>
      <c r="R44" s="5">
        <v>39.041922395718593</v>
      </c>
      <c r="S44" s="5">
        <v>36.13144236323707</v>
      </c>
      <c r="T44" s="5">
        <v>29.832382908950844</v>
      </c>
      <c r="U44" s="5">
        <v>53.662190486857497</v>
      </c>
      <c r="V44" s="5">
        <v>69.586726820957182</v>
      </c>
      <c r="W44" s="5">
        <v>144.02002126632186</v>
      </c>
      <c r="X44" s="5">
        <v>225.96622996004422</v>
      </c>
      <c r="Y44" s="5">
        <v>218.48002961033882</v>
      </c>
      <c r="Z44" s="5">
        <v>116.32078511424751</v>
      </c>
      <c r="AA44" s="5">
        <v>91.773558063271778</v>
      </c>
      <c r="AB44" s="5">
        <v>84.968060161558284</v>
      </c>
      <c r="AC44">
        <f t="shared" si="13"/>
        <v>0.61707931074520161</v>
      </c>
      <c r="AD44">
        <f t="shared" si="14"/>
        <v>30.176182440163529</v>
      </c>
    </row>
    <row r="45" spans="2:30">
      <c r="B45" s="41">
        <v>2019</v>
      </c>
      <c r="C45" s="5">
        <f>'2019'!C3</f>
        <v>22.552581999999937</v>
      </c>
      <c r="D45" s="5">
        <f>'2019'!D3</f>
        <v>20.843499000000065</v>
      </c>
      <c r="E45" s="5">
        <f>'2019'!E3</f>
        <v>29.454128999999956</v>
      </c>
      <c r="F45" s="5">
        <f>'2019'!F3</f>
        <v>20.305261000000172</v>
      </c>
      <c r="G45" s="5">
        <f>'2019'!G3</f>
        <v>13.686037000000011</v>
      </c>
      <c r="H45" s="5">
        <f>'2019'!H3</f>
        <v>10.809938999999796</v>
      </c>
      <c r="I45" s="5">
        <f>'2019'!I3</f>
        <v>12.072376000000164</v>
      </c>
      <c r="J45" s="5">
        <f>'2019'!J3</f>
        <v>35.882240999999922</v>
      </c>
      <c r="K45" s="5">
        <f>'2019'!K3</f>
        <v>30.512249000000068</v>
      </c>
      <c r="L45" s="5">
        <f>'2019'!L3</f>
        <v>41.633333999999998</v>
      </c>
      <c r="M45" s="5">
        <f>'2019'!M3</f>
        <v>47.532623000000001</v>
      </c>
      <c r="N45" s="5">
        <f>'2019'!N3</f>
        <v>24.291547999999953</v>
      </c>
      <c r="O45" s="42">
        <f t="shared" si="15"/>
        <v>309.57581800000008</v>
      </c>
      <c r="Q45" s="5">
        <v>71.103282258064525</v>
      </c>
      <c r="R45" s="5">
        <v>33.986028465608349</v>
      </c>
      <c r="S45" s="5">
        <v>27.042327168577021</v>
      </c>
      <c r="T45" s="5">
        <v>29.647687975555311</v>
      </c>
      <c r="U45" s="5">
        <v>32.275657863003438</v>
      </c>
      <c r="V45" s="5">
        <v>46.812662552806401</v>
      </c>
      <c r="W45" s="5">
        <v>63.078359366171476</v>
      </c>
      <c r="X45" s="5">
        <v>151.61792792840828</v>
      </c>
      <c r="Y45" s="5">
        <v>234.25467597557554</v>
      </c>
      <c r="Z45" s="5">
        <v>107.68453867460541</v>
      </c>
      <c r="AA45" s="5">
        <v>167.07581858945139</v>
      </c>
      <c r="AB45" s="5">
        <v>66.735622909200004</v>
      </c>
      <c r="AC45">
        <f t="shared" si="13"/>
        <v>0.93083595269775543</v>
      </c>
      <c r="AD45">
        <f t="shared" si="14"/>
        <v>17.80826117384089</v>
      </c>
    </row>
    <row r="46" spans="2:30">
      <c r="B46" s="41">
        <v>2020</v>
      </c>
      <c r="C46" s="5">
        <f>'2020'!C3</f>
        <v>24.566246999999972</v>
      </c>
      <c r="D46" s="5">
        <f>'2020'!D3</f>
        <v>22.680795000000156</v>
      </c>
      <c r="E46" s="5">
        <f>'2020'!E3</f>
        <v>25.492474999999857</v>
      </c>
      <c r="F46" s="5">
        <f>'2020'!F3</f>
        <v>14.732552000000142</v>
      </c>
      <c r="G46" s="5">
        <f>'2020'!G3</f>
        <v>13.924613000000001</v>
      </c>
      <c r="H46" s="5">
        <f>'2020'!H3</f>
        <v>10.573797000000253</v>
      </c>
      <c r="I46" s="5">
        <f>'2020'!I3</f>
        <v>21.065653000000001</v>
      </c>
      <c r="J46" s="5">
        <f>'2020'!J3</f>
        <v>36.94277800000016</v>
      </c>
      <c r="K46" s="5">
        <f>'2020'!K3</f>
        <v>37.933302999999839</v>
      </c>
      <c r="L46" s="5">
        <f>'2020'!L3</f>
        <v>22.716196000000231</v>
      </c>
      <c r="M46" s="5">
        <f>'2020'!M3</f>
        <v>46.793722000000066</v>
      </c>
      <c r="N46" s="5">
        <f>'2020'!N3</f>
        <v>43.477064999999939</v>
      </c>
      <c r="O46" s="42">
        <f t="shared" si="15"/>
        <v>320.89919600000064</v>
      </c>
      <c r="Q46" s="5">
        <v>38.33574257133629</v>
      </c>
      <c r="R46" s="5">
        <v>30.678342911877447</v>
      </c>
      <c r="S46" s="5">
        <v>21.352688172043006</v>
      </c>
      <c r="T46" s="5">
        <v>21.049055555555551</v>
      </c>
      <c r="U46" s="5">
        <v>20.578763440860214</v>
      </c>
      <c r="V46" s="5">
        <v>56.84350000000002</v>
      </c>
      <c r="W46" s="5">
        <v>81.693978494623664</v>
      </c>
      <c r="X46" s="5">
        <v>161.20344086021507</v>
      </c>
      <c r="Y46" s="5">
        <v>148.64894555555554</v>
      </c>
      <c r="Z46" s="5">
        <v>207.94838709677421</v>
      </c>
      <c r="AA46" s="5">
        <v>154.26261111111111</v>
      </c>
      <c r="AB46" s="5">
        <v>120.95</v>
      </c>
      <c r="AC46">
        <f t="shared" si="13"/>
        <v>0.53441901101666367</v>
      </c>
      <c r="AD46">
        <f t="shared" si="14"/>
        <v>44.392945153085904</v>
      </c>
    </row>
    <row r="47" spans="2:30">
      <c r="B47" s="41">
        <v>2021</v>
      </c>
      <c r="C47" s="5">
        <f>'2021'!C3</f>
        <v>29.164321999999927</v>
      </c>
      <c r="D47" s="5">
        <f>'2021'!D3</f>
        <v>26.659041999999904</v>
      </c>
      <c r="E47" s="5">
        <f>'2021'!E3</f>
        <v>29.322748000000139</v>
      </c>
      <c r="F47" s="5">
        <f>'2021'!F3</f>
        <v>17.608156999999888</v>
      </c>
      <c r="G47" s="5">
        <f>'2021'!G3</f>
        <v>14.82469700000016</v>
      </c>
      <c r="H47" s="5">
        <f>'2021'!H3</f>
        <v>11.728076999999816</v>
      </c>
      <c r="I47" s="5">
        <f>'2021'!I3</f>
        <v>19.794796000000261</v>
      </c>
      <c r="J47" s="5">
        <f>'2021'!J3</f>
        <v>20.40146099999966</v>
      </c>
      <c r="K47" s="5">
        <f>'2021'!K3</f>
        <v>26.350116000000156</v>
      </c>
      <c r="L47" s="5">
        <f>'2021'!L3</f>
        <v>44.472706000000002</v>
      </c>
      <c r="M47" s="5">
        <f>'2021'!M3</f>
        <v>56.895757999999908</v>
      </c>
      <c r="N47" s="5">
        <f>'2021'!N3</f>
        <v>42.598993999999948</v>
      </c>
      <c r="O47" s="42">
        <f t="shared" si="15"/>
        <v>339.82087399999978</v>
      </c>
      <c r="Q47" s="5">
        <v>58.965483870967766</v>
      </c>
      <c r="R47" s="5">
        <v>38.899464285714281</v>
      </c>
      <c r="S47" s="5">
        <v>25.662795698924729</v>
      </c>
      <c r="T47" s="5">
        <v>32.283333333333331</v>
      </c>
      <c r="U47" s="5">
        <v>39.448387096774198</v>
      </c>
      <c r="V47" s="5">
        <v>43.951500000000003</v>
      </c>
      <c r="W47" s="5">
        <v>74.111021505376357</v>
      </c>
      <c r="X47" s="5">
        <v>86.702096774193549</v>
      </c>
      <c r="Y47" s="5">
        <v>191.96166666666667</v>
      </c>
      <c r="Z47" s="5">
        <v>257.33811827956987</v>
      </c>
      <c r="AA47" s="5">
        <v>189.4975</v>
      </c>
      <c r="AB47" s="5">
        <v>132.20188172043012</v>
      </c>
      <c r="AC47">
        <f t="shared" si="13"/>
        <v>0.85247946204985159</v>
      </c>
      <c r="AD47">
        <f t="shared" si="14"/>
        <v>20.137976348666136</v>
      </c>
    </row>
    <row r="48" spans="2:30">
      <c r="B48" s="41">
        <v>2022</v>
      </c>
      <c r="C48" s="5">
        <f>'2022'!C3</f>
        <v>33.846495199999993</v>
      </c>
      <c r="D48" s="5">
        <f>'2022'!D3</f>
        <v>26.111034599999996</v>
      </c>
      <c r="E48" s="5">
        <f>'2022'!E3</f>
        <v>29.464168099999998</v>
      </c>
      <c r="F48" s="5">
        <f>'2022'!F3</f>
        <v>23.123994499999998</v>
      </c>
      <c r="G48" s="5">
        <f>'2022'!G3</f>
        <v>24.264119900000001</v>
      </c>
      <c r="H48" s="5">
        <f>'2022'!H3</f>
        <v>19.669999300000001</v>
      </c>
      <c r="I48" s="5">
        <f>'2022'!I3</f>
        <v>33.584182800000008</v>
      </c>
      <c r="J48" s="5">
        <f>'2022'!J3</f>
        <v>33.5064724</v>
      </c>
      <c r="K48" s="5">
        <f>'2022'!K3</f>
        <v>49.386004699999994</v>
      </c>
      <c r="L48" s="5">
        <f>'2022'!L3</f>
        <v>50.809693500000002</v>
      </c>
      <c r="M48" s="5">
        <f>'2022'!M3</f>
        <v>38.933323999999999</v>
      </c>
      <c r="N48" s="5">
        <f>'2022'!N3</f>
        <v>26.922136399999999</v>
      </c>
      <c r="O48" s="42">
        <f t="shared" si="15"/>
        <v>389.62162539999997</v>
      </c>
      <c r="Q48" s="5">
        <v>63.148602150537641</v>
      </c>
      <c r="R48" s="5">
        <v>48.989226190476202</v>
      </c>
      <c r="S48" s="5">
        <v>35.236559139784951</v>
      </c>
      <c r="T48" s="5">
        <v>40.715333333333326</v>
      </c>
      <c r="U48" s="5">
        <v>81.481720430107529</v>
      </c>
      <c r="V48" s="5">
        <v>90.426888888888897</v>
      </c>
      <c r="W48" s="5">
        <v>119.99634408602152</v>
      </c>
      <c r="X48" s="5">
        <v>197.58252688172044</v>
      </c>
      <c r="Y48" s="5">
        <v>186.16005555555557</v>
      </c>
      <c r="Z48" s="5">
        <v>154.8290322580645</v>
      </c>
      <c r="AA48" s="5">
        <v>92.518555555555565</v>
      </c>
      <c r="AB48" s="5">
        <v>76.388763440860231</v>
      </c>
      <c r="AC48">
        <f t="shared" si="13"/>
        <v>0.26519701034332199</v>
      </c>
      <c r="AD48">
        <f t="shared" si="14"/>
        <v>63.784127968170516</v>
      </c>
    </row>
    <row r="49" spans="2:30">
      <c r="B49" s="41">
        <v>2023</v>
      </c>
      <c r="C49" s="5">
        <f>'2023'!C3</f>
        <v>26.196023199999999</v>
      </c>
      <c r="D49" s="5">
        <f>'2023'!D3</f>
        <v>28.2093384</v>
      </c>
      <c r="E49" s="5">
        <f>'2023'!E3</f>
        <v>28.871705800000001</v>
      </c>
      <c r="F49" s="5">
        <f>'2023'!F3</f>
        <v>23.975395199999998</v>
      </c>
      <c r="G49" s="5">
        <f>'2023'!G3</f>
        <v>7.3071524999999999</v>
      </c>
      <c r="H49" s="5">
        <f>'2023'!H3</f>
        <v>18.939633699999998</v>
      </c>
      <c r="I49" s="5">
        <f>'2023'!I3</f>
        <v>27.245995299999997</v>
      </c>
      <c r="J49" s="5">
        <f>'2023'!J3</f>
        <v>42.153500099999995</v>
      </c>
      <c r="K49" s="5">
        <f>'2023'!K3</f>
        <v>60.6046391</v>
      </c>
      <c r="L49" s="5">
        <f>'2023'!L3</f>
        <v>53.143639999999998</v>
      </c>
      <c r="M49" s="5">
        <f>'2023'!M3</f>
        <v>42.165509899999996</v>
      </c>
      <c r="N49" s="5">
        <f>'2023'!N3</f>
        <v>31.564488900000001</v>
      </c>
      <c r="O49" s="42">
        <f t="shared" si="15"/>
        <v>390.37702210000003</v>
      </c>
      <c r="Q49" s="5">
        <v>65.299086021505389</v>
      </c>
      <c r="R49" s="5">
        <v>36.709523809523809</v>
      </c>
      <c r="S49" s="5">
        <v>22.855645161290326</v>
      </c>
      <c r="T49" s="5">
        <v>27.988111111111106</v>
      </c>
      <c r="U49" s="5">
        <v>48.204838709677418</v>
      </c>
      <c r="V49" s="5">
        <v>83.425333333333327</v>
      </c>
      <c r="W49" s="5">
        <v>171.28838709677419</v>
      </c>
      <c r="X49" s="5">
        <v>200.94758709677419</v>
      </c>
      <c r="Y49" s="5">
        <v>206.59583000000001</v>
      </c>
      <c r="Z49" s="5">
        <v>169.93816774193547</v>
      </c>
      <c r="AA49" s="5">
        <v>123.92639</v>
      </c>
      <c r="AB49" s="5">
        <v>83</v>
      </c>
      <c r="AC49">
        <f t="shared" si="13"/>
        <v>0.5894556899057295</v>
      </c>
      <c r="AD49">
        <f t="shared" si="14"/>
        <v>42.621741931471774</v>
      </c>
    </row>
    <row r="50" spans="2:30">
      <c r="B50" s="43">
        <v>2024</v>
      </c>
      <c r="C50" s="44">
        <f>'2024'!C3</f>
        <v>27.937671999999999</v>
      </c>
      <c r="D50" s="44">
        <f>'2024'!D3</f>
        <v>20.617661599999998</v>
      </c>
      <c r="E50" s="44">
        <f>'2024'!E3</f>
        <v>18.585530500000001</v>
      </c>
      <c r="F50" s="44">
        <f>'2024'!F3</f>
        <v>17.219771600000001</v>
      </c>
      <c r="G50" s="44">
        <f>'2024'!G3</f>
        <v>15.0814433</v>
      </c>
      <c r="H50" s="44">
        <f>'2024'!H3</f>
        <v>23.646055400000002</v>
      </c>
      <c r="I50" s="44">
        <f>'2024'!I3</f>
        <v>25.2517505</v>
      </c>
      <c r="J50" s="44">
        <f>'2024'!J3</f>
        <v>41.779785799999999</v>
      </c>
      <c r="K50" s="44">
        <f>'2024'!K3</f>
        <v>44.453589399999998</v>
      </c>
      <c r="L50" s="44">
        <f>'2024'!L3</f>
        <v>55.450868700000001</v>
      </c>
      <c r="M50" s="44">
        <f>'2024'!M3</f>
        <v>34.919919800000002</v>
      </c>
      <c r="N50" s="44">
        <f>'2024'!N3</f>
        <v>19.430500599999998</v>
      </c>
      <c r="O50" s="45">
        <f t="shared" si="15"/>
        <v>344.37454920000005</v>
      </c>
      <c r="P50" s="13" t="s">
        <v>16</v>
      </c>
      <c r="Q50" s="5">
        <v>42.162625806451615</v>
      </c>
      <c r="R50" s="5">
        <v>32.270000000000003</v>
      </c>
      <c r="S50" s="5">
        <v>20.516132258064516</v>
      </c>
      <c r="T50" s="5">
        <v>23.573613333333334</v>
      </c>
      <c r="U50" s="5">
        <v>55.271509677419353</v>
      </c>
      <c r="V50" s="5">
        <v>51.7</v>
      </c>
      <c r="W50" s="5">
        <v>142.86289677419356</v>
      </c>
      <c r="X50" s="5">
        <v>140.49596774193546</v>
      </c>
      <c r="Y50" s="5">
        <v>240.57499999999999</v>
      </c>
      <c r="Z50" s="5">
        <v>137.51209354838701</v>
      </c>
      <c r="AA50" s="5">
        <v>113.17129629629629</v>
      </c>
      <c r="AB50" s="5">
        <v>112.0967806451613</v>
      </c>
      <c r="AC50">
        <f t="shared" si="13"/>
        <v>0.3126728684735875</v>
      </c>
      <c r="AD50">
        <f t="shared" si="14"/>
        <v>41.138967556925948</v>
      </c>
    </row>
    <row r="51" spans="2:30">
      <c r="B51" s="46">
        <v>2025</v>
      </c>
      <c r="C51" s="5">
        <v>22.8188779</v>
      </c>
      <c r="D51" s="5">
        <v>21.439379299999999</v>
      </c>
      <c r="E51" s="5">
        <v>23.509354399999999</v>
      </c>
      <c r="F51" s="5">
        <v>22.266451</v>
      </c>
      <c r="G51" s="5">
        <v>26.197556799999997</v>
      </c>
      <c r="H51" s="5">
        <v>27.2371357</v>
      </c>
      <c r="I51" s="5">
        <v>36.338286599999996</v>
      </c>
      <c r="J51" s="5">
        <v>36.4025192</v>
      </c>
      <c r="K51" s="5">
        <v>46.942469599999995</v>
      </c>
      <c r="L51" s="5">
        <v>57.272962399999997</v>
      </c>
      <c r="M51" s="5">
        <v>57.510296799999999</v>
      </c>
      <c r="N51" s="5">
        <v>50.9365168</v>
      </c>
      <c r="O51" s="45">
        <f t="shared" si="15"/>
        <v>428.87180649999999</v>
      </c>
      <c r="P51" s="13" t="s">
        <v>16</v>
      </c>
      <c r="Q51" s="5">
        <v>58.057796774193548</v>
      </c>
      <c r="R51" s="5">
        <v>38.39</v>
      </c>
      <c r="S51" s="5">
        <v>31.147848387096776</v>
      </c>
      <c r="T51" s="5">
        <v>31.900006666666666</v>
      </c>
      <c r="U51" s="5">
        <v>59.98</v>
      </c>
      <c r="V51" s="5">
        <v>106.77638333333331</v>
      </c>
      <c r="W51" s="5">
        <v>110.5309129032258</v>
      </c>
      <c r="X51" s="5">
        <v>136.34811612903226</v>
      </c>
      <c r="Y51" s="5">
        <v>244.45555333333331</v>
      </c>
      <c r="Z51" s="5">
        <v>200.34005483870968</v>
      </c>
      <c r="AA51" s="5">
        <v>316.8236133333333</v>
      </c>
      <c r="AB51" s="5">
        <v>148.00941290322578</v>
      </c>
      <c r="AC51">
        <f t="shared" si="13"/>
        <v>0.32831670662423384</v>
      </c>
      <c r="AD51">
        <f t="shared" si="14"/>
        <v>65.765106195896252</v>
      </c>
    </row>
    <row r="52" spans="2:30">
      <c r="B52" s="46">
        <v>2026</v>
      </c>
      <c r="C52" s="5">
        <v>26.021293799999999</v>
      </c>
      <c r="D52" s="5">
        <v>24.001324499999999</v>
      </c>
      <c r="E52" s="5">
        <v>27.454285800000001</v>
      </c>
      <c r="F52" s="5">
        <v>24.151494</v>
      </c>
      <c r="G52" s="5">
        <v>18.922208399999999</v>
      </c>
      <c r="H52" s="5">
        <v>18.093756799999998</v>
      </c>
      <c r="I52" s="5"/>
      <c r="J52" s="5"/>
      <c r="K52" s="5"/>
      <c r="L52" s="5"/>
      <c r="M52" s="5"/>
      <c r="N52" s="5"/>
      <c r="O52" s="57"/>
      <c r="P52" s="13"/>
      <c r="Q52">
        <v>69.900000000000006</v>
      </c>
      <c r="R52">
        <v>44.2</v>
      </c>
      <c r="S52">
        <v>40.700000000000003</v>
      </c>
      <c r="T52">
        <v>28.51</v>
      </c>
      <c r="U52">
        <v>37.090000000000003</v>
      </c>
      <c r="V52">
        <v>47.41</v>
      </c>
    </row>
    <row r="53" spans="2:30">
      <c r="B53" s="4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7"/>
      <c r="P53" s="13"/>
    </row>
    <row r="54" spans="2:30">
      <c r="B54" s="4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7"/>
      <c r="P54" s="13"/>
    </row>
    <row r="55" spans="2:30">
      <c r="B55" s="7">
        <v>2025</v>
      </c>
      <c r="C55" s="9">
        <f>FORECAST($B$55,C37:C50,$B$37:$B$50)</f>
        <v>31.45269294065929</v>
      </c>
      <c r="D55" s="9">
        <f t="shared" ref="D55:N55" si="16">FORECAST($B$55,D37:D50,$B$37:$B$50)</f>
        <v>26.597474679120751</v>
      </c>
      <c r="E55" s="9">
        <f t="shared" si="16"/>
        <v>25.35833732307691</v>
      </c>
      <c r="F55" s="9">
        <f t="shared" si="16"/>
        <v>21.022996298901091</v>
      </c>
      <c r="G55" s="9">
        <f t="shared" si="16"/>
        <v>14.48449913516481</v>
      </c>
      <c r="H55" s="9">
        <f t="shared" si="16"/>
        <v>17.475359445054892</v>
      </c>
      <c r="I55" s="9">
        <f t="shared" si="16"/>
        <v>23.915982317582575</v>
      </c>
      <c r="J55" s="9">
        <f t="shared" si="16"/>
        <v>38.589172407692331</v>
      </c>
      <c r="K55" s="9">
        <f t="shared" si="16"/>
        <v>52.232111930768951</v>
      </c>
      <c r="L55" s="9">
        <f t="shared" si="16"/>
        <v>44.851810881318727</v>
      </c>
      <c r="M55" s="9">
        <f t="shared" si="16"/>
        <v>45.093820829670221</v>
      </c>
      <c r="N55" s="9">
        <f t="shared" si="16"/>
        <v>32.214735970329571</v>
      </c>
      <c r="O55" s="36">
        <f t="shared" si="15"/>
        <v>373.28899415934012</v>
      </c>
      <c r="P55" s="13" t="s">
        <v>17</v>
      </c>
    </row>
    <row r="56" spans="2:30">
      <c r="B56" s="7">
        <v>2025</v>
      </c>
      <c r="C56" s="5">
        <v>17.434590126169109</v>
      </c>
      <c r="D56" s="5">
        <v>10.858429966600518</v>
      </c>
      <c r="E56" s="5">
        <v>9.1137058757797487</v>
      </c>
      <c r="F56" s="5">
        <v>10.11481048894516</v>
      </c>
      <c r="G56" s="5">
        <v>16.792473252538489</v>
      </c>
      <c r="H56" s="5">
        <v>20.334433312008315</v>
      </c>
      <c r="I56" s="5">
        <v>34.27039037561994</v>
      </c>
      <c r="J56" s="5">
        <v>46.953234084358677</v>
      </c>
      <c r="K56" s="5">
        <v>50.96965166317964</v>
      </c>
      <c r="L56" s="5">
        <v>48.942274371830379</v>
      </c>
      <c r="M56" s="5">
        <v>37.594312027919315</v>
      </c>
      <c r="N56" s="5">
        <v>29.244138687905288</v>
      </c>
      <c r="O56" s="36">
        <f t="shared" si="15"/>
        <v>332.62244423285455</v>
      </c>
      <c r="P56" s="13" t="s">
        <v>18</v>
      </c>
    </row>
    <row r="57" spans="2:30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36"/>
      <c r="P57" s="13"/>
    </row>
    <row r="58" spans="2:30">
      <c r="B58" s="76">
        <v>2026</v>
      </c>
      <c r="C58" s="9">
        <f>FORECAST($B$58,C37:C51,$B$37:$B$51)</f>
        <v>30.065464746666521</v>
      </c>
      <c r="D58" s="9">
        <f t="shared" ref="D58:N58" si="17">FORECAST($B$58,D37:D51,$B$37:$B$51)</f>
        <v>25.922838748571166</v>
      </c>
      <c r="E58" s="9">
        <f t="shared" si="17"/>
        <v>24.743420230476204</v>
      </c>
      <c r="F58" s="9">
        <f t="shared" si="17"/>
        <v>21.523032446666662</v>
      </c>
      <c r="G58" s="9">
        <f t="shared" si="17"/>
        <v>17.253216971428586</v>
      </c>
      <c r="H58" s="9">
        <f t="shared" si="17"/>
        <v>19.724399187619042</v>
      </c>
      <c r="I58" s="9">
        <f t="shared" si="17"/>
        <v>26.886853524761968</v>
      </c>
      <c r="J58" s="9">
        <f t="shared" si="17"/>
        <v>38.722406556190435</v>
      </c>
      <c r="K58" s="9">
        <f t="shared" si="17"/>
        <v>53.107650021904192</v>
      </c>
      <c r="L58" s="9">
        <f t="shared" si="17"/>
        <v>47.964212154285747</v>
      </c>
      <c r="M58" s="9">
        <f t="shared" si="17"/>
        <v>49.315250449523774</v>
      </c>
      <c r="N58" s="9">
        <f t="shared" si="17"/>
        <v>37.520597245714498</v>
      </c>
      <c r="O58" s="36">
        <f>SUM(C58:N58)</f>
        <v>392.7493422838088</v>
      </c>
      <c r="P58" s="13" t="s">
        <v>17</v>
      </c>
      <c r="S58">
        <v>0.7</v>
      </c>
    </row>
    <row r="59" spans="2:30">
      <c r="B59" s="76"/>
      <c r="C59" s="5">
        <v>13.781805098073741</v>
      </c>
      <c r="D59" s="5">
        <v>8.7962208583574153</v>
      </c>
      <c r="E59" s="5">
        <v>7.4411295722443942</v>
      </c>
      <c r="F59" s="5">
        <v>6.8743897440387496</v>
      </c>
      <c r="G59" s="5">
        <v>10.65941795382318</v>
      </c>
      <c r="H59" s="5">
        <v>20.826642396809838</v>
      </c>
      <c r="I59" s="5">
        <v>26.058879816017285</v>
      </c>
      <c r="J59" s="5">
        <v>51.72000881608097</v>
      </c>
      <c r="K59" s="5">
        <v>56.508015613197742</v>
      </c>
      <c r="L59" s="5">
        <v>61.071907000000117</v>
      </c>
      <c r="M59" s="5">
        <v>39.36953063899967</v>
      </c>
      <c r="N59" s="5">
        <v>25.679651043484323</v>
      </c>
      <c r="O59" s="36">
        <f>SUM(C59:N59)</f>
        <v>328.78759855112742</v>
      </c>
      <c r="P59" s="13" t="s">
        <v>18</v>
      </c>
      <c r="S59">
        <v>0.3</v>
      </c>
    </row>
    <row r="60" spans="2:30">
      <c r="B60" s="7"/>
      <c r="C60" s="19">
        <f>C58*$S$58+C59*$S$59</f>
        <v>25.180366852088685</v>
      </c>
      <c r="D60" s="19">
        <f t="shared" ref="D60:N60" si="18">D58*$S$58+D59*$S$59</f>
        <v>20.784853381507041</v>
      </c>
      <c r="E60" s="19">
        <f t="shared" si="18"/>
        <v>19.552733033006657</v>
      </c>
      <c r="F60" s="19">
        <f t="shared" si="18"/>
        <v>17.128439635878287</v>
      </c>
      <c r="G60" s="19">
        <f t="shared" si="18"/>
        <v>15.275077266146964</v>
      </c>
      <c r="H60" s="19">
        <f t="shared" si="18"/>
        <v>20.055072150376279</v>
      </c>
      <c r="I60" s="19">
        <f t="shared" si="18"/>
        <v>26.638461412138561</v>
      </c>
      <c r="J60" s="19">
        <f t="shared" si="18"/>
        <v>42.621687234157591</v>
      </c>
      <c r="K60" s="19">
        <f t="shared" si="18"/>
        <v>54.127759699292255</v>
      </c>
      <c r="L60" s="19">
        <f t="shared" si="18"/>
        <v>51.896520608000053</v>
      </c>
      <c r="M60" s="19">
        <f t="shared" si="18"/>
        <v>46.331534506366538</v>
      </c>
      <c r="N60" s="19">
        <f t="shared" si="18"/>
        <v>33.968313385045441</v>
      </c>
      <c r="O60" s="36">
        <f>SUM(C60:N60)</f>
        <v>373.56081916400439</v>
      </c>
      <c r="P60" s="13" t="s">
        <v>19</v>
      </c>
    </row>
    <row r="61" spans="2:30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36"/>
      <c r="P61" s="13"/>
    </row>
    <row r="62" spans="2:30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6"/>
      <c r="P62" s="13"/>
    </row>
    <row r="63" spans="2:30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6"/>
      <c r="P63" s="13"/>
    </row>
    <row r="64" spans="2:30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6"/>
      <c r="P64" s="13"/>
    </row>
    <row r="65" spans="2:29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6"/>
      <c r="P65" s="13"/>
    </row>
    <row r="66" spans="2:29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6"/>
      <c r="P66" s="13"/>
    </row>
    <row r="67" spans="2:29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6"/>
      <c r="P67" s="13"/>
    </row>
    <row r="68" spans="2:29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6"/>
      <c r="P68" s="13"/>
    </row>
    <row r="71" spans="2:29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4" spans="2:29">
      <c r="C74" s="74"/>
      <c r="D74" s="74"/>
      <c r="E74" s="74"/>
      <c r="F74" s="74"/>
      <c r="G74" s="74"/>
      <c r="H74" s="74"/>
      <c r="I74" s="74"/>
      <c r="Q74" s="75"/>
      <c r="R74" s="74"/>
      <c r="S74" s="74"/>
      <c r="T74" s="74"/>
      <c r="U74" s="74"/>
      <c r="V74" s="74"/>
      <c r="W74" s="74"/>
    </row>
    <row r="75" spans="2:29"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10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2:29"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34"/>
    </row>
    <row r="81" spans="3:14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</sheetData>
  <mergeCells count="5">
    <mergeCell ref="C1:O1"/>
    <mergeCell ref="Q1:AB1"/>
    <mergeCell ref="C74:I74"/>
    <mergeCell ref="Q74:W74"/>
    <mergeCell ref="B58:B59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A05E-04C1-4F6B-A806-D643F7861AAC}">
  <dimension ref="B1:AF61"/>
  <sheetViews>
    <sheetView workbookViewId="0">
      <selection activeCell="A44" sqref="A44:XFD44"/>
    </sheetView>
  </sheetViews>
  <sheetFormatPr defaultRowHeight="15"/>
  <cols>
    <col min="3" max="3" width="9.5703125" bestFit="1" customWidth="1"/>
    <col min="4" max="7" width="8.85546875" bestFit="1" customWidth="1"/>
    <col min="8" max="14" width="9.140625" bestFit="1" customWidth="1"/>
    <col min="15" max="15" width="10.5703125" bestFit="1" customWidth="1"/>
  </cols>
  <sheetData>
    <row r="1" spans="2:32">
      <c r="C1" s="74" t="s">
        <v>20</v>
      </c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Q1" s="73" t="s">
        <v>8</v>
      </c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</row>
    <row r="2" spans="2:32"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10" t="s">
        <v>9</v>
      </c>
      <c r="Q2" s="8">
        <v>1</v>
      </c>
      <c r="R2" s="8">
        <v>2</v>
      </c>
      <c r="S2" s="8">
        <v>3</v>
      </c>
      <c r="T2" s="8">
        <v>4</v>
      </c>
      <c r="U2" s="8">
        <v>5</v>
      </c>
      <c r="V2" s="8">
        <v>6</v>
      </c>
      <c r="W2" s="8">
        <v>7</v>
      </c>
      <c r="X2" s="8">
        <v>8</v>
      </c>
      <c r="Y2" s="8">
        <v>9</v>
      </c>
      <c r="Z2" s="8">
        <v>10</v>
      </c>
      <c r="AA2" s="8">
        <v>11</v>
      </c>
      <c r="AB2" s="8">
        <v>12</v>
      </c>
      <c r="AD2" t="s">
        <v>12</v>
      </c>
      <c r="AE2" s="8">
        <v>6.55</v>
      </c>
      <c r="AF2" s="13" t="s">
        <v>13</v>
      </c>
    </row>
    <row r="3" spans="2:32">
      <c r="B3">
        <v>1977</v>
      </c>
      <c r="C3" s="15">
        <f t="shared" ref="C3:C36" si="0">IF(Q3*DAY(EOMONTH(DATE($B3,$C$2,1),0))*24*3600/$AE$2/10^6&gt;$AE$3,$AE$3,Q3*DAY(EOMONTH(DATE($B3,$C$2,1),0))*24*3600/$AE$2/10^6)</f>
        <v>32.958632061068698</v>
      </c>
      <c r="D3" s="15">
        <f t="shared" ref="D3:D36" si="1">IF(R3*DAY(EOMONTH(DATE($B3,$D$2,1),0))*24*3600/$AE$2/10^6&gt;$AE$3,$AE$3,R3*DAY(EOMONTH(DATE($B3,$D$2,1),0))*24*3600/$AE$2/10^6)</f>
        <v>20.646302290076338</v>
      </c>
      <c r="E3" s="15">
        <f t="shared" ref="E3:E36" si="2">IF(S3*DAY(EOMONTH(DATE($B3,$E$2,1),0))*24*3600/$AE$2/10^6&gt;$AE$3,$AE$3,S3*DAY(EOMONTH(DATE($B3,$E$2,1),0))*24*3600/$AE$2/10^6)</f>
        <v>15.49791755725191</v>
      </c>
      <c r="F3" s="15">
        <f t="shared" ref="F3:F36" si="3">IF(T3*DAY(EOMONTH(DATE($B3,$F$2,1),0))*24*3600/$AE$2/10^6&gt;$AE$3,$AE$3,T3*DAY(EOMONTH(DATE($B3,$F$2,1),0))*24*3600/$AE$2/10^6)</f>
        <v>10.288854961832062</v>
      </c>
      <c r="G3" s="15">
        <f t="shared" ref="G3:G36" si="4">IF(U3*DAY(EOMONTH(DATE($B3,$G$2,1),0))*24*3600/$AE$2/10^6&gt;$AE$3,$AE$3,U3*DAY(EOMONTH(DATE($B3,$G$2,1),0))*24*3600/$AE$2/10^6)</f>
        <v>12.390155725190841</v>
      </c>
      <c r="H3" s="15">
        <f t="shared" ref="H3:H36" si="5">IF(V3*DAY(EOMONTH(DATE($B3,$H$2,1),0))*24*3600/$AE$2/10^6&gt;$AE$3,$AE$3,V3*DAY(EOMONTH(DATE($B3,$H$2,1),0))*24*3600/$AE$2/10^6)</f>
        <v>14.325251908396947</v>
      </c>
      <c r="I3" s="15">
        <f t="shared" ref="I3:I36" si="6">IF(W3*DAY(EOMONTH(DATE($B3,$I$2,1),0))*24*3600/$AE$2/10^6&gt;$AE$3,$AE$3,W3*DAY(EOMONTH(DATE($B3,$I$2,1),0))*24*3600/$AE$2/10^6)</f>
        <v>41.791218320610689</v>
      </c>
      <c r="J3" s="15">
        <f t="shared" ref="J3:J36" si="7">IF(X3*DAY(EOMONTH(DATE($B3,$J$2,1),0))*24*3600/$AE$2/10^6&gt;$AE$3,$AE$3,X3*DAY(EOMONTH(DATE($B3,$J$2,1),0))*24*3600/$AE$2/10^6)</f>
        <v>42.077459541984737</v>
      </c>
      <c r="K3" s="15">
        <f t="shared" ref="K3:K36" si="8">IF(Y3*DAY(EOMONTH(DATE($B3,$K$2,1),0))*24*3600/$AE$2/10^6&gt;$AE$3,$AE$3,Y3*DAY(EOMONTH(DATE($B3,$K$2,1),0))*24*3600/$AE$2/10^6)</f>
        <v>136.64390839694659</v>
      </c>
      <c r="L3" s="15">
        <f t="shared" ref="L3:L36" si="9">IF(Z3*DAY(EOMONTH(DATE($B3,$L$2,1),0))*24*3600/$AE$2/10^6&gt;$AE$3,$AE$3,Z3*DAY(EOMONTH(DATE($B3,$L$2,1),0))*24*3600/$AE$2/10^6)</f>
        <v>130.85312977099238</v>
      </c>
      <c r="M3" s="15">
        <f t="shared" ref="M3:M36" si="10">IF(AA3*DAY(EOMONTH(DATE($B3,$M$2,1),0))*24*3600/$AE$2/10^6&gt;$AE$3,$AE$3,AA3*DAY(EOMONTH(DATE($B3,$M$2,1),0))*24*3600/$AE$2/10^6)</f>
        <v>72.615572519083983</v>
      </c>
      <c r="N3" s="15">
        <f t="shared" ref="N3:N36" si="11">IF(AB3*DAY(EOMONTH(DATE($B3,$N$2,1),0))*24*3600/$AE$2/10^6&gt;$AE$3,$AE$3,AB3*DAY(EOMONTH(DATE($B3,$N$2,1),0))*24*3600/$AE$2/10^6)</f>
        <v>37.334033587786259</v>
      </c>
      <c r="O3" s="35">
        <f t="shared" ref="O3:O51" si="12">SUM(C3:N3)</f>
        <v>567.42243664122145</v>
      </c>
      <c r="Q3" s="5">
        <v>80.599999999999994</v>
      </c>
      <c r="R3" s="5">
        <v>55.9</v>
      </c>
      <c r="S3" s="5">
        <v>37.9</v>
      </c>
      <c r="T3" s="5">
        <v>26</v>
      </c>
      <c r="U3" s="5">
        <v>30.3</v>
      </c>
      <c r="V3" s="5">
        <v>36.200000000000003</v>
      </c>
      <c r="W3" s="5">
        <v>102.2</v>
      </c>
      <c r="X3" s="5">
        <v>102.9</v>
      </c>
      <c r="Y3" s="5">
        <v>345.3</v>
      </c>
      <c r="Z3" s="5">
        <v>320</v>
      </c>
      <c r="AA3" s="5">
        <v>183.5</v>
      </c>
      <c r="AB3" s="5">
        <v>91.3</v>
      </c>
      <c r="AD3" t="s">
        <v>14</v>
      </c>
      <c r="AE3" s="5">
        <v>154.08000000000001</v>
      </c>
      <c r="AF3" s="13" t="s">
        <v>15</v>
      </c>
    </row>
    <row r="4" spans="2:32">
      <c r="B4">
        <v>1978</v>
      </c>
      <c r="C4" s="15">
        <f t="shared" si="0"/>
        <v>21.877007633587784</v>
      </c>
      <c r="D4" s="15">
        <f t="shared" si="1"/>
        <v>13.259432061068702</v>
      </c>
      <c r="E4" s="15">
        <f t="shared" si="2"/>
        <v>13.330662595419849</v>
      </c>
      <c r="F4" s="15">
        <f t="shared" si="3"/>
        <v>11.792610687022901</v>
      </c>
      <c r="G4" s="15">
        <f t="shared" si="4"/>
        <v>29.319279389312978</v>
      </c>
      <c r="H4" s="15">
        <f t="shared" si="5"/>
        <v>32.093312977099238</v>
      </c>
      <c r="I4" s="15">
        <f t="shared" si="6"/>
        <v>69.720183206106867</v>
      </c>
      <c r="J4" s="15">
        <f t="shared" si="7"/>
        <v>108.52631450381678</v>
      </c>
      <c r="K4" s="15">
        <f t="shared" si="8"/>
        <v>154.08000000000001</v>
      </c>
      <c r="L4" s="15">
        <f t="shared" si="9"/>
        <v>154.08000000000001</v>
      </c>
      <c r="M4" s="15">
        <f t="shared" si="10"/>
        <v>144.83541984732824</v>
      </c>
      <c r="N4" s="15">
        <f t="shared" si="11"/>
        <v>68.370760305343509</v>
      </c>
      <c r="O4" s="35">
        <f t="shared" si="12"/>
        <v>821.28498320610697</v>
      </c>
      <c r="Q4" s="5">
        <v>53.5</v>
      </c>
      <c r="R4" s="5">
        <v>35.9</v>
      </c>
      <c r="S4" s="5">
        <v>32.6</v>
      </c>
      <c r="T4" s="5">
        <v>29.8</v>
      </c>
      <c r="U4" s="5">
        <v>71.7</v>
      </c>
      <c r="V4" s="5">
        <v>81.099999999999994</v>
      </c>
      <c r="W4" s="5">
        <v>170.5</v>
      </c>
      <c r="X4" s="5">
        <v>265.39999999999998</v>
      </c>
      <c r="Y4" s="5">
        <v>405.3</v>
      </c>
      <c r="Z4" s="5">
        <v>505.7</v>
      </c>
      <c r="AA4" s="5">
        <v>366</v>
      </c>
      <c r="AB4" s="5">
        <v>167.2</v>
      </c>
    </row>
    <row r="5" spans="2:32">
      <c r="B5">
        <v>1979</v>
      </c>
      <c r="C5" s="15">
        <f t="shared" si="0"/>
        <v>38.928806106870226</v>
      </c>
      <c r="D5" s="15">
        <f t="shared" si="1"/>
        <v>20.055352671755728</v>
      </c>
      <c r="E5" s="15">
        <f t="shared" si="2"/>
        <v>14.107603053435115</v>
      </c>
      <c r="F5" s="15">
        <f t="shared" si="3"/>
        <v>14.16696183206107</v>
      </c>
      <c r="G5" s="15">
        <f t="shared" si="4"/>
        <v>25.843493129770994</v>
      </c>
      <c r="H5" s="15">
        <f t="shared" si="5"/>
        <v>58.211175572519089</v>
      </c>
      <c r="I5" s="15">
        <f t="shared" si="6"/>
        <v>121.36627786259542</v>
      </c>
      <c r="J5" s="15">
        <f t="shared" si="7"/>
        <v>142.46634503816793</v>
      </c>
      <c r="K5" s="15">
        <f t="shared" si="8"/>
        <v>88.721587786259548</v>
      </c>
      <c r="L5" s="15">
        <f t="shared" si="9"/>
        <v>154.08000000000001</v>
      </c>
      <c r="M5" s="15">
        <f t="shared" si="10"/>
        <v>126.55291603053436</v>
      </c>
      <c r="N5" s="15">
        <f t="shared" si="11"/>
        <v>98.303413740458012</v>
      </c>
      <c r="O5" s="35">
        <f t="shared" si="12"/>
        <v>902.80393282442753</v>
      </c>
      <c r="Q5" s="5">
        <v>95.2</v>
      </c>
      <c r="R5" s="5">
        <v>54.3</v>
      </c>
      <c r="S5" s="5">
        <v>34.5</v>
      </c>
      <c r="T5" s="5">
        <v>35.799999999999997</v>
      </c>
      <c r="U5" s="5">
        <v>63.2</v>
      </c>
      <c r="V5" s="5">
        <v>147.1</v>
      </c>
      <c r="W5" s="5">
        <v>296.8</v>
      </c>
      <c r="X5" s="5">
        <v>348.4</v>
      </c>
      <c r="Y5" s="5">
        <v>224.2</v>
      </c>
      <c r="Z5" s="5">
        <v>412.7</v>
      </c>
      <c r="AA5" s="5">
        <v>319.8</v>
      </c>
      <c r="AB5" s="5">
        <v>240.4</v>
      </c>
    </row>
    <row r="6" spans="2:32">
      <c r="B6">
        <v>1980</v>
      </c>
      <c r="C6" s="15">
        <f t="shared" si="0"/>
        <v>47.5160427480916</v>
      </c>
      <c r="D6" s="15">
        <f t="shared" si="1"/>
        <v>31.406070229007632</v>
      </c>
      <c r="E6" s="15">
        <f t="shared" si="2"/>
        <v>24.412287022900763</v>
      </c>
      <c r="F6" s="15">
        <f t="shared" si="3"/>
        <v>22.516763358778626</v>
      </c>
      <c r="G6" s="15">
        <f t="shared" si="4"/>
        <v>41.259627480916031</v>
      </c>
      <c r="H6" s="15">
        <f t="shared" si="5"/>
        <v>65.967389312977105</v>
      </c>
      <c r="I6" s="15">
        <f t="shared" si="6"/>
        <v>76.549080916030533</v>
      </c>
      <c r="J6" s="15">
        <f t="shared" si="7"/>
        <v>87.01733129770993</v>
      </c>
      <c r="K6" s="15">
        <f t="shared" si="8"/>
        <v>154.08000000000001</v>
      </c>
      <c r="L6" s="15">
        <f t="shared" si="9"/>
        <v>154.08000000000001</v>
      </c>
      <c r="M6" s="15">
        <f t="shared" si="10"/>
        <v>154.08000000000001</v>
      </c>
      <c r="N6" s="15">
        <f t="shared" si="11"/>
        <v>98.180738931297725</v>
      </c>
      <c r="O6" s="35">
        <f t="shared" si="12"/>
        <v>957.06533129771003</v>
      </c>
      <c r="Q6" s="5">
        <v>116.2</v>
      </c>
      <c r="R6" s="5">
        <v>82.1</v>
      </c>
      <c r="S6" s="5">
        <v>59.7</v>
      </c>
      <c r="T6" s="5">
        <v>56.9</v>
      </c>
      <c r="U6" s="5">
        <v>100.9</v>
      </c>
      <c r="V6" s="5">
        <v>166.7</v>
      </c>
      <c r="W6" s="5">
        <v>187.2</v>
      </c>
      <c r="X6" s="5">
        <v>212.8</v>
      </c>
      <c r="Y6" s="5">
        <v>497.1</v>
      </c>
      <c r="Z6" s="5">
        <v>484.8</v>
      </c>
      <c r="AA6" s="5">
        <v>530.5</v>
      </c>
      <c r="AB6" s="5">
        <v>240.1</v>
      </c>
    </row>
    <row r="7" spans="2:32">
      <c r="B7">
        <v>1981</v>
      </c>
      <c r="C7" s="15">
        <f t="shared" si="0"/>
        <v>51.196287022900769</v>
      </c>
      <c r="D7" s="15">
        <f t="shared" si="1"/>
        <v>33.093178625954202</v>
      </c>
      <c r="E7" s="15">
        <f t="shared" si="2"/>
        <v>23.308213740458015</v>
      </c>
      <c r="F7" s="15">
        <f t="shared" si="3"/>
        <v>21.764885496183204</v>
      </c>
      <c r="G7" s="15">
        <f t="shared" si="4"/>
        <v>35.493911450381681</v>
      </c>
      <c r="H7" s="15">
        <f t="shared" si="5"/>
        <v>84.764335877862607</v>
      </c>
      <c r="I7" s="15">
        <f t="shared" si="6"/>
        <v>72.787053435114501</v>
      </c>
      <c r="J7" s="15">
        <f t="shared" si="7"/>
        <v>154.08000000000001</v>
      </c>
      <c r="K7" s="15">
        <f t="shared" si="8"/>
        <v>111.47578625954199</v>
      </c>
      <c r="L7" s="15">
        <f t="shared" si="9"/>
        <v>154.08000000000001</v>
      </c>
      <c r="M7" s="15">
        <f t="shared" si="10"/>
        <v>154.08000000000001</v>
      </c>
      <c r="N7" s="15">
        <f t="shared" si="11"/>
        <v>154.08000000000001</v>
      </c>
      <c r="O7" s="35">
        <f t="shared" si="12"/>
        <v>1050.2036519083972</v>
      </c>
      <c r="Q7" s="5">
        <v>125.2</v>
      </c>
      <c r="R7" s="5">
        <v>89.6</v>
      </c>
      <c r="S7" s="5">
        <v>57</v>
      </c>
      <c r="T7" s="5">
        <v>55</v>
      </c>
      <c r="U7" s="5">
        <v>86.8</v>
      </c>
      <c r="V7" s="5">
        <v>214.2</v>
      </c>
      <c r="W7" s="5">
        <v>178</v>
      </c>
      <c r="X7" s="5">
        <v>442</v>
      </c>
      <c r="Y7" s="5">
        <v>281.7</v>
      </c>
      <c r="Z7" s="5">
        <v>675.8</v>
      </c>
      <c r="AA7" s="5">
        <v>784.9</v>
      </c>
      <c r="AB7" s="5">
        <v>441.4</v>
      </c>
    </row>
    <row r="8" spans="2:32">
      <c r="B8">
        <v>1982</v>
      </c>
      <c r="C8" s="15">
        <f t="shared" si="0"/>
        <v>72.582595419847323</v>
      </c>
      <c r="D8" s="15">
        <f t="shared" si="1"/>
        <v>35.678583206106872</v>
      </c>
      <c r="E8" s="15">
        <f t="shared" si="2"/>
        <v>27.152024427480921</v>
      </c>
      <c r="F8" s="15">
        <f t="shared" si="3"/>
        <v>27.423755725190841</v>
      </c>
      <c r="G8" s="15">
        <f t="shared" si="4"/>
        <v>30.914051908396946</v>
      </c>
      <c r="H8" s="15">
        <f t="shared" si="5"/>
        <v>70.636946564885491</v>
      </c>
      <c r="I8" s="15">
        <f t="shared" si="6"/>
        <v>80.352000000000004</v>
      </c>
      <c r="J8" s="15">
        <f t="shared" si="7"/>
        <v>67.593819847328263</v>
      </c>
      <c r="K8" s="15">
        <f t="shared" si="8"/>
        <v>154.08000000000001</v>
      </c>
      <c r="L8" s="15">
        <f t="shared" si="9"/>
        <v>110.28465343511451</v>
      </c>
      <c r="M8" s="15">
        <f t="shared" si="10"/>
        <v>63.672183206106872</v>
      </c>
      <c r="N8" s="15">
        <f t="shared" si="11"/>
        <v>38.601673282442754</v>
      </c>
      <c r="O8" s="35">
        <f t="shared" si="12"/>
        <v>778.97228702290079</v>
      </c>
      <c r="Q8" s="5">
        <v>177.5</v>
      </c>
      <c r="R8" s="5">
        <v>96.6</v>
      </c>
      <c r="S8" s="5">
        <v>66.400000000000006</v>
      </c>
      <c r="T8" s="5">
        <v>69.3</v>
      </c>
      <c r="U8" s="5">
        <v>75.599999999999994</v>
      </c>
      <c r="V8" s="5">
        <v>178.5</v>
      </c>
      <c r="W8" s="5">
        <v>196.5</v>
      </c>
      <c r="X8" s="5">
        <v>165.3</v>
      </c>
      <c r="Y8" s="5">
        <v>488.1</v>
      </c>
      <c r="Z8" s="5">
        <v>269.7</v>
      </c>
      <c r="AA8" s="5">
        <v>160.9</v>
      </c>
      <c r="AB8" s="5">
        <v>94.4</v>
      </c>
    </row>
    <row r="9" spans="2:32">
      <c r="B9">
        <v>1983</v>
      </c>
      <c r="C9" s="15">
        <f t="shared" si="0"/>
        <v>29.523737404580153</v>
      </c>
      <c r="D9" s="15">
        <f t="shared" si="1"/>
        <v>19.75987786259542</v>
      </c>
      <c r="E9" s="15">
        <f t="shared" si="2"/>
        <v>16.929123664122137</v>
      </c>
      <c r="F9" s="15">
        <f t="shared" si="3"/>
        <v>13.217221374045803</v>
      </c>
      <c r="G9" s="15">
        <f t="shared" si="4"/>
        <v>20.52758473282443</v>
      </c>
      <c r="H9" s="15">
        <f t="shared" si="5"/>
        <v>31.539297709923666</v>
      </c>
      <c r="I9" s="15">
        <f t="shared" si="6"/>
        <v>36.148177099236648</v>
      </c>
      <c r="J9" s="15">
        <f t="shared" si="7"/>
        <v>78.021178625954207</v>
      </c>
      <c r="K9" s="15">
        <f t="shared" si="8"/>
        <v>80.05520610687023</v>
      </c>
      <c r="L9" s="15">
        <f t="shared" si="9"/>
        <v>154.08000000000001</v>
      </c>
      <c r="M9" s="15">
        <f t="shared" si="10"/>
        <v>137.79151145038171</v>
      </c>
      <c r="N9" s="15">
        <f t="shared" si="11"/>
        <v>60.192439694656485</v>
      </c>
      <c r="O9" s="35">
        <f t="shared" si="12"/>
        <v>677.78535572519093</v>
      </c>
      <c r="Q9" s="5">
        <v>72.2</v>
      </c>
      <c r="R9" s="5">
        <v>53.5</v>
      </c>
      <c r="S9" s="5">
        <v>41.4</v>
      </c>
      <c r="T9" s="5">
        <v>33.4</v>
      </c>
      <c r="U9" s="5">
        <v>50.2</v>
      </c>
      <c r="V9" s="5">
        <v>79.7</v>
      </c>
      <c r="W9" s="5">
        <v>88.4</v>
      </c>
      <c r="X9" s="5">
        <v>190.8</v>
      </c>
      <c r="Y9" s="5">
        <v>202.3</v>
      </c>
      <c r="Z9" s="5">
        <v>515</v>
      </c>
      <c r="AA9" s="5">
        <v>348.2</v>
      </c>
      <c r="AB9" s="5">
        <v>147.19999999999999</v>
      </c>
    </row>
    <row r="10" spans="2:32">
      <c r="B10">
        <v>1984</v>
      </c>
      <c r="C10" s="15">
        <f t="shared" si="0"/>
        <v>41.545868702290079</v>
      </c>
      <c r="D10" s="15">
        <f t="shared" si="1"/>
        <v>28.881343511450385</v>
      </c>
      <c r="E10" s="15">
        <f t="shared" si="2"/>
        <v>20.936500763358779</v>
      </c>
      <c r="F10" s="15">
        <f t="shared" si="3"/>
        <v>22.912488549618324</v>
      </c>
      <c r="G10" s="15">
        <f t="shared" si="4"/>
        <v>42.772616793893128</v>
      </c>
      <c r="H10" s="15">
        <f t="shared" si="5"/>
        <v>65.215511450381683</v>
      </c>
      <c r="I10" s="15">
        <f t="shared" si="6"/>
        <v>77.857612213740452</v>
      </c>
      <c r="J10" s="15">
        <f t="shared" si="7"/>
        <v>154.08000000000001</v>
      </c>
      <c r="K10" s="15">
        <f t="shared" si="8"/>
        <v>154.08000000000001</v>
      </c>
      <c r="L10" s="15">
        <f t="shared" si="9"/>
        <v>154.08000000000001</v>
      </c>
      <c r="M10" s="15">
        <f t="shared" si="10"/>
        <v>108.19126717557253</v>
      </c>
      <c r="N10" s="15">
        <f t="shared" si="11"/>
        <v>94.2142534351145</v>
      </c>
      <c r="O10" s="35">
        <f t="shared" si="12"/>
        <v>964.76746259541994</v>
      </c>
      <c r="Q10" s="5">
        <v>101.6</v>
      </c>
      <c r="R10" s="5">
        <v>75.5</v>
      </c>
      <c r="S10" s="5">
        <v>51.2</v>
      </c>
      <c r="T10" s="5">
        <v>57.9</v>
      </c>
      <c r="U10" s="5">
        <v>104.6</v>
      </c>
      <c r="V10" s="5">
        <v>164.8</v>
      </c>
      <c r="W10" s="5">
        <v>190.4</v>
      </c>
      <c r="X10" s="5">
        <v>416.5</v>
      </c>
      <c r="Y10" s="5">
        <v>441.9</v>
      </c>
      <c r="Z10" s="5">
        <v>526.4</v>
      </c>
      <c r="AA10" s="5">
        <v>273.39999999999998</v>
      </c>
      <c r="AB10" s="5">
        <v>230.4</v>
      </c>
    </row>
    <row r="11" spans="2:32">
      <c r="B11">
        <v>1985</v>
      </c>
      <c r="C11" s="15">
        <f t="shared" si="0"/>
        <v>46.411969465648859</v>
      </c>
      <c r="D11" s="15">
        <f t="shared" si="1"/>
        <v>28.661056488549619</v>
      </c>
      <c r="E11" s="15">
        <f t="shared" si="2"/>
        <v>24.371395419847328</v>
      </c>
      <c r="F11" s="15">
        <f t="shared" si="3"/>
        <v>30.233404580152673</v>
      </c>
      <c r="G11" s="15">
        <f t="shared" si="4"/>
        <v>46.943560305343517</v>
      </c>
      <c r="H11" s="15">
        <f t="shared" si="5"/>
        <v>52.948030534351155</v>
      </c>
      <c r="I11" s="15">
        <f t="shared" si="6"/>
        <v>76.385514503816793</v>
      </c>
      <c r="J11" s="15">
        <f t="shared" si="7"/>
        <v>81.169832061068703</v>
      </c>
      <c r="K11" s="15">
        <f t="shared" si="8"/>
        <v>112.46509923664122</v>
      </c>
      <c r="L11" s="15">
        <f t="shared" si="9"/>
        <v>129.17657404580152</v>
      </c>
      <c r="M11" s="15">
        <f t="shared" si="10"/>
        <v>71.388824427480927</v>
      </c>
      <c r="N11" s="15">
        <f t="shared" si="11"/>
        <v>98.221630534351135</v>
      </c>
      <c r="O11" s="35">
        <f t="shared" si="12"/>
        <v>798.37689160305342</v>
      </c>
      <c r="Q11" s="5">
        <v>113.5</v>
      </c>
      <c r="R11" s="5">
        <v>77.599999999999994</v>
      </c>
      <c r="S11" s="5">
        <v>59.6</v>
      </c>
      <c r="T11" s="5">
        <v>76.400000000000006</v>
      </c>
      <c r="U11" s="5">
        <v>114.8</v>
      </c>
      <c r="V11" s="5">
        <v>133.80000000000001</v>
      </c>
      <c r="W11" s="5">
        <v>186.8</v>
      </c>
      <c r="X11" s="5">
        <v>198.5</v>
      </c>
      <c r="Y11" s="5">
        <v>284.2</v>
      </c>
      <c r="Z11" s="5">
        <v>315.89999999999998</v>
      </c>
      <c r="AA11" s="5">
        <v>180.4</v>
      </c>
      <c r="AB11" s="5">
        <v>240.2</v>
      </c>
    </row>
    <row r="12" spans="2:32">
      <c r="B12">
        <v>1986</v>
      </c>
      <c r="C12" s="15">
        <f t="shared" si="0"/>
        <v>41.913893129770997</v>
      </c>
      <c r="D12" s="15">
        <f t="shared" si="1"/>
        <v>26.703535877862596</v>
      </c>
      <c r="E12" s="15">
        <f t="shared" si="2"/>
        <v>23.717129770992369</v>
      </c>
      <c r="F12" s="15">
        <f t="shared" si="3"/>
        <v>19.469679389312979</v>
      </c>
      <c r="G12" s="15">
        <f t="shared" si="4"/>
        <v>26.047951145038169</v>
      </c>
      <c r="H12" s="15">
        <f t="shared" si="5"/>
        <v>31.381007633587789</v>
      </c>
      <c r="I12" s="15">
        <f t="shared" si="6"/>
        <v>55.080989312977088</v>
      </c>
      <c r="J12" s="15">
        <f t="shared" si="7"/>
        <v>152.15765496183207</v>
      </c>
      <c r="K12" s="15">
        <f t="shared" si="8"/>
        <v>127.46308396946566</v>
      </c>
      <c r="L12" s="15">
        <f t="shared" si="9"/>
        <v>138.25450992366416</v>
      </c>
      <c r="M12" s="15">
        <f t="shared" si="10"/>
        <v>79.778198473282444</v>
      </c>
      <c r="N12" s="15">
        <f t="shared" si="11"/>
        <v>128.03160916030538</v>
      </c>
      <c r="O12" s="35">
        <f t="shared" si="12"/>
        <v>849.99924274809166</v>
      </c>
      <c r="Q12" s="5">
        <v>102.5</v>
      </c>
      <c r="R12" s="5">
        <v>72.3</v>
      </c>
      <c r="S12" s="5">
        <v>58</v>
      </c>
      <c r="T12" s="5">
        <v>49.2</v>
      </c>
      <c r="U12" s="5">
        <v>63.7</v>
      </c>
      <c r="V12" s="5">
        <v>79.3</v>
      </c>
      <c r="W12" s="5">
        <v>134.69999999999999</v>
      </c>
      <c r="X12" s="5">
        <v>372.1</v>
      </c>
      <c r="Y12" s="5">
        <v>322.10000000000002</v>
      </c>
      <c r="Z12" s="5">
        <v>338.1</v>
      </c>
      <c r="AA12" s="5">
        <v>201.6</v>
      </c>
      <c r="AB12" s="5">
        <v>313.10000000000002</v>
      </c>
    </row>
    <row r="13" spans="2:32">
      <c r="B13">
        <v>1987</v>
      </c>
      <c r="C13" s="15">
        <f t="shared" si="0"/>
        <v>49.887755725190843</v>
      </c>
      <c r="D13" s="15">
        <f t="shared" si="1"/>
        <v>28.62412213740458</v>
      </c>
      <c r="E13" s="15">
        <f t="shared" si="2"/>
        <v>25.066552671755726</v>
      </c>
      <c r="F13" s="15">
        <f t="shared" si="3"/>
        <v>18.4012213740458</v>
      </c>
      <c r="G13" s="15">
        <f t="shared" si="4"/>
        <v>22.572164885496186</v>
      </c>
      <c r="H13" s="15">
        <f t="shared" si="5"/>
        <v>48.278473282442746</v>
      </c>
      <c r="I13" s="15">
        <f t="shared" si="6"/>
        <v>88.448537404580165</v>
      </c>
      <c r="J13" s="15">
        <f t="shared" si="7"/>
        <v>81.90588091603054</v>
      </c>
      <c r="K13" s="15">
        <f t="shared" si="8"/>
        <v>147.13062595419848</v>
      </c>
      <c r="L13" s="15">
        <f t="shared" si="9"/>
        <v>109.26236335877863</v>
      </c>
      <c r="M13" s="15">
        <f t="shared" si="10"/>
        <v>86.0702290076336</v>
      </c>
      <c r="N13" s="15">
        <f t="shared" si="11"/>
        <v>80.188433587786264</v>
      </c>
      <c r="O13" s="35">
        <f t="shared" si="12"/>
        <v>785.83636030534353</v>
      </c>
      <c r="Q13" s="5">
        <v>122</v>
      </c>
      <c r="R13" s="5">
        <v>77.5</v>
      </c>
      <c r="S13" s="5">
        <v>61.3</v>
      </c>
      <c r="T13" s="5">
        <v>46.5</v>
      </c>
      <c r="U13" s="5">
        <v>55.2</v>
      </c>
      <c r="V13" s="5">
        <v>122</v>
      </c>
      <c r="W13" s="5">
        <v>216.3</v>
      </c>
      <c r="X13" s="5">
        <v>200.3</v>
      </c>
      <c r="Y13" s="5">
        <v>371.8</v>
      </c>
      <c r="Z13" s="5">
        <v>267.2</v>
      </c>
      <c r="AA13" s="5">
        <v>217.5</v>
      </c>
      <c r="AB13" s="5">
        <v>196.1</v>
      </c>
    </row>
    <row r="14" spans="2:32">
      <c r="B14">
        <v>1988</v>
      </c>
      <c r="C14" s="15">
        <f t="shared" si="0"/>
        <v>42.690833587786258</v>
      </c>
      <c r="D14" s="15">
        <f t="shared" si="1"/>
        <v>26.662644274809168</v>
      </c>
      <c r="E14" s="15">
        <f t="shared" si="2"/>
        <v>20.282235114503816</v>
      </c>
      <c r="F14" s="15">
        <f t="shared" si="3"/>
        <v>19.430106870229011</v>
      </c>
      <c r="G14" s="15">
        <f t="shared" si="4"/>
        <v>35.780152671755722</v>
      </c>
      <c r="H14" s="15">
        <f t="shared" si="5"/>
        <v>52.235725190839695</v>
      </c>
      <c r="I14" s="15">
        <f t="shared" si="6"/>
        <v>62.891285496183215</v>
      </c>
      <c r="J14" s="15">
        <f t="shared" si="7"/>
        <v>75.240549618320614</v>
      </c>
      <c r="K14" s="15">
        <f t="shared" si="8"/>
        <v>113.09825954198473</v>
      </c>
      <c r="L14" s="15">
        <f t="shared" si="9"/>
        <v>154.08000000000001</v>
      </c>
      <c r="M14" s="15">
        <f t="shared" si="10"/>
        <v>154.08000000000001</v>
      </c>
      <c r="N14" s="15">
        <f t="shared" si="11"/>
        <v>88.734778625954192</v>
      </c>
      <c r="O14" s="35">
        <f t="shared" si="12"/>
        <v>845.20657099236644</v>
      </c>
      <c r="Q14" s="5">
        <v>104.4</v>
      </c>
      <c r="R14" s="5">
        <v>69.7</v>
      </c>
      <c r="S14" s="5">
        <v>49.6</v>
      </c>
      <c r="T14" s="5">
        <v>49.1</v>
      </c>
      <c r="U14" s="5">
        <v>87.5</v>
      </c>
      <c r="V14" s="5">
        <v>132</v>
      </c>
      <c r="W14" s="5">
        <v>153.80000000000001</v>
      </c>
      <c r="X14" s="5">
        <v>184</v>
      </c>
      <c r="Y14" s="5">
        <v>285.8</v>
      </c>
      <c r="Z14" s="5">
        <v>542.9</v>
      </c>
      <c r="AA14" s="5">
        <v>514.20000000000005</v>
      </c>
      <c r="AB14" s="5">
        <v>217</v>
      </c>
    </row>
    <row r="15" spans="2:32">
      <c r="B15">
        <v>1989</v>
      </c>
      <c r="C15" s="15">
        <f t="shared" si="0"/>
        <v>53.404433587786258</v>
      </c>
      <c r="D15" s="15">
        <f t="shared" si="1"/>
        <v>28.771859541984732</v>
      </c>
      <c r="E15" s="15">
        <f t="shared" si="2"/>
        <v>29.033038167938933</v>
      </c>
      <c r="F15" s="15">
        <f t="shared" si="3"/>
        <v>29.402381679389311</v>
      </c>
      <c r="G15" s="15">
        <f t="shared" si="4"/>
        <v>62.727719083969468</v>
      </c>
      <c r="H15" s="15">
        <f t="shared" si="5"/>
        <v>96.517374045801532</v>
      </c>
      <c r="I15" s="15">
        <f t="shared" si="6"/>
        <v>114.8236213740458</v>
      </c>
      <c r="J15" s="15">
        <f t="shared" si="7"/>
        <v>154.08000000000001</v>
      </c>
      <c r="K15" s="15">
        <f t="shared" si="8"/>
        <v>154.08000000000001</v>
      </c>
      <c r="L15" s="15">
        <f t="shared" si="9"/>
        <v>154.08000000000001</v>
      </c>
      <c r="M15" s="15">
        <f t="shared" si="10"/>
        <v>96.438229007633595</v>
      </c>
      <c r="N15" s="15">
        <f t="shared" si="11"/>
        <v>57.043786259541989</v>
      </c>
      <c r="O15" s="35">
        <f t="shared" si="12"/>
        <v>1030.4024427480917</v>
      </c>
      <c r="Q15" s="5">
        <v>130.6</v>
      </c>
      <c r="R15" s="5">
        <v>77.900000000000006</v>
      </c>
      <c r="S15" s="5">
        <v>71</v>
      </c>
      <c r="T15" s="5">
        <v>74.3</v>
      </c>
      <c r="U15" s="5">
        <v>153.4</v>
      </c>
      <c r="V15" s="5">
        <v>243.9</v>
      </c>
      <c r="W15" s="5">
        <v>280.8</v>
      </c>
      <c r="X15" s="5">
        <v>377.7</v>
      </c>
      <c r="Y15" s="5">
        <v>478.9</v>
      </c>
      <c r="Z15" s="5">
        <v>434.1</v>
      </c>
      <c r="AA15" s="5">
        <v>243.7</v>
      </c>
      <c r="AB15" s="5">
        <v>139.5</v>
      </c>
    </row>
    <row r="16" spans="2:32">
      <c r="B16">
        <v>1990</v>
      </c>
      <c r="C16" s="15">
        <f t="shared" si="0"/>
        <v>30.66870229007634</v>
      </c>
      <c r="D16" s="15">
        <f t="shared" si="1"/>
        <v>17.987029007633588</v>
      </c>
      <c r="E16" s="15">
        <f t="shared" si="2"/>
        <v>15.49791755725191</v>
      </c>
      <c r="F16" s="15">
        <f t="shared" si="3"/>
        <v>16.976610687022902</v>
      </c>
      <c r="G16" s="15">
        <f t="shared" si="4"/>
        <v>24.044262595419845</v>
      </c>
      <c r="H16" s="15">
        <f t="shared" si="5"/>
        <v>124.21813740458016</v>
      </c>
      <c r="I16" s="15">
        <f t="shared" si="6"/>
        <v>104.1100213740458</v>
      </c>
      <c r="J16" s="15">
        <f t="shared" si="7"/>
        <v>154.0386687022901</v>
      </c>
      <c r="K16" s="15">
        <f t="shared" si="8"/>
        <v>154.08000000000001</v>
      </c>
      <c r="L16" s="15">
        <f t="shared" si="9"/>
        <v>152.81192061068703</v>
      </c>
      <c r="M16" s="15">
        <f t="shared" si="10"/>
        <v>154.08000000000001</v>
      </c>
      <c r="N16" s="15">
        <f t="shared" si="11"/>
        <v>109.18058015267175</v>
      </c>
      <c r="O16" s="35">
        <f t="shared" si="12"/>
        <v>1057.6938503816796</v>
      </c>
      <c r="Q16" s="5">
        <v>75</v>
      </c>
      <c r="R16" s="5">
        <v>48.7</v>
      </c>
      <c r="S16" s="5">
        <v>37.9</v>
      </c>
      <c r="T16" s="5">
        <v>42.9</v>
      </c>
      <c r="U16" s="5">
        <v>58.8</v>
      </c>
      <c r="V16" s="5">
        <v>313.89999999999998</v>
      </c>
      <c r="W16" s="5">
        <v>254.6</v>
      </c>
      <c r="X16" s="5">
        <v>376.7</v>
      </c>
      <c r="Y16" s="5">
        <v>519.70000000000005</v>
      </c>
      <c r="Z16" s="5">
        <v>373.7</v>
      </c>
      <c r="AA16" s="5">
        <v>526.4</v>
      </c>
      <c r="AB16" s="5">
        <v>267</v>
      </c>
    </row>
    <row r="17" spans="2:28">
      <c r="B17">
        <v>1991</v>
      </c>
      <c r="C17" s="15">
        <f t="shared" si="0"/>
        <v>52.750167938931298</v>
      </c>
      <c r="D17" s="15">
        <f t="shared" si="1"/>
        <v>31.283395419847324</v>
      </c>
      <c r="E17" s="15">
        <f t="shared" si="2"/>
        <v>26.82489160305343</v>
      </c>
      <c r="F17" s="15">
        <f t="shared" si="3"/>
        <v>22.714625954198471</v>
      </c>
      <c r="G17" s="15">
        <f t="shared" si="4"/>
        <v>29.482845801526715</v>
      </c>
      <c r="H17" s="15">
        <f t="shared" si="5"/>
        <v>35.7735572519084</v>
      </c>
      <c r="I17" s="15">
        <f t="shared" si="6"/>
        <v>52.014119083969469</v>
      </c>
      <c r="J17" s="15">
        <f t="shared" si="7"/>
        <v>77.326021374045808</v>
      </c>
      <c r="K17" s="15">
        <f t="shared" si="8"/>
        <v>115.90790839694657</v>
      </c>
      <c r="L17" s="15">
        <f t="shared" si="9"/>
        <v>139.4812580152672</v>
      </c>
      <c r="M17" s="15">
        <f t="shared" si="10"/>
        <v>63.672183206106872</v>
      </c>
      <c r="N17" s="15">
        <f t="shared" si="11"/>
        <v>39.542180152671754</v>
      </c>
      <c r="O17" s="35">
        <f t="shared" si="12"/>
        <v>686.77315419847332</v>
      </c>
      <c r="Q17" s="5">
        <v>129</v>
      </c>
      <c r="R17" s="5">
        <v>84.7</v>
      </c>
      <c r="S17" s="5">
        <v>65.599999999999994</v>
      </c>
      <c r="T17" s="5">
        <v>57.4</v>
      </c>
      <c r="U17" s="5">
        <v>72.099999999999994</v>
      </c>
      <c r="V17" s="5">
        <v>90.4</v>
      </c>
      <c r="W17" s="5">
        <v>127.2</v>
      </c>
      <c r="X17" s="5">
        <v>189.1</v>
      </c>
      <c r="Y17" s="5">
        <v>292.89999999999998</v>
      </c>
      <c r="Z17" s="5">
        <v>341.1</v>
      </c>
      <c r="AA17" s="5">
        <v>160.9</v>
      </c>
      <c r="AB17" s="5">
        <v>96.7</v>
      </c>
    </row>
    <row r="18" spans="2:28">
      <c r="B18">
        <v>1992</v>
      </c>
      <c r="C18" s="15">
        <f t="shared" si="0"/>
        <v>26.661325190839698</v>
      </c>
      <c r="D18" s="15">
        <f t="shared" si="1"/>
        <v>17.36705954198473</v>
      </c>
      <c r="E18" s="15">
        <f t="shared" si="2"/>
        <v>15.129893129770993</v>
      </c>
      <c r="F18" s="15">
        <f t="shared" si="3"/>
        <v>18.638656488549621</v>
      </c>
      <c r="G18" s="15">
        <f t="shared" si="4"/>
        <v>33.940030534351145</v>
      </c>
      <c r="H18" s="15">
        <f t="shared" si="5"/>
        <v>82.350412213740455</v>
      </c>
      <c r="I18" s="15">
        <f t="shared" si="6"/>
        <v>98.753221374045808</v>
      </c>
      <c r="J18" s="15">
        <f t="shared" si="7"/>
        <v>154.08000000000001</v>
      </c>
      <c r="K18" s="15">
        <f t="shared" si="8"/>
        <v>154.08000000000001</v>
      </c>
      <c r="L18" s="15">
        <f t="shared" si="9"/>
        <v>154.08000000000001</v>
      </c>
      <c r="M18" s="15">
        <f t="shared" si="10"/>
        <v>154.08000000000001</v>
      </c>
      <c r="N18" s="15">
        <f t="shared" si="11"/>
        <v>75.485899236641231</v>
      </c>
      <c r="O18" s="35">
        <f t="shared" si="12"/>
        <v>984.64649770992378</v>
      </c>
      <c r="Q18" s="5">
        <v>65.2</v>
      </c>
      <c r="R18" s="5">
        <v>45.4</v>
      </c>
      <c r="S18" s="5">
        <v>37</v>
      </c>
      <c r="T18" s="5">
        <v>47.1</v>
      </c>
      <c r="U18" s="5">
        <v>83</v>
      </c>
      <c r="V18" s="5">
        <v>208.1</v>
      </c>
      <c r="W18" s="5">
        <v>241.5</v>
      </c>
      <c r="X18" s="5">
        <v>396.5</v>
      </c>
      <c r="Y18" s="5">
        <v>408.9</v>
      </c>
      <c r="Z18" s="5">
        <v>471.9</v>
      </c>
      <c r="AA18" s="5">
        <v>474.8</v>
      </c>
      <c r="AB18" s="5">
        <v>184.6</v>
      </c>
    </row>
    <row r="19" spans="2:28">
      <c r="B19">
        <v>1993</v>
      </c>
      <c r="C19" s="15">
        <f t="shared" si="0"/>
        <v>43.017966412213745</v>
      </c>
      <c r="D19" s="15">
        <f t="shared" si="1"/>
        <v>25.300030534351144</v>
      </c>
      <c r="E19" s="15">
        <f t="shared" si="2"/>
        <v>24.044262595419845</v>
      </c>
      <c r="F19" s="15">
        <f t="shared" si="3"/>
        <v>20.181984732824429</v>
      </c>
      <c r="G19" s="15">
        <f t="shared" si="4"/>
        <v>34.839645801526714</v>
      </c>
      <c r="H19" s="15">
        <f t="shared" si="5"/>
        <v>47.684885496183206</v>
      </c>
      <c r="I19" s="15">
        <f t="shared" si="6"/>
        <v>79.656842748091606</v>
      </c>
      <c r="J19" s="15">
        <f t="shared" si="7"/>
        <v>87.01733129770993</v>
      </c>
      <c r="K19" s="15">
        <f t="shared" si="8"/>
        <v>103.75914503816794</v>
      </c>
      <c r="L19" s="15">
        <f t="shared" si="9"/>
        <v>154.08000000000001</v>
      </c>
      <c r="M19" s="15">
        <f t="shared" si="10"/>
        <v>104.27358778625954</v>
      </c>
      <c r="N19" s="15">
        <f t="shared" si="11"/>
        <v>154.08000000000001</v>
      </c>
      <c r="O19" s="35">
        <f t="shared" si="12"/>
        <v>877.9356824427482</v>
      </c>
      <c r="Q19" s="5">
        <v>105.2</v>
      </c>
      <c r="R19" s="5">
        <v>68.5</v>
      </c>
      <c r="S19" s="5">
        <v>58.8</v>
      </c>
      <c r="T19" s="5">
        <v>51</v>
      </c>
      <c r="U19" s="5">
        <v>85.2</v>
      </c>
      <c r="V19" s="5">
        <v>120.5</v>
      </c>
      <c r="W19" s="5">
        <v>194.8</v>
      </c>
      <c r="X19" s="5">
        <v>212.8</v>
      </c>
      <c r="Y19" s="5">
        <v>262.2</v>
      </c>
      <c r="Z19" s="5">
        <v>762.3</v>
      </c>
      <c r="AA19" s="5">
        <v>263.5</v>
      </c>
      <c r="AB19" s="5">
        <v>590.4</v>
      </c>
    </row>
    <row r="20" spans="2:28">
      <c r="B20">
        <v>1994</v>
      </c>
      <c r="C20" s="15">
        <f t="shared" si="0"/>
        <v>87.426247328244287</v>
      </c>
      <c r="D20" s="15">
        <f t="shared" si="1"/>
        <v>39.482821374045805</v>
      </c>
      <c r="E20" s="15">
        <f t="shared" si="2"/>
        <v>28.2969893129771</v>
      </c>
      <c r="F20" s="15">
        <f t="shared" si="3"/>
        <v>29.204519083969465</v>
      </c>
      <c r="G20" s="15">
        <f t="shared" si="4"/>
        <v>45.921270229007632</v>
      </c>
      <c r="H20" s="15">
        <f t="shared" si="5"/>
        <v>60.664671755725188</v>
      </c>
      <c r="I20" s="15">
        <f t="shared" si="6"/>
        <v>110.57089465648853</v>
      </c>
      <c r="J20" s="15">
        <f t="shared" si="7"/>
        <v>99.32570381679389</v>
      </c>
      <c r="K20" s="15">
        <f t="shared" si="8"/>
        <v>133.91340458015267</v>
      </c>
      <c r="L20" s="15">
        <f t="shared" si="9"/>
        <v>133.02038473282443</v>
      </c>
      <c r="M20" s="15">
        <f t="shared" si="10"/>
        <v>87.811419847328239</v>
      </c>
      <c r="N20" s="15">
        <f t="shared" si="11"/>
        <v>59.497282442748094</v>
      </c>
      <c r="O20" s="35">
        <f t="shared" si="12"/>
        <v>915.13560916030542</v>
      </c>
      <c r="Q20" s="5">
        <v>213.8</v>
      </c>
      <c r="R20" s="5">
        <v>106.9</v>
      </c>
      <c r="S20" s="5">
        <v>69.2</v>
      </c>
      <c r="T20" s="5">
        <v>73.8</v>
      </c>
      <c r="U20" s="5">
        <v>112.3</v>
      </c>
      <c r="V20" s="5">
        <v>153.30000000000001</v>
      </c>
      <c r="W20" s="5">
        <v>270.39999999999998</v>
      </c>
      <c r="X20" s="5">
        <v>242.9</v>
      </c>
      <c r="Y20" s="5">
        <v>338.4</v>
      </c>
      <c r="Z20" s="5">
        <v>325.3</v>
      </c>
      <c r="AA20" s="5">
        <v>221.9</v>
      </c>
      <c r="AB20" s="5">
        <v>145.5</v>
      </c>
    </row>
    <row r="21" spans="2:28">
      <c r="B21">
        <v>1995</v>
      </c>
      <c r="C21" s="15">
        <f t="shared" si="0"/>
        <v>33.899138931297713</v>
      </c>
      <c r="D21" s="15">
        <f t="shared" si="1"/>
        <v>20.757105343511451</v>
      </c>
      <c r="E21" s="15">
        <f t="shared" si="2"/>
        <v>17.665172519083974</v>
      </c>
      <c r="F21" s="15">
        <f t="shared" si="3"/>
        <v>15.433282442748093</v>
      </c>
      <c r="G21" s="15">
        <f t="shared" si="4"/>
        <v>22.85840610687023</v>
      </c>
      <c r="H21" s="15">
        <f t="shared" si="5"/>
        <v>31.460152671755726</v>
      </c>
      <c r="I21" s="15">
        <f t="shared" si="6"/>
        <v>66.735096183206096</v>
      </c>
      <c r="J21" s="15">
        <f t="shared" si="7"/>
        <v>69.883749618320607</v>
      </c>
      <c r="K21" s="15">
        <f t="shared" si="8"/>
        <v>130.11444274809162</v>
      </c>
      <c r="L21" s="15">
        <f t="shared" si="9"/>
        <v>154.08000000000001</v>
      </c>
      <c r="M21" s="15">
        <f t="shared" si="10"/>
        <v>110.60519083969466</v>
      </c>
      <c r="N21" s="15">
        <f t="shared" si="11"/>
        <v>90.902033587786264</v>
      </c>
      <c r="O21" s="35">
        <f t="shared" si="12"/>
        <v>764.3937709923664</v>
      </c>
      <c r="Q21" s="5">
        <v>82.9</v>
      </c>
      <c r="R21" s="5">
        <v>56.2</v>
      </c>
      <c r="S21" s="5">
        <v>43.2</v>
      </c>
      <c r="T21" s="5">
        <v>39</v>
      </c>
      <c r="U21" s="5">
        <v>55.9</v>
      </c>
      <c r="V21" s="5">
        <v>79.5</v>
      </c>
      <c r="W21" s="5">
        <v>163.19999999999999</v>
      </c>
      <c r="X21" s="5">
        <v>170.9</v>
      </c>
      <c r="Y21" s="5">
        <v>328.8</v>
      </c>
      <c r="Z21" s="5">
        <v>446.3</v>
      </c>
      <c r="AA21" s="5">
        <v>279.5</v>
      </c>
      <c r="AB21" s="5">
        <v>222.3</v>
      </c>
    </row>
    <row r="22" spans="2:28">
      <c r="B22">
        <v>1996</v>
      </c>
      <c r="C22" s="15">
        <f t="shared" si="0"/>
        <v>72.950619847328241</v>
      </c>
      <c r="D22" s="15">
        <f t="shared" si="1"/>
        <v>29.952439694656483</v>
      </c>
      <c r="E22" s="15">
        <f t="shared" si="2"/>
        <v>19.546186259541983</v>
      </c>
      <c r="F22" s="15">
        <f t="shared" si="3"/>
        <v>21.329587786259545</v>
      </c>
      <c r="G22" s="15">
        <f t="shared" si="4"/>
        <v>71.519413740458006</v>
      </c>
      <c r="H22" s="15">
        <f t="shared" si="5"/>
        <v>98.97087022900763</v>
      </c>
      <c r="I22" s="15">
        <f t="shared" si="6"/>
        <v>121.48895267175574</v>
      </c>
      <c r="J22" s="15">
        <f t="shared" si="7"/>
        <v>133.67465038167938</v>
      </c>
      <c r="K22" s="15">
        <f t="shared" si="8"/>
        <v>154.08000000000001</v>
      </c>
      <c r="L22" s="15">
        <f t="shared" si="9"/>
        <v>154.08000000000001</v>
      </c>
      <c r="M22" s="15">
        <f t="shared" si="10"/>
        <v>154.08000000000001</v>
      </c>
      <c r="N22" s="15">
        <f t="shared" si="11"/>
        <v>154.08000000000001</v>
      </c>
      <c r="O22" s="35">
        <f t="shared" si="12"/>
        <v>1185.752720610687</v>
      </c>
      <c r="Q22" s="5">
        <v>178.4</v>
      </c>
      <c r="R22" s="5">
        <v>78.3</v>
      </c>
      <c r="S22" s="5">
        <v>47.8</v>
      </c>
      <c r="T22" s="5">
        <v>53.9</v>
      </c>
      <c r="U22" s="5">
        <v>174.9</v>
      </c>
      <c r="V22" s="5">
        <v>250.1</v>
      </c>
      <c r="W22" s="5">
        <v>297.10000000000002</v>
      </c>
      <c r="X22" s="5">
        <v>326.89999999999998</v>
      </c>
      <c r="Y22" s="5">
        <v>468.8</v>
      </c>
      <c r="Z22" s="5">
        <v>647.6</v>
      </c>
      <c r="AA22" s="5">
        <v>767</v>
      </c>
      <c r="AB22" s="5">
        <v>646</v>
      </c>
    </row>
    <row r="23" spans="2:28">
      <c r="B23">
        <v>1997</v>
      </c>
      <c r="C23" s="15">
        <f t="shared" si="0"/>
        <v>124.3513648854962</v>
      </c>
      <c r="D23" s="15">
        <f t="shared" si="1"/>
        <v>47.165166412213743</v>
      </c>
      <c r="E23" s="15">
        <f t="shared" si="2"/>
        <v>25.066552671755726</v>
      </c>
      <c r="F23" s="15">
        <f t="shared" si="3"/>
        <v>39.968244274809159</v>
      </c>
      <c r="G23" s="15">
        <f t="shared" si="4"/>
        <v>55.449013740458021</v>
      </c>
      <c r="H23" s="15">
        <f t="shared" si="5"/>
        <v>51.879572519083972</v>
      </c>
      <c r="I23" s="15">
        <f t="shared" si="6"/>
        <v>120.54844580152673</v>
      </c>
      <c r="J23" s="15">
        <f t="shared" si="7"/>
        <v>154.08000000000001</v>
      </c>
      <c r="K23" s="15">
        <f t="shared" si="8"/>
        <v>154.08000000000001</v>
      </c>
      <c r="L23" s="15">
        <f t="shared" si="9"/>
        <v>154.08000000000001</v>
      </c>
      <c r="M23" s="15">
        <f t="shared" si="10"/>
        <v>113.53355725190841</v>
      </c>
      <c r="N23" s="15">
        <f t="shared" si="11"/>
        <v>47.229801526717559</v>
      </c>
      <c r="O23" s="35">
        <f t="shared" si="12"/>
        <v>1087.4317190839697</v>
      </c>
      <c r="Q23" s="5">
        <v>304.10000000000002</v>
      </c>
      <c r="R23" s="5">
        <v>127.7</v>
      </c>
      <c r="S23" s="5">
        <v>61.3</v>
      </c>
      <c r="T23" s="5">
        <v>101</v>
      </c>
      <c r="U23" s="5">
        <v>135.6</v>
      </c>
      <c r="V23" s="5">
        <v>131.1</v>
      </c>
      <c r="W23" s="5">
        <v>294.8</v>
      </c>
      <c r="X23" s="5">
        <v>416.1</v>
      </c>
      <c r="Y23" s="5">
        <v>434.9</v>
      </c>
      <c r="Z23" s="5">
        <v>402.6</v>
      </c>
      <c r="AA23" s="5">
        <v>286.89999999999998</v>
      </c>
      <c r="AB23" s="5">
        <v>115.5</v>
      </c>
    </row>
    <row r="24" spans="2:28">
      <c r="B24">
        <v>1998</v>
      </c>
      <c r="C24" s="15">
        <f t="shared" si="0"/>
        <v>27.438265648854959</v>
      </c>
      <c r="D24" s="15">
        <f t="shared" si="1"/>
        <v>16.620458015267175</v>
      </c>
      <c r="E24" s="15">
        <f t="shared" si="2"/>
        <v>10.918058015267176</v>
      </c>
      <c r="F24" s="15">
        <f t="shared" si="3"/>
        <v>9.7348396946564897</v>
      </c>
      <c r="G24" s="15">
        <f t="shared" si="4"/>
        <v>25.271010687022901</v>
      </c>
      <c r="H24" s="15">
        <f t="shared" si="5"/>
        <v>27.028030534351142</v>
      </c>
      <c r="I24" s="15">
        <f t="shared" si="6"/>
        <v>47.393367938931299</v>
      </c>
      <c r="J24" s="15">
        <f t="shared" si="7"/>
        <v>75.649465648854971</v>
      </c>
      <c r="K24" s="15">
        <f t="shared" si="8"/>
        <v>81.123664122137413</v>
      </c>
      <c r="L24" s="15">
        <f t="shared" si="9"/>
        <v>154.08000000000001</v>
      </c>
      <c r="M24" s="15">
        <f t="shared" si="10"/>
        <v>154.08000000000001</v>
      </c>
      <c r="N24" s="15">
        <f t="shared" si="11"/>
        <v>154.08000000000001</v>
      </c>
      <c r="O24" s="35">
        <f t="shared" si="12"/>
        <v>783.4171603053436</v>
      </c>
      <c r="Q24" s="5">
        <v>67.099999999999994</v>
      </c>
      <c r="R24" s="5">
        <v>45</v>
      </c>
      <c r="S24" s="5">
        <v>26.7</v>
      </c>
      <c r="T24" s="5">
        <v>24.6</v>
      </c>
      <c r="U24" s="5">
        <v>61.8</v>
      </c>
      <c r="V24" s="5">
        <v>68.3</v>
      </c>
      <c r="W24" s="5">
        <v>115.9</v>
      </c>
      <c r="X24" s="5">
        <v>185</v>
      </c>
      <c r="Y24" s="5">
        <v>205</v>
      </c>
      <c r="Z24" s="5">
        <v>427.7</v>
      </c>
      <c r="AA24" s="5">
        <v>957.4</v>
      </c>
      <c r="AB24" s="5">
        <v>867.5</v>
      </c>
    </row>
    <row r="25" spans="2:28">
      <c r="B25">
        <v>1999</v>
      </c>
      <c r="C25" s="15">
        <f t="shared" si="0"/>
        <v>135.71923053435114</v>
      </c>
      <c r="D25" s="15">
        <f t="shared" si="1"/>
        <v>57.395981679389308</v>
      </c>
      <c r="E25" s="15">
        <f t="shared" si="2"/>
        <v>39.419505343511453</v>
      </c>
      <c r="F25" s="15">
        <f t="shared" si="3"/>
        <v>48.278473282442746</v>
      </c>
      <c r="G25" s="15">
        <f t="shared" si="4"/>
        <v>146.31015572519084</v>
      </c>
      <c r="H25" s="15">
        <f t="shared" si="5"/>
        <v>154.08000000000001</v>
      </c>
      <c r="I25" s="15">
        <f t="shared" si="6"/>
        <v>125.21008854961832</v>
      </c>
      <c r="J25" s="15">
        <f t="shared" si="7"/>
        <v>154.08000000000001</v>
      </c>
      <c r="K25" s="15">
        <f t="shared" si="8"/>
        <v>154.08000000000001</v>
      </c>
      <c r="L25" s="15">
        <f t="shared" si="9"/>
        <v>154.08000000000001</v>
      </c>
      <c r="M25" s="15">
        <f t="shared" si="10"/>
        <v>154.08000000000001</v>
      </c>
      <c r="N25" s="15">
        <f t="shared" si="11"/>
        <v>154.08000000000001</v>
      </c>
      <c r="O25" s="35">
        <f t="shared" si="12"/>
        <v>1476.8134351145036</v>
      </c>
      <c r="Q25" s="5">
        <v>331.9</v>
      </c>
      <c r="R25" s="5">
        <v>155.4</v>
      </c>
      <c r="S25" s="5">
        <v>96.4</v>
      </c>
      <c r="T25" s="5">
        <v>122</v>
      </c>
      <c r="U25" s="5">
        <v>357.8</v>
      </c>
      <c r="V25" s="5">
        <v>451.4</v>
      </c>
      <c r="W25" s="5">
        <v>306.2</v>
      </c>
      <c r="X25" s="5">
        <v>462.1</v>
      </c>
      <c r="Y25" s="5">
        <v>389.8</v>
      </c>
      <c r="Z25" s="5">
        <v>444.8</v>
      </c>
      <c r="AA25" s="5">
        <v>634</v>
      </c>
      <c r="AB25" s="5">
        <v>662.8</v>
      </c>
    </row>
    <row r="26" spans="2:28">
      <c r="B26">
        <v>2000</v>
      </c>
      <c r="C26" s="15">
        <f t="shared" si="0"/>
        <v>94.05068702290076</v>
      </c>
      <c r="D26" s="15">
        <f t="shared" si="1"/>
        <v>49.538198473282442</v>
      </c>
      <c r="E26" s="15">
        <f t="shared" si="2"/>
        <v>35.044103816793893</v>
      </c>
      <c r="F26" s="15">
        <f t="shared" si="3"/>
        <v>44.756519083969465</v>
      </c>
      <c r="G26" s="15">
        <f t="shared" si="4"/>
        <v>65.058540458015273</v>
      </c>
      <c r="H26" s="15">
        <f t="shared" si="5"/>
        <v>101.54308396946567</v>
      </c>
      <c r="I26" s="15">
        <f t="shared" si="6"/>
        <v>139.4812580152672</v>
      </c>
      <c r="J26" s="15">
        <f t="shared" si="7"/>
        <v>138.62253435114502</v>
      </c>
      <c r="K26" s="15">
        <f t="shared" si="8"/>
        <v>154.08000000000001</v>
      </c>
      <c r="L26" s="15">
        <f t="shared" si="9"/>
        <v>154.08000000000001</v>
      </c>
      <c r="M26" s="15">
        <f t="shared" si="10"/>
        <v>154.08000000000001</v>
      </c>
      <c r="N26" s="15">
        <f t="shared" si="11"/>
        <v>154.08000000000001</v>
      </c>
      <c r="O26" s="35">
        <f t="shared" si="12"/>
        <v>1284.4149251908398</v>
      </c>
      <c r="Q26" s="5">
        <v>230</v>
      </c>
      <c r="R26" s="5">
        <v>129.5</v>
      </c>
      <c r="S26" s="5">
        <v>85.7</v>
      </c>
      <c r="T26" s="5">
        <v>113.1</v>
      </c>
      <c r="U26" s="5">
        <v>159.1</v>
      </c>
      <c r="V26" s="5">
        <v>256.60000000000002</v>
      </c>
      <c r="W26" s="5">
        <v>341.1</v>
      </c>
      <c r="X26" s="5">
        <v>339</v>
      </c>
      <c r="Y26" s="5">
        <v>542.5</v>
      </c>
      <c r="Z26" s="5">
        <v>1217.0999999999999</v>
      </c>
      <c r="AA26" s="5">
        <v>526.5</v>
      </c>
      <c r="AB26" s="5">
        <v>551.5</v>
      </c>
    </row>
    <row r="27" spans="2:28">
      <c r="B27">
        <v>2001</v>
      </c>
      <c r="C27" s="15">
        <f t="shared" si="0"/>
        <v>89.021019847328247</v>
      </c>
      <c r="D27" s="15">
        <f t="shared" si="1"/>
        <v>39.44588702290077</v>
      </c>
      <c r="E27" s="15">
        <f t="shared" si="2"/>
        <v>37.988299236641225</v>
      </c>
      <c r="F27" s="15">
        <f t="shared" si="3"/>
        <v>32.805618320610684</v>
      </c>
      <c r="G27" s="15">
        <f t="shared" si="4"/>
        <v>39.705746564885487</v>
      </c>
      <c r="H27" s="15">
        <f t="shared" si="5"/>
        <v>68.143877862595417</v>
      </c>
      <c r="I27" s="15">
        <f t="shared" si="6"/>
        <v>79.20703511450381</v>
      </c>
      <c r="J27" s="15">
        <f t="shared" si="7"/>
        <v>154.08000000000001</v>
      </c>
      <c r="K27" s="15">
        <f t="shared" si="8"/>
        <v>154.08000000000001</v>
      </c>
      <c r="L27" s="15">
        <f t="shared" si="9"/>
        <v>140.33998167938933</v>
      </c>
      <c r="M27" s="15">
        <f t="shared" si="10"/>
        <v>117.13465648854962</v>
      </c>
      <c r="N27" s="15">
        <f t="shared" si="11"/>
        <v>72.787053435114501</v>
      </c>
      <c r="O27" s="35">
        <f t="shared" si="12"/>
        <v>1024.7391755725191</v>
      </c>
      <c r="Q27" s="5">
        <v>217.7</v>
      </c>
      <c r="R27" s="5">
        <v>106.8</v>
      </c>
      <c r="S27" s="5">
        <v>92.9</v>
      </c>
      <c r="T27" s="5">
        <v>82.9</v>
      </c>
      <c r="U27" s="5">
        <v>97.1</v>
      </c>
      <c r="V27" s="5">
        <v>172.2</v>
      </c>
      <c r="W27" s="5">
        <v>193.7</v>
      </c>
      <c r="X27" s="5">
        <v>524.1</v>
      </c>
      <c r="Y27" s="5">
        <v>443.7</v>
      </c>
      <c r="Z27" s="5">
        <v>343.2</v>
      </c>
      <c r="AA27" s="5">
        <v>296</v>
      </c>
      <c r="AB27" s="5">
        <v>178</v>
      </c>
    </row>
    <row r="28" spans="2:28">
      <c r="B28">
        <v>2002</v>
      </c>
      <c r="C28" s="15">
        <f t="shared" si="0"/>
        <v>40.768928244274811</v>
      </c>
      <c r="D28" s="15">
        <f t="shared" si="1"/>
        <v>22.345282442748093</v>
      </c>
      <c r="E28" s="15">
        <f t="shared" si="2"/>
        <v>16.070399999999999</v>
      </c>
      <c r="F28" s="15">
        <f t="shared" si="3"/>
        <v>15.512427480916031</v>
      </c>
      <c r="G28" s="15">
        <f t="shared" si="4"/>
        <v>17.419822900763357</v>
      </c>
      <c r="H28" s="15">
        <f t="shared" si="5"/>
        <v>48.595053435114501</v>
      </c>
      <c r="I28" s="15">
        <f t="shared" si="6"/>
        <v>46.248403053435119</v>
      </c>
      <c r="J28" s="15">
        <f t="shared" si="7"/>
        <v>154.08000000000001</v>
      </c>
      <c r="K28" s="15">
        <f t="shared" si="8"/>
        <v>154.08000000000001</v>
      </c>
      <c r="L28" s="15">
        <f t="shared" si="9"/>
        <v>123.61531603053436</v>
      </c>
      <c r="M28" s="15">
        <f t="shared" si="10"/>
        <v>136.32732824427484</v>
      </c>
      <c r="N28" s="15">
        <f t="shared" si="11"/>
        <v>73.809343511450379</v>
      </c>
      <c r="O28" s="35">
        <f t="shared" si="12"/>
        <v>848.87230534351147</v>
      </c>
      <c r="Q28" s="5">
        <v>99.7</v>
      </c>
      <c r="R28" s="5">
        <v>60.5</v>
      </c>
      <c r="S28" s="5">
        <v>39.299999999999997</v>
      </c>
      <c r="T28" s="5">
        <v>39.200000000000003</v>
      </c>
      <c r="U28" s="5">
        <v>42.6</v>
      </c>
      <c r="V28" s="5">
        <v>122.8</v>
      </c>
      <c r="W28" s="5">
        <v>113.1</v>
      </c>
      <c r="X28" s="5">
        <v>459.6</v>
      </c>
      <c r="Y28" s="5">
        <v>471.5</v>
      </c>
      <c r="Z28" s="5">
        <v>302.3</v>
      </c>
      <c r="AA28" s="5">
        <v>344.5</v>
      </c>
      <c r="AB28" s="5">
        <v>180.5</v>
      </c>
    </row>
    <row r="29" spans="2:28">
      <c r="B29">
        <v>2003</v>
      </c>
      <c r="C29" s="15">
        <f t="shared" si="0"/>
        <v>38.42434132590035</v>
      </c>
      <c r="D29" s="15">
        <f t="shared" si="1"/>
        <v>21.49898389281303</v>
      </c>
      <c r="E29" s="15">
        <f t="shared" si="2"/>
        <v>16.688419301257483</v>
      </c>
      <c r="F29" s="15">
        <f t="shared" si="3"/>
        <v>15.417276645022334</v>
      </c>
      <c r="G29" s="15">
        <f t="shared" si="4"/>
        <v>34.886744761965097</v>
      </c>
      <c r="H29" s="15">
        <f t="shared" si="5"/>
        <v>49.930397714358115</v>
      </c>
      <c r="I29" s="15">
        <f t="shared" si="6"/>
        <v>60.708163213075295</v>
      </c>
      <c r="J29" s="15">
        <f t="shared" si="7"/>
        <v>94.332264926673218</v>
      </c>
      <c r="K29" s="15">
        <f t="shared" si="8"/>
        <v>113.69409141300561</v>
      </c>
      <c r="L29" s="15">
        <f t="shared" si="9"/>
        <v>140.45713385068578</v>
      </c>
      <c r="M29" s="15">
        <f t="shared" si="10"/>
        <v>124.00868147600305</v>
      </c>
      <c r="N29" s="15">
        <f t="shared" si="11"/>
        <v>66.127354242817788</v>
      </c>
      <c r="O29" s="35">
        <f t="shared" si="12"/>
        <v>776.17385276357709</v>
      </c>
      <c r="Q29" s="5">
        <v>93.966336501137732</v>
      </c>
      <c r="R29" s="5">
        <v>58.208641078838177</v>
      </c>
      <c r="S29" s="5">
        <v>40.811359925043504</v>
      </c>
      <c r="T29" s="5">
        <v>38.959553250345792</v>
      </c>
      <c r="U29" s="5">
        <v>85.315180029447191</v>
      </c>
      <c r="V29" s="5">
        <v>126.17442323651453</v>
      </c>
      <c r="W29" s="5">
        <v>148.46119662695759</v>
      </c>
      <c r="X29" s="5">
        <v>230.68859590416278</v>
      </c>
      <c r="Y29" s="5">
        <v>287.30567081604426</v>
      </c>
      <c r="Z29" s="5">
        <v>343.4864944451881</v>
      </c>
      <c r="AA29" s="5">
        <v>313.37070357554785</v>
      </c>
      <c r="AB29" s="5">
        <v>161.71377325659216</v>
      </c>
    </row>
    <row r="30" spans="2:28">
      <c r="B30">
        <v>2004</v>
      </c>
      <c r="C30" s="15">
        <f t="shared" si="0"/>
        <v>39.122881125083147</v>
      </c>
      <c r="D30" s="15">
        <f t="shared" si="1"/>
        <v>21.295516011529568</v>
      </c>
      <c r="E30" s="15">
        <f t="shared" si="2"/>
        <v>15.679146558550567</v>
      </c>
      <c r="F30" s="15">
        <f t="shared" si="3"/>
        <v>18.941049646827786</v>
      </c>
      <c r="G30" s="15">
        <f t="shared" si="4"/>
        <v>25.222593189952811</v>
      </c>
      <c r="H30" s="15">
        <f t="shared" si="5"/>
        <v>50.499164828481831</v>
      </c>
      <c r="I30" s="15">
        <f t="shared" si="6"/>
        <v>55.141689069082396</v>
      </c>
      <c r="J30" s="15">
        <f t="shared" si="7"/>
        <v>127.1002373570682</v>
      </c>
      <c r="K30" s="15">
        <f t="shared" si="8"/>
        <v>77.458854771784232</v>
      </c>
      <c r="L30" s="15">
        <f t="shared" si="9"/>
        <v>52.538895568718125</v>
      </c>
      <c r="M30" s="15">
        <f t="shared" si="10"/>
        <v>33.272650673086062</v>
      </c>
      <c r="N30" s="15">
        <f t="shared" si="11"/>
        <v>32.281296126191755</v>
      </c>
      <c r="O30" s="35">
        <f t="shared" si="12"/>
        <v>548.55397492635643</v>
      </c>
      <c r="Q30" s="5">
        <v>95.674608486146425</v>
      </c>
      <c r="R30" s="5">
        <v>55.669552153383883</v>
      </c>
      <c r="S30" s="5">
        <v>38.343193682237988</v>
      </c>
      <c r="T30" s="5">
        <v>47.864149377593364</v>
      </c>
      <c r="U30" s="5">
        <v>61.681595502610094</v>
      </c>
      <c r="V30" s="5">
        <v>127.61170124481328</v>
      </c>
      <c r="W30" s="5">
        <v>134.84844063713024</v>
      </c>
      <c r="X30" s="5">
        <v>310.82233971355907</v>
      </c>
      <c r="Y30" s="5">
        <v>195.73900414937759</v>
      </c>
      <c r="Z30" s="5">
        <v>128.48333556418149</v>
      </c>
      <c r="AA30" s="5">
        <v>84.080193637621022</v>
      </c>
      <c r="AB30" s="5">
        <v>78.943581849819296</v>
      </c>
    </row>
    <row r="31" spans="2:28">
      <c r="B31">
        <v>2005</v>
      </c>
      <c r="C31" s="15">
        <f t="shared" si="0"/>
        <v>14.039244400240726</v>
      </c>
      <c r="D31" s="15">
        <f t="shared" si="1"/>
        <v>8.6395380469418104</v>
      </c>
      <c r="E31" s="15">
        <f t="shared" si="2"/>
        <v>7.4673343511450341</v>
      </c>
      <c r="F31" s="15">
        <f t="shared" si="3"/>
        <v>8.3506115865826249</v>
      </c>
      <c r="G31" s="15">
        <f t="shared" si="4"/>
        <v>19.246338221785816</v>
      </c>
      <c r="H31" s="15">
        <f t="shared" si="5"/>
        <v>23.163059770042128</v>
      </c>
      <c r="I31" s="15">
        <f t="shared" si="6"/>
        <v>40.662498419435558</v>
      </c>
      <c r="J31" s="15">
        <f t="shared" si="7"/>
        <v>89.348782110164407</v>
      </c>
      <c r="K31" s="15">
        <f t="shared" si="8"/>
        <v>154.08000000000001</v>
      </c>
      <c r="L31" s="15">
        <f t="shared" si="9"/>
        <v>132.47806607329511</v>
      </c>
      <c r="M31" s="15">
        <f t="shared" si="10"/>
        <v>103.3961506445789</v>
      </c>
      <c r="N31" s="15">
        <f t="shared" si="11"/>
        <v>154.08000000000001</v>
      </c>
      <c r="O31" s="35">
        <f t="shared" si="12"/>
        <v>754.95162362421217</v>
      </c>
      <c r="Q31" s="5">
        <v>34.33282960781689</v>
      </c>
      <c r="R31" s="5">
        <v>23.391606401896855</v>
      </c>
      <c r="S31" s="5">
        <v>18.261290322580635</v>
      </c>
      <c r="T31" s="5">
        <v>21.10204702627939</v>
      </c>
      <c r="U31" s="5">
        <v>47.066724668719047</v>
      </c>
      <c r="V31" s="5">
        <v>58.533195020746888</v>
      </c>
      <c r="W31" s="5">
        <v>99.439726944184187</v>
      </c>
      <c r="X31" s="5">
        <v>218.50153928523628</v>
      </c>
      <c r="Y31" s="5">
        <v>521.1430152143846</v>
      </c>
      <c r="Z31" s="5">
        <v>323.97376522553873</v>
      </c>
      <c r="AA31" s="5">
        <v>261.28271092669434</v>
      </c>
      <c r="AB31" s="5">
        <v>661.06596718383753</v>
      </c>
    </row>
    <row r="32" spans="2:28">
      <c r="B32">
        <v>2006</v>
      </c>
      <c r="C32" s="15">
        <f t="shared" si="0"/>
        <v>91.515199645244053</v>
      </c>
      <c r="D32" s="15">
        <f t="shared" si="1"/>
        <v>35.246339640809602</v>
      </c>
      <c r="E32" s="15">
        <f t="shared" si="2"/>
        <v>27.75352671755725</v>
      </c>
      <c r="F32" s="15">
        <f t="shared" si="3"/>
        <v>26.312556105286497</v>
      </c>
      <c r="G32" s="15">
        <f t="shared" si="4"/>
        <v>38.71911006936746</v>
      </c>
      <c r="H32" s="15">
        <f t="shared" si="5"/>
        <v>46.557074175667552</v>
      </c>
      <c r="I32" s="15">
        <f t="shared" si="6"/>
        <v>102.1899112983434</v>
      </c>
      <c r="J32" s="15">
        <f t="shared" si="7"/>
        <v>154.08000000000001</v>
      </c>
      <c r="K32" s="15">
        <f t="shared" si="8"/>
        <v>154.08000000000001</v>
      </c>
      <c r="L32" s="15">
        <f t="shared" si="9"/>
        <v>154.08000000000001</v>
      </c>
      <c r="M32" s="15">
        <f t="shared" si="10"/>
        <v>74.480155180387058</v>
      </c>
      <c r="N32" s="15">
        <f t="shared" si="11"/>
        <v>57.79317920876754</v>
      </c>
      <c r="O32" s="35">
        <f t="shared" si="12"/>
        <v>962.80705204143055</v>
      </c>
      <c r="Q32" s="5">
        <v>223.79949136661759</v>
      </c>
      <c r="R32" s="5">
        <v>95.429697688203902</v>
      </c>
      <c r="S32" s="5">
        <v>67.870967741935488</v>
      </c>
      <c r="T32" s="5">
        <v>66.491991701244814</v>
      </c>
      <c r="U32" s="5">
        <v>94.687190469816628</v>
      </c>
      <c r="V32" s="5">
        <v>117.65001383125866</v>
      </c>
      <c r="W32" s="5">
        <v>249.90439030919555</v>
      </c>
      <c r="X32" s="5">
        <v>400.77760674608487</v>
      </c>
      <c r="Y32" s="5">
        <v>412.92697095435688</v>
      </c>
      <c r="Z32" s="5">
        <v>513.64382278142148</v>
      </c>
      <c r="AA32" s="5">
        <v>188.21181189488243</v>
      </c>
      <c r="AB32" s="5">
        <v>141.33263284700843</v>
      </c>
    </row>
    <row r="33" spans="2:28">
      <c r="B33">
        <v>2007</v>
      </c>
      <c r="C33" s="15">
        <f t="shared" si="0"/>
        <v>42.527923980868508</v>
      </c>
      <c r="D33" s="15">
        <f t="shared" si="1"/>
        <v>18.295771283773082</v>
      </c>
      <c r="E33" s="15">
        <f t="shared" si="2"/>
        <v>16.548128974058471</v>
      </c>
      <c r="F33" s="15">
        <f t="shared" si="3"/>
        <v>15.790174020461819</v>
      </c>
      <c r="G33" s="15">
        <f t="shared" si="4"/>
        <v>47.376427835671976</v>
      </c>
      <c r="H33" s="15">
        <f t="shared" si="5"/>
        <v>65.867954464540247</v>
      </c>
      <c r="I33" s="15">
        <f t="shared" si="6"/>
        <v>101.57753340724082</v>
      </c>
      <c r="J33" s="15">
        <f t="shared" si="7"/>
        <v>154.08000000000001</v>
      </c>
      <c r="K33" s="15">
        <f t="shared" si="8"/>
        <v>154.08000000000001</v>
      </c>
      <c r="L33" s="15">
        <f t="shared" si="9"/>
        <v>154.08000000000001</v>
      </c>
      <c r="M33" s="15">
        <f t="shared" si="10"/>
        <v>154.08000000000001</v>
      </c>
      <c r="N33" s="15">
        <f t="shared" si="11"/>
        <v>131.8627051914732</v>
      </c>
      <c r="O33" s="35">
        <f t="shared" si="12"/>
        <v>1056.1666191580882</v>
      </c>
      <c r="Q33" s="5">
        <v>104.0016062106813</v>
      </c>
      <c r="R33" s="5">
        <v>49.53592175459395</v>
      </c>
      <c r="S33" s="5">
        <v>40.468281354571005</v>
      </c>
      <c r="T33" s="5">
        <v>39.901867219917015</v>
      </c>
      <c r="U33" s="5">
        <v>115.85857314951144</v>
      </c>
      <c r="V33" s="5">
        <v>166.44872752420471</v>
      </c>
      <c r="W33" s="5">
        <v>248.40682639539551</v>
      </c>
      <c r="X33" s="5">
        <v>876.28871636996382</v>
      </c>
      <c r="Y33" s="5">
        <v>617.21410788381741</v>
      </c>
      <c r="Z33" s="5">
        <v>697.26863873644754</v>
      </c>
      <c r="AA33" s="5">
        <v>735.29917012448129</v>
      </c>
      <c r="AB33" s="5">
        <v>322.4689064382278</v>
      </c>
    </row>
    <row r="34" spans="2:28">
      <c r="B34">
        <v>2008</v>
      </c>
      <c r="C34" s="15">
        <f t="shared" si="0"/>
        <v>68.739857514807895</v>
      </c>
      <c r="D34" s="15">
        <f t="shared" si="1"/>
        <v>39.123942960311688</v>
      </c>
      <c r="E34" s="15">
        <f t="shared" si="2"/>
        <v>30.559628823920693</v>
      </c>
      <c r="F34" s="15">
        <f t="shared" si="3"/>
        <v>27.091532659719363</v>
      </c>
      <c r="G34" s="15">
        <f t="shared" si="4"/>
        <v>70.343573532672409</v>
      </c>
      <c r="H34" s="15">
        <f t="shared" si="5"/>
        <v>65.967712242247643</v>
      </c>
      <c r="I34" s="15">
        <f t="shared" si="6"/>
        <v>72.112859218903424</v>
      </c>
      <c r="J34" s="15">
        <f t="shared" si="7"/>
        <v>117.96871711380696</v>
      </c>
      <c r="K34" s="15">
        <f t="shared" si="8"/>
        <v>136.73563672991037</v>
      </c>
      <c r="L34" s="15">
        <f t="shared" si="9"/>
        <v>154.08000000000001</v>
      </c>
      <c r="M34" s="15">
        <f t="shared" si="10"/>
        <v>154.08000000000001</v>
      </c>
      <c r="N34" s="15">
        <f t="shared" si="11"/>
        <v>154.08000000000001</v>
      </c>
      <c r="O34" s="35">
        <f t="shared" si="12"/>
        <v>1090.8834607963004</v>
      </c>
      <c r="Q34" s="5">
        <v>168.10262347744612</v>
      </c>
      <c r="R34" s="5">
        <v>102.27563313778796</v>
      </c>
      <c r="S34" s="5">
        <v>74.733261946191959</v>
      </c>
      <c r="T34" s="5">
        <v>68.460470262793919</v>
      </c>
      <c r="U34" s="5">
        <v>172.02449471288986</v>
      </c>
      <c r="V34" s="5">
        <v>166.70081604426005</v>
      </c>
      <c r="W34" s="5">
        <v>176.35126489091152</v>
      </c>
      <c r="X34" s="5">
        <v>288.49129969214295</v>
      </c>
      <c r="Y34" s="5">
        <v>345.5317980636238</v>
      </c>
      <c r="Z34" s="5">
        <v>398.60503279346807</v>
      </c>
      <c r="AA34" s="5">
        <v>543.79918395573998</v>
      </c>
      <c r="AB34" s="5">
        <v>422.01270244947131</v>
      </c>
    </row>
    <row r="35" spans="2:28">
      <c r="B35">
        <v>2009</v>
      </c>
      <c r="C35" s="15">
        <f t="shared" si="0"/>
        <v>68.697893129770989</v>
      </c>
      <c r="D35" s="15">
        <f t="shared" si="1"/>
        <v>37.673038167938934</v>
      </c>
      <c r="E35" s="15">
        <f t="shared" si="2"/>
        <v>30.546027480916031</v>
      </c>
      <c r="F35" s="15">
        <f t="shared" si="3"/>
        <v>27.107175572519086</v>
      </c>
      <c r="G35" s="15">
        <f t="shared" si="4"/>
        <v>70.333557251908388</v>
      </c>
      <c r="H35" s="15">
        <f t="shared" si="5"/>
        <v>66.086106870229003</v>
      </c>
      <c r="I35" s="15">
        <f t="shared" si="6"/>
        <v>71.969221374045802</v>
      </c>
      <c r="J35" s="15">
        <f t="shared" si="7"/>
        <v>117.76781679389313</v>
      </c>
      <c r="K35" s="15">
        <f t="shared" si="8"/>
        <v>136.92091603053436</v>
      </c>
      <c r="L35" s="15">
        <f t="shared" si="9"/>
        <v>154.08000000000001</v>
      </c>
      <c r="M35" s="15">
        <f t="shared" si="10"/>
        <v>154.08000000000001</v>
      </c>
      <c r="N35" s="15">
        <f t="shared" si="11"/>
        <v>154.08000000000001</v>
      </c>
      <c r="O35" s="35">
        <f t="shared" si="12"/>
        <v>1089.3417526717558</v>
      </c>
      <c r="Q35" s="5">
        <v>168</v>
      </c>
      <c r="R35" s="5">
        <v>102</v>
      </c>
      <c r="S35" s="5">
        <v>74.7</v>
      </c>
      <c r="T35" s="5">
        <v>68.5</v>
      </c>
      <c r="U35" s="5">
        <v>172</v>
      </c>
      <c r="V35" s="5">
        <v>167</v>
      </c>
      <c r="W35" s="5">
        <v>176</v>
      </c>
      <c r="X35" s="5">
        <v>288</v>
      </c>
      <c r="Y35" s="5">
        <v>346</v>
      </c>
      <c r="Z35" s="5">
        <v>399</v>
      </c>
      <c r="AA35" s="5">
        <v>544</v>
      </c>
      <c r="AB35" s="5">
        <v>422</v>
      </c>
    </row>
    <row r="36" spans="2:28">
      <c r="B36">
        <v>2010</v>
      </c>
      <c r="C36" s="15">
        <f t="shared" si="0"/>
        <v>29.881800654307554</v>
      </c>
      <c r="D36" s="15">
        <f t="shared" si="1"/>
        <v>15.732912540894221</v>
      </c>
      <c r="E36" s="15">
        <f t="shared" si="2"/>
        <v>26.740532606324976</v>
      </c>
      <c r="F36" s="15">
        <f t="shared" si="3"/>
        <v>20.17440523446022</v>
      </c>
      <c r="G36" s="15">
        <f t="shared" si="4"/>
        <v>20.474312758996724</v>
      </c>
      <c r="H36" s="15">
        <f t="shared" si="5"/>
        <v>33.480509269356553</v>
      </c>
      <c r="I36" s="15">
        <f t="shared" si="6"/>
        <v>58.070839694656499</v>
      </c>
      <c r="J36" s="15">
        <f t="shared" si="7"/>
        <v>68.641165321701195</v>
      </c>
      <c r="K36" s="15">
        <f t="shared" si="8"/>
        <v>82.760196292257348</v>
      </c>
      <c r="L36" s="15">
        <f t="shared" si="9"/>
        <v>67.396096183206154</v>
      </c>
      <c r="M36" s="15">
        <f t="shared" si="10"/>
        <v>154.08000000000001</v>
      </c>
      <c r="N36" s="15">
        <f t="shared" si="11"/>
        <v>127.51798920392579</v>
      </c>
      <c r="O36" s="35">
        <f t="shared" si="12"/>
        <v>704.95075976008729</v>
      </c>
      <c r="Q36" s="5">
        <v>73.075640040962696</v>
      </c>
      <c r="R36" s="5">
        <v>42.596964758125473</v>
      </c>
      <c r="S36" s="5">
        <v>65.393700930192864</v>
      </c>
      <c r="T36" s="5">
        <v>50.980846560846622</v>
      </c>
      <c r="U36" s="5">
        <v>50.069723928998123</v>
      </c>
      <c r="V36" s="5">
        <v>84.605453593474309</v>
      </c>
      <c r="W36" s="5">
        <v>142.01164874551975</v>
      </c>
      <c r="X36" s="5">
        <v>167.86127272145416</v>
      </c>
      <c r="Y36" s="5">
        <v>209.13552689594354</v>
      </c>
      <c r="Z36" s="5">
        <v>164.81646878733582</v>
      </c>
      <c r="AA36" s="5">
        <v>523.56312632275115</v>
      </c>
      <c r="AB36" s="5">
        <v>311.84394761264713</v>
      </c>
    </row>
    <row r="37" spans="2:28">
      <c r="B37" s="8">
        <v>2011</v>
      </c>
      <c r="C37" s="5">
        <f>'2011'!C5</f>
        <v>45.438943999999999</v>
      </c>
      <c r="D37" s="5">
        <f>'2011'!D5</f>
        <v>38.327629999999999</v>
      </c>
      <c r="E37" s="5">
        <f>'2011'!E5</f>
        <v>40.162329999999997</v>
      </c>
      <c r="F37" s="5">
        <f>'2011'!F5</f>
        <v>47.265079999999998</v>
      </c>
      <c r="G37" s="5">
        <f>'2011'!G5</f>
        <v>44.839829999999999</v>
      </c>
      <c r="H37" s="5">
        <f>'2011'!H5</f>
        <v>120.19458</v>
      </c>
      <c r="I37" s="5">
        <f>'2011'!I5</f>
        <v>109.09842</v>
      </c>
      <c r="J37" s="5">
        <f>'2011'!J5</f>
        <v>134.28808000000001</v>
      </c>
      <c r="K37" s="5">
        <f>'2011'!K5</f>
        <v>139.98535999999999</v>
      </c>
      <c r="L37" s="5">
        <f>'2011'!L5</f>
        <v>153.80945800000001</v>
      </c>
      <c r="M37" s="5">
        <f>'2011'!M5</f>
        <v>121.84898</v>
      </c>
      <c r="N37" s="5">
        <f>'2011'!N5</f>
        <v>111.80434</v>
      </c>
      <c r="O37" s="11">
        <f t="shared" si="12"/>
        <v>1107.063032</v>
      </c>
      <c r="Q37" s="5">
        <v>138.14023297491042</v>
      </c>
      <c r="R37" s="5">
        <v>89.401537698412724</v>
      </c>
      <c r="S37" s="5">
        <v>119.4897700119474</v>
      </c>
      <c r="T37" s="5">
        <v>127.35358796296298</v>
      </c>
      <c r="U37" s="5">
        <v>113.12716547192353</v>
      </c>
      <c r="V37" s="5">
        <v>299.59664351851848</v>
      </c>
      <c r="W37" s="5">
        <v>287.3074970131421</v>
      </c>
      <c r="X37" s="5">
        <v>329.96972072879339</v>
      </c>
      <c r="Y37" s="5">
        <v>378.19711293105644</v>
      </c>
      <c r="Z37" s="5">
        <v>683.250186678614</v>
      </c>
      <c r="AA37" s="5">
        <v>383.07581018518516</v>
      </c>
      <c r="AB37" s="5">
        <v>278.49357078853046</v>
      </c>
    </row>
    <row r="38" spans="2:28">
      <c r="B38" s="8">
        <v>2012</v>
      </c>
      <c r="C38" s="5">
        <f>'2012'!C5</f>
        <v>59.674320000000016</v>
      </c>
      <c r="D38" s="5">
        <f>'2012'!D5</f>
        <v>45.210730000000012</v>
      </c>
      <c r="E38" s="5">
        <f>'2012'!E5</f>
        <v>53.45089999999994</v>
      </c>
      <c r="F38" s="5">
        <f>'2012'!F5</f>
        <v>68.856030000000075</v>
      </c>
      <c r="G38" s="5">
        <f>'2012'!G5</f>
        <v>89.703590000000005</v>
      </c>
      <c r="H38" s="5">
        <f>'2012'!H5</f>
        <v>59.162539999999971</v>
      </c>
      <c r="I38" s="5">
        <f>'2012'!I5</f>
        <v>85.503100000000003</v>
      </c>
      <c r="J38" s="5">
        <f>'2012'!J5</f>
        <v>70.413399999999996</v>
      </c>
      <c r="K38" s="5">
        <f>'2012'!K5</f>
        <v>128.244</v>
      </c>
      <c r="L38" s="5">
        <f>'2012'!L5</f>
        <v>162.03149999999999</v>
      </c>
      <c r="M38" s="5">
        <f>'2012'!M5</f>
        <v>98.273500000000027</v>
      </c>
      <c r="N38" s="5">
        <f>'2012'!N5</f>
        <v>51.891899999999985</v>
      </c>
      <c r="O38" s="11">
        <f t="shared" si="12"/>
        <v>972.41551000000015</v>
      </c>
      <c r="Q38" s="5">
        <v>149.43791069295096</v>
      </c>
      <c r="R38" s="5">
        <v>119.94284802043421</v>
      </c>
      <c r="S38" s="5">
        <v>131.32459677419348</v>
      </c>
      <c r="T38" s="5">
        <v>178.58927469135804</v>
      </c>
      <c r="U38" s="5">
        <v>222.09613948626043</v>
      </c>
      <c r="V38" s="5">
        <v>159.66053950617285</v>
      </c>
      <c r="W38" s="5">
        <v>198.99249551971323</v>
      </c>
      <c r="X38" s="5">
        <v>186.69590053763443</v>
      </c>
      <c r="Y38" s="5">
        <v>341.46844135802468</v>
      </c>
      <c r="Z38" s="5">
        <v>503.63967293906796</v>
      </c>
      <c r="AA38" s="5">
        <v>251.19641203703711</v>
      </c>
      <c r="AB38" s="5">
        <v>120.805667562724</v>
      </c>
    </row>
    <row r="39" spans="2:28">
      <c r="B39" s="8">
        <v>2013</v>
      </c>
      <c r="C39" s="5">
        <f>'2013'!C5</f>
        <v>29.3931</v>
      </c>
      <c r="D39" s="5">
        <f>'2013'!D5</f>
        <v>19.736499999999999</v>
      </c>
      <c r="E39" s="5">
        <f>'2013'!E5</f>
        <v>34.728999999999999</v>
      </c>
      <c r="F39" s="5">
        <f>'2013'!F5</f>
        <v>29.226700000000012</v>
      </c>
      <c r="G39" s="5">
        <f>'2013'!G5</f>
        <v>42.762400000000021</v>
      </c>
      <c r="H39" s="5">
        <f>'2013'!H5</f>
        <v>95.330377999999982</v>
      </c>
      <c r="I39" s="5">
        <f>'2013'!I5</f>
        <v>117.224</v>
      </c>
      <c r="J39" s="5">
        <f>'2013'!J5</f>
        <v>109.45139999999996</v>
      </c>
      <c r="K39" s="5">
        <f>'2013'!K5</f>
        <v>92.450600000000094</v>
      </c>
      <c r="L39" s="5">
        <f>'2013'!L5</f>
        <v>144.62429999999995</v>
      </c>
      <c r="M39" s="5">
        <f>'2013'!M5</f>
        <v>108.65509999999998</v>
      </c>
      <c r="N39" s="5">
        <f>'2013'!N5</f>
        <v>73.272799999999918</v>
      </c>
      <c r="O39" s="11">
        <f t="shared" si="12"/>
        <v>896.85627799999997</v>
      </c>
      <c r="Q39" s="5">
        <v>87.389783452807649</v>
      </c>
      <c r="R39" s="5">
        <v>56.888558201058196</v>
      </c>
      <c r="S39" s="5">
        <v>82.588298984479849</v>
      </c>
      <c r="T39" s="5">
        <v>73.786033950617281</v>
      </c>
      <c r="U39" s="5">
        <v>109.71456839904421</v>
      </c>
      <c r="V39" s="5">
        <v>242.06338734567896</v>
      </c>
      <c r="W39" s="5">
        <v>292.04648297491036</v>
      </c>
      <c r="X39" s="5">
        <v>270.01631571087222</v>
      </c>
      <c r="Y39" s="5">
        <v>354.64918981481486</v>
      </c>
      <c r="Z39" s="5">
        <v>491.37925627240139</v>
      </c>
      <c r="AA39" s="5">
        <v>293.03302469135798</v>
      </c>
      <c r="AB39" s="5">
        <v>175.15001493428915</v>
      </c>
    </row>
    <row r="40" spans="2:28">
      <c r="B40" s="8">
        <v>2014</v>
      </c>
      <c r="C40" s="5">
        <f>'2014'!C5</f>
        <v>42.385599999999975</v>
      </c>
      <c r="D40" s="5">
        <f>'2014'!D5</f>
        <v>40.999900000000139</v>
      </c>
      <c r="E40" s="5">
        <f>'2014'!E5</f>
        <v>41.354299999999931</v>
      </c>
      <c r="F40" s="5">
        <f>'2014'!F5</f>
        <v>30.1175</v>
      </c>
      <c r="G40" s="5">
        <f>'2014'!G5</f>
        <v>46.607299999999952</v>
      </c>
      <c r="H40" s="5">
        <f>'2014'!H5</f>
        <v>74.887100000000089</v>
      </c>
      <c r="I40" s="5">
        <f>'2014'!I5</f>
        <v>157.55799999999999</v>
      </c>
      <c r="J40" s="5">
        <f>'2014'!J5</f>
        <v>156.83119999999994</v>
      </c>
      <c r="K40" s="5">
        <f>'2014'!K5</f>
        <v>126.20710000000021</v>
      </c>
      <c r="L40" s="5">
        <f>'2014'!L5</f>
        <v>121.09479999999982</v>
      </c>
      <c r="M40" s="5">
        <f>'2014'!M5</f>
        <v>59.804499999999997</v>
      </c>
      <c r="N40" s="5">
        <f>'2014'!N5</f>
        <v>38.710599999999857</v>
      </c>
      <c r="O40" s="11">
        <f t="shared" si="12"/>
        <v>936.5578999999999</v>
      </c>
      <c r="Q40" s="5">
        <v>112.5440934886502</v>
      </c>
      <c r="R40" s="5">
        <v>99.778604497354465</v>
      </c>
      <c r="S40" s="5">
        <v>107.20041816009561</v>
      </c>
      <c r="T40" s="5">
        <v>83.122756172839487</v>
      </c>
      <c r="U40" s="5">
        <v>116.29652031063323</v>
      </c>
      <c r="V40" s="5">
        <v>190.05412808641978</v>
      </c>
      <c r="W40" s="5">
        <v>406.1687948028673</v>
      </c>
      <c r="X40" s="5">
        <v>409.37731481481484</v>
      </c>
      <c r="Y40" s="5">
        <v>340.22951388888879</v>
      </c>
      <c r="Z40" s="5">
        <v>303.00462962962968</v>
      </c>
      <c r="AA40" s="5">
        <v>143.02083333333334</v>
      </c>
      <c r="AB40" s="5">
        <v>120.2848342293907</v>
      </c>
    </row>
    <row r="41" spans="2:28">
      <c r="B41" s="8">
        <v>2015</v>
      </c>
      <c r="C41" s="5">
        <f>'2015'!C5</f>
        <v>42.550300000000043</v>
      </c>
      <c r="D41" s="5">
        <f>'2015'!D5</f>
        <v>28.215899999999905</v>
      </c>
      <c r="E41" s="5">
        <f>'2015'!E5</f>
        <v>25.004600000000327</v>
      </c>
      <c r="F41" s="5">
        <f>'2015'!F5</f>
        <v>36.213099999999855</v>
      </c>
      <c r="G41" s="5">
        <f>'2015'!G5</f>
        <v>26.331800000000044</v>
      </c>
      <c r="H41" s="5">
        <f>'2015'!H5</f>
        <v>52.941454000000142</v>
      </c>
      <c r="I41" s="5">
        <f>'2015'!I5</f>
        <v>82.643899999999675</v>
      </c>
      <c r="J41" s="5">
        <f>'2015'!J5</f>
        <v>94.82080000000029</v>
      </c>
      <c r="K41" s="5">
        <f>'2015'!K5</f>
        <v>80.047099999999872</v>
      </c>
      <c r="L41" s="5">
        <f>'2015'!L5</f>
        <v>72.551099999999863</v>
      </c>
      <c r="M41" s="5">
        <f>'2015'!M5</f>
        <v>43.626400000000132</v>
      </c>
      <c r="N41" s="5">
        <f>'2015'!N5</f>
        <v>32.681399999999904</v>
      </c>
      <c r="O41" s="11">
        <f t="shared" si="12"/>
        <v>617.62785400000007</v>
      </c>
      <c r="Q41" s="5">
        <v>103.0683870967742</v>
      </c>
      <c r="R41" s="5">
        <v>67.287500000000009</v>
      </c>
      <c r="S41" s="5">
        <v>73.099354838709672</v>
      </c>
      <c r="T41" s="5">
        <v>76.455333333333343</v>
      </c>
      <c r="U41" s="5">
        <v>77.667096774193539</v>
      </c>
      <c r="V41" s="5">
        <v>125.206</v>
      </c>
      <c r="W41" s="5">
        <v>207.57806451612907</v>
      </c>
      <c r="X41" s="5">
        <v>233.69064516129032</v>
      </c>
      <c r="Y41" s="5">
        <v>208.90113734567902</v>
      </c>
      <c r="Z41" s="5">
        <v>173.16860812425324</v>
      </c>
      <c r="AA41" s="5">
        <v>115.11288580246914</v>
      </c>
      <c r="AB41" s="5">
        <v>97.740852747909216</v>
      </c>
    </row>
    <row r="42" spans="2:28">
      <c r="B42" s="8">
        <v>2016</v>
      </c>
      <c r="C42" s="5">
        <f>'2016'!C5</f>
        <v>40.519900000000142</v>
      </c>
      <c r="D42" s="5">
        <f>'2016'!D5</f>
        <v>25.088399999999908</v>
      </c>
      <c r="E42" s="5">
        <f>'2016'!E5</f>
        <v>19.354500000000002</v>
      </c>
      <c r="F42" s="5">
        <f>'2016'!F5</f>
        <v>18.631800000000045</v>
      </c>
      <c r="G42" s="5">
        <f>'2016'!G5</f>
        <v>34.095199999999956</v>
      </c>
      <c r="H42" s="5">
        <f>'2016'!H5</f>
        <v>47.132133000000138</v>
      </c>
      <c r="I42" s="5">
        <f>'2016'!I5</f>
        <v>78.753672000000009</v>
      </c>
      <c r="J42" s="5">
        <f>'2016'!J5</f>
        <v>83.396789999999811</v>
      </c>
      <c r="K42" s="5">
        <f>'2016'!K5</f>
        <v>73.828290000000024</v>
      </c>
      <c r="L42" s="5">
        <f>'2016'!L5</f>
        <v>132.59153199999989</v>
      </c>
      <c r="M42" s="5">
        <f>'2016'!M5</f>
        <v>144.76705800000019</v>
      </c>
      <c r="N42" s="5">
        <f>'2016'!N5</f>
        <v>155.64489400000008</v>
      </c>
      <c r="O42" s="11">
        <f t="shared" si="12"/>
        <v>853.80416900000023</v>
      </c>
      <c r="Q42" s="5">
        <v>89.380077658303463</v>
      </c>
      <c r="R42" s="5">
        <v>56.301843869731805</v>
      </c>
      <c r="S42" s="5">
        <v>58.579711768219845</v>
      </c>
      <c r="T42" s="5">
        <v>60.297955246913581</v>
      </c>
      <c r="U42" s="5">
        <v>74.282482078853064</v>
      </c>
      <c r="V42" s="5">
        <v>132.46199845679013</v>
      </c>
      <c r="W42" s="5">
        <v>182.57258064516125</v>
      </c>
      <c r="X42" s="5">
        <v>204.89195041816009</v>
      </c>
      <c r="Y42" s="5">
        <v>193.66222993827162</v>
      </c>
      <c r="Z42" s="5">
        <v>327.74540770609315</v>
      </c>
      <c r="AA42" s="5">
        <v>586.31107253086418</v>
      </c>
      <c r="AB42" s="5">
        <v>502.26662335722835</v>
      </c>
    </row>
    <row r="43" spans="2:28">
      <c r="B43" s="8">
        <v>2017</v>
      </c>
      <c r="C43" s="5">
        <f>'2017'!C5</f>
        <v>108.60762999999989</v>
      </c>
      <c r="D43" s="5">
        <f>'2017'!D5</f>
        <v>60.113165999999971</v>
      </c>
      <c r="E43" s="5">
        <f>'2017'!E5</f>
        <v>46.122814999999939</v>
      </c>
      <c r="F43" s="5">
        <f>'2017'!F5</f>
        <v>47.596593000000105</v>
      </c>
      <c r="G43" s="5">
        <f>'2017'!G5</f>
        <v>110.79442499999982</v>
      </c>
      <c r="H43" s="5">
        <f>'2017'!H5</f>
        <v>147.72678699999997</v>
      </c>
      <c r="I43" s="5">
        <f>'2017'!I5</f>
        <v>132.76311200000009</v>
      </c>
      <c r="J43" s="5">
        <f>'2017'!J5</f>
        <v>131.70101400000019</v>
      </c>
      <c r="K43" s="5">
        <f>'2017'!K5</f>
        <v>140.74008200000006</v>
      </c>
      <c r="L43" s="5">
        <f>'2017'!L5</f>
        <v>143.57093799999984</v>
      </c>
      <c r="M43" s="5">
        <f>'2017'!M5</f>
        <v>150.22648000000001</v>
      </c>
      <c r="N43" s="5">
        <f>'2017'!N5</f>
        <v>154.0835330000003</v>
      </c>
      <c r="O43" s="11">
        <f t="shared" si="12"/>
        <v>1374.0465750000003</v>
      </c>
      <c r="Q43" s="5">
        <v>265.17040023894862</v>
      </c>
      <c r="R43" s="5">
        <v>167.97763723544972</v>
      </c>
      <c r="S43" s="5">
        <v>105.82414874551971</v>
      </c>
      <c r="T43" s="5">
        <v>137.94645061728394</v>
      </c>
      <c r="U43" s="5">
        <v>274.45105286738357</v>
      </c>
      <c r="V43" s="5">
        <v>377.66242283950606</v>
      </c>
      <c r="W43" s="5">
        <v>324.05070191158893</v>
      </c>
      <c r="X43" s="5">
        <v>347.81798835125448</v>
      </c>
      <c r="Y43" s="5">
        <v>359.16566358024681</v>
      </c>
      <c r="Z43" s="5">
        <v>415.63728345280759</v>
      </c>
      <c r="AA43" s="5">
        <v>473.73452932098769</v>
      </c>
      <c r="AB43" s="5">
        <v>476.69317502986866</v>
      </c>
    </row>
    <row r="44" spans="2:28">
      <c r="B44" s="8">
        <v>2018</v>
      </c>
      <c r="C44" s="5">
        <f>'2018'!C5</f>
        <v>84.546728999999814</v>
      </c>
      <c r="D44" s="5">
        <f>'2018'!D5</f>
        <v>51.033550999999974</v>
      </c>
      <c r="E44" s="5">
        <f>'2018'!E5</f>
        <v>46.668175000000282</v>
      </c>
      <c r="F44" s="5">
        <f>'2018'!F5</f>
        <v>40.693681999999569</v>
      </c>
      <c r="G44" s="5">
        <f>'2018'!G5</f>
        <v>41.664416000000202</v>
      </c>
      <c r="H44" s="5">
        <f>'2018'!H5</f>
        <v>62.748268000000088</v>
      </c>
      <c r="I44" s="5">
        <f>'2018'!I5</f>
        <v>93.599611000000024</v>
      </c>
      <c r="J44" s="5">
        <f>'2018'!J5</f>
        <v>113.87151199999987</v>
      </c>
      <c r="K44" s="5">
        <f>'2018'!K5</f>
        <v>131.2371159999997</v>
      </c>
      <c r="L44" s="5">
        <f>'2018'!L5</f>
        <v>110.50994200000027</v>
      </c>
      <c r="M44" s="5">
        <f>'2018'!M5</f>
        <v>56.484308999999655</v>
      </c>
      <c r="N44" s="5">
        <f>'2018'!N5</f>
        <v>83.636537000000004</v>
      </c>
      <c r="O44" s="11">
        <f t="shared" si="12"/>
        <v>916.69384799999932</v>
      </c>
      <c r="Q44" s="5">
        <v>224.46273894862611</v>
      </c>
      <c r="R44" s="5">
        <v>125.70593584656085</v>
      </c>
      <c r="S44" s="5">
        <v>118.27512694145756</v>
      </c>
      <c r="T44" s="5">
        <v>111.48668981481482</v>
      </c>
      <c r="U44" s="5">
        <v>119.52535095579449</v>
      </c>
      <c r="V44" s="5">
        <v>150.98576388888887</v>
      </c>
      <c r="W44" s="5">
        <v>230.32676224611711</v>
      </c>
      <c r="X44" s="5">
        <v>282.68649193548384</v>
      </c>
      <c r="Y44" s="5">
        <v>414.17152777777773</v>
      </c>
      <c r="Z44" s="5">
        <v>266.45848267622455</v>
      </c>
      <c r="AA44" s="5">
        <v>167.84344135802459</v>
      </c>
      <c r="AB44" s="5">
        <v>203.04579779359258</v>
      </c>
    </row>
    <row r="45" spans="2:28">
      <c r="B45" s="8">
        <v>2019</v>
      </c>
      <c r="C45" s="5">
        <f>'2019'!C5</f>
        <v>91.580513000000266</v>
      </c>
      <c r="D45" s="5">
        <f>'2019'!D5</f>
        <v>37.416697999999862</v>
      </c>
      <c r="E45" s="5">
        <f>'2019'!E5</f>
        <v>43.255247999999902</v>
      </c>
      <c r="F45" s="5">
        <f>'2019'!F5</f>
        <v>33.997204000000139</v>
      </c>
      <c r="G45" s="5">
        <f>'2019'!G5</f>
        <v>39.573388000000037</v>
      </c>
      <c r="H45" s="5">
        <f>'2019'!H5</f>
        <v>49.43702899999964</v>
      </c>
      <c r="I45" s="5">
        <f>'2019'!I5</f>
        <v>43.086667000000133</v>
      </c>
      <c r="J45" s="5">
        <f>'2019'!J5</f>
        <v>123.83850699999998</v>
      </c>
      <c r="K45" s="5">
        <f>'2019'!K5</f>
        <v>139.80565200000024</v>
      </c>
      <c r="L45" s="5">
        <f>'2019'!L5</f>
        <v>110.986784</v>
      </c>
      <c r="M45" s="5">
        <f>'2019'!M5</f>
        <v>138.42449400000001</v>
      </c>
      <c r="N45" s="5">
        <f>'2019'!N5</f>
        <v>63.395966000000016</v>
      </c>
      <c r="O45" s="11">
        <f t="shared" si="12"/>
        <v>914.79815000000019</v>
      </c>
      <c r="Q45" s="5">
        <v>222.57467144563915</v>
      </c>
      <c r="R45" s="5">
        <v>98.437766203703674</v>
      </c>
      <c r="S45" s="5">
        <v>107.94455645161288</v>
      </c>
      <c r="T45" s="5">
        <v>90.475964506172858</v>
      </c>
      <c r="U45" s="5">
        <v>102.79357078853043</v>
      </c>
      <c r="V45" s="5">
        <v>126.9946759259259</v>
      </c>
      <c r="W45" s="5">
        <v>112.86932497013142</v>
      </c>
      <c r="X45" s="5">
        <v>306.62201314217441</v>
      </c>
      <c r="Y45" s="5">
        <v>380.10065586419762</v>
      </c>
      <c r="Z45" s="5">
        <v>268.33363201911584</v>
      </c>
      <c r="AA45" s="5">
        <v>433.133699691358</v>
      </c>
      <c r="AB45" s="5">
        <v>157.37190113500591</v>
      </c>
    </row>
    <row r="46" spans="2:28">
      <c r="B46" s="8">
        <v>2020</v>
      </c>
      <c r="C46" s="5">
        <f>'2020'!C5</f>
        <v>41.345302000000139</v>
      </c>
      <c r="D46" s="5">
        <f>'2020'!D5</f>
        <v>31.129697999999859</v>
      </c>
      <c r="E46" s="5">
        <f>'2020'!E5</f>
        <v>32.180595999999902</v>
      </c>
      <c r="F46" s="5">
        <f>'2020'!F5</f>
        <v>24.479286000000315</v>
      </c>
      <c r="G46" s="5">
        <f>'2020'!G5</f>
        <v>21.331489000000001</v>
      </c>
      <c r="H46" s="5">
        <f>'2020'!H5</f>
        <v>59.464098999999926</v>
      </c>
      <c r="I46" s="5">
        <f>'2020'!I5</f>
        <v>88.018130999999997</v>
      </c>
      <c r="J46" s="5">
        <f>'2020'!J5</f>
        <v>156.36365299999994</v>
      </c>
      <c r="K46" s="5">
        <f>'2020'!K5</f>
        <v>144.26588499999977</v>
      </c>
      <c r="L46" s="5">
        <f>'2020'!L5</f>
        <v>159.092885</v>
      </c>
      <c r="M46" s="5">
        <f>'2020'!M5</f>
        <v>151.58334699999961</v>
      </c>
      <c r="N46" s="5">
        <f>'2020'!N5</f>
        <v>154.71383700000078</v>
      </c>
      <c r="O46" s="11">
        <f t="shared" si="12"/>
        <v>1063.9682080000002</v>
      </c>
      <c r="Q46" s="5">
        <v>102.58008345280763</v>
      </c>
      <c r="R46" s="5">
        <v>79.424073084291194</v>
      </c>
      <c r="S46" s="5">
        <v>84.231182795698928</v>
      </c>
      <c r="T46" s="5">
        <v>61.948611111111106</v>
      </c>
      <c r="U46" s="5">
        <v>58.83064516129032</v>
      </c>
      <c r="V46" s="5">
        <v>162.83055555555561</v>
      </c>
      <c r="W46" s="5">
        <v>216.80645161290323</v>
      </c>
      <c r="X46" s="5">
        <v>389.22446236559142</v>
      </c>
      <c r="Y46" s="5">
        <v>366.97638777777775</v>
      </c>
      <c r="Z46" s="5">
        <v>441.59005376344089</v>
      </c>
      <c r="AA46" s="5">
        <v>459.68472222222226</v>
      </c>
      <c r="AB46" s="5">
        <v>548.84274193548401</v>
      </c>
    </row>
    <row r="47" spans="2:28">
      <c r="B47" s="8">
        <v>2021</v>
      </c>
      <c r="C47" s="5">
        <f>'2021'!C5</f>
        <v>84.770697999999385</v>
      </c>
      <c r="D47" s="5">
        <f>'2021'!D5</f>
        <v>51.779504000000657</v>
      </c>
      <c r="E47" s="5">
        <f>'2021'!E5</f>
        <v>43.542483000000004</v>
      </c>
      <c r="F47" s="5">
        <f>'2021'!F5</f>
        <v>34.706387999999336</v>
      </c>
      <c r="G47" s="5">
        <f>'2021'!G5</f>
        <v>42.992444000000134</v>
      </c>
      <c r="H47" s="5">
        <f>'2021'!H5</f>
        <v>39.461503999999721</v>
      </c>
      <c r="I47" s="5">
        <f>'2021'!I5</f>
        <v>62.004547000000166</v>
      </c>
      <c r="J47" s="5">
        <f>'2021'!J5</f>
        <v>69.880805999999865</v>
      </c>
      <c r="K47" s="5">
        <f>'2021'!K5</f>
        <v>133.2786650000005</v>
      </c>
      <c r="L47" s="5">
        <f>'2021'!L5</f>
        <v>157.50553899999989</v>
      </c>
      <c r="M47" s="5">
        <f>'2021'!M5</f>
        <v>157.48852799999995</v>
      </c>
      <c r="N47" s="5">
        <f>'2021'!N5</f>
        <v>142.26362600000016</v>
      </c>
      <c r="O47" s="11">
        <f t="shared" si="12"/>
        <v>1019.6747319999998</v>
      </c>
      <c r="Q47" s="5">
        <v>205.91397849462371</v>
      </c>
      <c r="R47" s="5">
        <v>128.62499999999997</v>
      </c>
      <c r="S47" s="5">
        <v>113.03494623655912</v>
      </c>
      <c r="T47" s="5">
        <v>95.518055555555563</v>
      </c>
      <c r="U47" s="5">
        <v>102.0739247311828</v>
      </c>
      <c r="V47" s="5">
        <v>103.44444444444444</v>
      </c>
      <c r="W47" s="5">
        <v>157.18408602150538</v>
      </c>
      <c r="X47" s="5">
        <v>173.92204301075265</v>
      </c>
      <c r="Y47" s="5">
        <v>375.68194444444447</v>
      </c>
      <c r="Z47" s="5">
        <v>520.12940860215065</v>
      </c>
      <c r="AA47" s="5">
        <v>619.40972222222217</v>
      </c>
      <c r="AB47" s="5">
        <v>493.87096774193554</v>
      </c>
    </row>
    <row r="48" spans="2:28">
      <c r="B48" s="8">
        <v>2022</v>
      </c>
      <c r="C48" s="5">
        <f>'2022'!C5</f>
        <v>88.530286399999994</v>
      </c>
      <c r="D48" s="5">
        <f>'2022'!D5</f>
        <v>51.253605</v>
      </c>
      <c r="E48" s="5">
        <f>'2022'!E5</f>
        <v>56.609788600000002</v>
      </c>
      <c r="F48" s="5">
        <f>'2022'!F5</f>
        <v>56.4993154</v>
      </c>
      <c r="G48" s="5">
        <f>'2022'!G5</f>
        <v>80.578215700000001</v>
      </c>
      <c r="H48" s="5">
        <f>'2022'!H5</f>
        <v>99.400854399999986</v>
      </c>
      <c r="I48" s="5">
        <f>'2022'!I5</f>
        <v>139.00226599999999</v>
      </c>
      <c r="J48" s="5">
        <f>'2022'!J5</f>
        <v>157.24091799999999</v>
      </c>
      <c r="K48" s="5">
        <f>'2022'!K5</f>
        <v>155.01225790000001</v>
      </c>
      <c r="L48" s="5">
        <f>'2022'!L5</f>
        <v>154.3577477</v>
      </c>
      <c r="M48" s="5">
        <f>'2022'!M5</f>
        <v>124.99818620000001</v>
      </c>
      <c r="N48" s="5">
        <f>'2022'!N5</f>
        <v>115.0416532</v>
      </c>
      <c r="O48" s="11">
        <f t="shared" si="12"/>
        <v>1278.5250944999998</v>
      </c>
      <c r="Q48" s="5">
        <v>222.7177419354839</v>
      </c>
      <c r="R48" s="5">
        <v>141.22767857142861</v>
      </c>
      <c r="S48" s="5">
        <v>140.88844086021504</v>
      </c>
      <c r="T48" s="5">
        <v>139.59305555555557</v>
      </c>
      <c r="U48" s="5">
        <v>219.6935483870968</v>
      </c>
      <c r="V48" s="5">
        <v>258.53333222222227</v>
      </c>
      <c r="W48" s="5">
        <v>336.91397849462368</v>
      </c>
      <c r="X48" s="5">
        <v>459.18413978494618</v>
      </c>
      <c r="Y48" s="5">
        <v>485.4681666666666</v>
      </c>
      <c r="Z48" s="5">
        <v>472.53763440860212</v>
      </c>
      <c r="AA48" s="5">
        <v>327.00972222222219</v>
      </c>
      <c r="AB48" s="5">
        <v>281.70430107526886</v>
      </c>
    </row>
    <row r="49" spans="2:28">
      <c r="B49" s="8">
        <v>2023</v>
      </c>
      <c r="C49" s="5">
        <f>'2023'!C5</f>
        <v>77.740175000000008</v>
      </c>
      <c r="D49" s="5">
        <f>'2023'!D5</f>
        <v>56.724158600000003</v>
      </c>
      <c r="E49" s="5">
        <f>'2023'!E5</f>
        <v>48.161090799999997</v>
      </c>
      <c r="F49" s="5">
        <f>'2023'!F5</f>
        <v>48.283616699999996</v>
      </c>
      <c r="G49" s="5">
        <f>'2023'!G5</f>
        <v>32.450061300000002</v>
      </c>
      <c r="H49" s="5">
        <f>'2023'!H5</f>
        <v>71.005335399999993</v>
      </c>
      <c r="I49" s="5">
        <f>'2023'!I5</f>
        <v>122.0062195</v>
      </c>
      <c r="J49" s="5">
        <f>'2023'!J5</f>
        <v>136.3989627</v>
      </c>
      <c r="K49" s="5">
        <f>'2023'!K5</f>
        <v>153.81893869999999</v>
      </c>
      <c r="L49" s="5">
        <f>'2023'!L5</f>
        <v>154.06884539999999</v>
      </c>
      <c r="M49" s="5">
        <f>'2023'!M5</f>
        <v>124.3363421</v>
      </c>
      <c r="N49" s="5">
        <f>'2023'!N5</f>
        <v>94.563951599999996</v>
      </c>
      <c r="O49" s="11">
        <f t="shared" si="12"/>
        <v>1119.5576977999999</v>
      </c>
      <c r="Q49" s="5">
        <v>205.4852150537634</v>
      </c>
      <c r="R49" s="5">
        <v>145.83035714285717</v>
      </c>
      <c r="S49" s="5">
        <v>126.83870967741935</v>
      </c>
      <c r="T49" s="5">
        <v>114.52638888888887</v>
      </c>
      <c r="U49" s="5">
        <v>101.15994623655916</v>
      </c>
      <c r="V49" s="5">
        <v>176.75694444444443</v>
      </c>
      <c r="W49" s="5">
        <v>314.22849462365593</v>
      </c>
      <c r="X49" s="5">
        <v>362.17070967741932</v>
      </c>
      <c r="Y49" s="5">
        <v>516.00833666666665</v>
      </c>
      <c r="Z49" s="5">
        <v>438.979835483871</v>
      </c>
      <c r="AA49" s="5">
        <v>336.45694999999995</v>
      </c>
      <c r="AB49" s="5">
        <v>239.06182580645162</v>
      </c>
    </row>
    <row r="50" spans="2:28">
      <c r="B50" s="8">
        <v>2024</v>
      </c>
      <c r="C50" s="5">
        <f>'2024'!C5</f>
        <v>57.337101000000004</v>
      </c>
      <c r="D50" s="5">
        <f>'2024'!D5</f>
        <v>34.6663651</v>
      </c>
      <c r="E50" s="5">
        <f>'2024'!E5</f>
        <v>20.916935600000002</v>
      </c>
      <c r="F50" s="5">
        <f>'2024'!F5</f>
        <v>29.124926299999998</v>
      </c>
      <c r="G50" s="5">
        <f>'2024'!G5</f>
        <v>40.0913307</v>
      </c>
      <c r="H50" s="5">
        <f>'2024'!H5</f>
        <v>59.6659243</v>
      </c>
      <c r="I50" s="5">
        <f>'2024'!I5</f>
        <v>100.58270630000001</v>
      </c>
      <c r="J50" s="5">
        <f>'2024'!J5</f>
        <v>135.36586209999999</v>
      </c>
      <c r="K50" s="5">
        <f>'2024'!K5</f>
        <v>144.5077186</v>
      </c>
      <c r="L50" s="5">
        <f>'2024'!L5</f>
        <v>141.72220670000002</v>
      </c>
      <c r="M50" s="5">
        <f>'2024'!M5</f>
        <v>98.1990239</v>
      </c>
      <c r="N50" s="5">
        <f>'2024'!N5</f>
        <v>93.2850526</v>
      </c>
      <c r="O50" s="11">
        <f t="shared" si="12"/>
        <v>955.46515320000003</v>
      </c>
      <c r="Q50" s="5">
        <v>136.53628387096776</v>
      </c>
      <c r="R50" s="5">
        <v>89.97844137931034</v>
      </c>
      <c r="S50" s="5">
        <v>71.677425806451595</v>
      </c>
      <c r="T50" s="5">
        <v>76.03</v>
      </c>
      <c r="U50" s="5">
        <v>102.72983548387097</v>
      </c>
      <c r="V50" s="5">
        <v>143.88194333333331</v>
      </c>
      <c r="W50" s="5">
        <v>258.7325225806452</v>
      </c>
      <c r="X50" s="5">
        <v>345.33736774193545</v>
      </c>
      <c r="Y50" s="5">
        <v>421.67</v>
      </c>
      <c r="Z50" s="5">
        <v>344.87018846153848</v>
      </c>
      <c r="AA50" s="5">
        <v>268.59833200000003</v>
      </c>
      <c r="AB50" s="5">
        <v>248.40457096774193</v>
      </c>
    </row>
    <row r="51" spans="2:28">
      <c r="B51" s="46">
        <v>2025</v>
      </c>
      <c r="C51" s="5">
        <v>77.100018899999995</v>
      </c>
      <c r="D51" s="5">
        <v>43.3261799</v>
      </c>
      <c r="E51" s="5">
        <v>48.253928800000004</v>
      </c>
      <c r="F51" s="5">
        <v>42.578652699999999</v>
      </c>
      <c r="G51" s="5">
        <v>55.543591800000002</v>
      </c>
      <c r="H51" s="5">
        <v>113.2950701</v>
      </c>
      <c r="I51" s="5">
        <v>104.73160349999999</v>
      </c>
      <c r="J51" s="5">
        <v>109.24584849999999</v>
      </c>
      <c r="K51" s="5">
        <v>149.7075327</v>
      </c>
      <c r="L51" s="5">
        <v>152.60726490000002</v>
      </c>
      <c r="M51" s="5">
        <v>142.2572524</v>
      </c>
      <c r="N51" s="5">
        <v>139.88985010000002</v>
      </c>
      <c r="O51" s="11">
        <f t="shared" si="12"/>
        <v>1178.5367943000001</v>
      </c>
      <c r="Q51" s="5">
        <v>206.23252903225804</v>
      </c>
      <c r="R51" s="5">
        <v>121.56</v>
      </c>
      <c r="S51" s="5">
        <v>119.37902903225806</v>
      </c>
      <c r="T51" s="5">
        <v>98.847706896551742</v>
      </c>
      <c r="U51" s="5">
        <v>162.30000000000001</v>
      </c>
      <c r="V51" s="5">
        <v>295.53750666666662</v>
      </c>
      <c r="W51" s="5">
        <v>257.09408387096778</v>
      </c>
      <c r="X51" s="5">
        <v>277.50134193548388</v>
      </c>
      <c r="Y51" s="5">
        <v>488.63750333333331</v>
      </c>
      <c r="Z51" s="5">
        <v>478.22580645161293</v>
      </c>
      <c r="AA51" s="5">
        <v>1109.8374966666668</v>
      </c>
      <c r="AB51" s="5">
        <v>507.7110193548387</v>
      </c>
    </row>
    <row r="52" spans="2:28">
      <c r="B52" s="8">
        <v>2026</v>
      </c>
      <c r="C52" s="5">
        <v>76.804706400000001</v>
      </c>
      <c r="D52" s="5">
        <v>46.195316300000002</v>
      </c>
      <c r="E52" s="5">
        <v>51.992978799999996</v>
      </c>
      <c r="F52" s="5">
        <v>39.895044199999994</v>
      </c>
      <c r="G52" s="5">
        <v>37.841518600000001</v>
      </c>
      <c r="H52" s="5">
        <v>50.5370651</v>
      </c>
      <c r="I52" s="5"/>
      <c r="J52" s="5"/>
      <c r="K52" s="5"/>
      <c r="L52" s="5"/>
      <c r="M52" s="5"/>
      <c r="N52" s="5"/>
      <c r="O52" s="11"/>
      <c r="Q52">
        <v>198.1</v>
      </c>
      <c r="R52">
        <v>129.4</v>
      </c>
      <c r="S52">
        <v>125.2</v>
      </c>
      <c r="T52">
        <v>95.68</v>
      </c>
      <c r="U52">
        <v>102.47</v>
      </c>
      <c r="V52">
        <v>149.22</v>
      </c>
    </row>
    <row r="53" spans="2:28">
      <c r="B53" s="4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1"/>
    </row>
    <row r="54" spans="2:28">
      <c r="B54" s="4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1"/>
    </row>
    <row r="55" spans="2:28">
      <c r="B55" s="7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12"/>
      <c r="P55" s="13"/>
    </row>
    <row r="56" spans="2:28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2"/>
    </row>
    <row r="58" spans="2:28">
      <c r="B58" s="77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2"/>
      <c r="P58" s="13"/>
    </row>
    <row r="59" spans="2:28">
      <c r="B59" s="7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2"/>
    </row>
    <row r="60" spans="2:28"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2"/>
      <c r="P60" s="13"/>
    </row>
    <row r="61" spans="2:28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</sheetData>
  <mergeCells count="3">
    <mergeCell ref="C1:O1"/>
    <mergeCell ref="Q1:AB1"/>
    <mergeCell ref="B58:B5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7096-5CF8-4F6A-8984-AE8C446A389D}">
  <dimension ref="A1:AF71"/>
  <sheetViews>
    <sheetView zoomScale="85" zoomScaleNormal="85" workbookViewId="0">
      <pane ySplit="2" topLeftCell="A27" activePane="bottomLeft" state="frozen"/>
      <selection pane="bottomLeft" activeCell="G65" sqref="G65"/>
    </sheetView>
  </sheetViews>
  <sheetFormatPr defaultRowHeight="15"/>
  <cols>
    <col min="3" max="3" width="9.5703125" bestFit="1" customWidth="1"/>
    <col min="14" max="14" width="9.28515625" bestFit="1" customWidth="1"/>
    <col min="15" max="15" width="9.5703125" bestFit="1" customWidth="1"/>
  </cols>
  <sheetData>
    <row r="1" spans="2:32">
      <c r="Q1" s="73" t="s">
        <v>8</v>
      </c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</row>
    <row r="2" spans="2:32"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10" t="s">
        <v>9</v>
      </c>
      <c r="Q2" s="8">
        <v>1</v>
      </c>
      <c r="R2" s="8">
        <v>2</v>
      </c>
      <c r="S2" s="8">
        <v>3</v>
      </c>
      <c r="T2" s="8">
        <v>4</v>
      </c>
      <c r="U2" s="8">
        <v>5</v>
      </c>
      <c r="V2" s="8">
        <v>6</v>
      </c>
      <c r="W2" s="8">
        <v>7</v>
      </c>
      <c r="X2" s="8">
        <v>8</v>
      </c>
      <c r="Y2" s="8">
        <v>9</v>
      </c>
      <c r="Z2" s="8">
        <v>10</v>
      </c>
      <c r="AA2" s="8">
        <v>11</v>
      </c>
      <c r="AB2" s="8">
        <v>12</v>
      </c>
      <c r="AD2" t="s">
        <v>12</v>
      </c>
      <c r="AE2" s="8">
        <v>3.99</v>
      </c>
      <c r="AF2" s="13" t="s">
        <v>13</v>
      </c>
    </row>
    <row r="3" spans="2:32">
      <c r="B3">
        <v>1977</v>
      </c>
      <c r="C3" s="15">
        <f>IF(Q3*DAY(EOMONTH(DATE($B3,$C$2,1),0))*24*3600/$AE$2/10^6&gt;$AE$3,$AE$3,Q3*DAY(EOMONTH(DATE($B3,$C$2,1),0))*24*3600/$AE$2/10^6)</f>
        <v>54.105022556390963</v>
      </c>
      <c r="D3" s="15">
        <f>IF(R3*DAY(EOMONTH(DATE($B3,$D$2,1),0))*24*3600/$AE$2/10^6&gt;$AE$3,$AE$3,R3*DAY(EOMONTH(DATE($B3,$D$2,1),0))*24*3600/$AE$2/10^6)</f>
        <v>33.893052631578946</v>
      </c>
      <c r="E3" s="15">
        <f>IF(S3*DAY(EOMONTH(DATE($B3,$E$2,1),0))*24*3600/$AE$2/10^6&gt;$AE$3,$AE$3,S3*DAY(EOMONTH(DATE($B3,$E$2,1),0))*24*3600/$AE$2/10^6)</f>
        <v>25.441443609022553</v>
      </c>
      <c r="F3" s="15">
        <f>IF(T3*DAY(EOMONTH(DATE($B3,$F$2,1),0))*24*3600/$AE$2/10^6&gt;$AE$3,$AE$3,T3*DAY(EOMONTH(DATE($B3,$F$2,1),0))*24*3600/$AE$2/10^6)</f>
        <v>16.890225563909773</v>
      </c>
      <c r="G3" s="15">
        <f>IF(U3*DAY(EOMONTH(DATE($B3,$G$2,1),0))*24*3600/$AE$2/10^6&gt;$AE$3,$AE$3,U3*DAY(EOMONTH(DATE($B3,$G$2,1),0))*24*3600/$AE$2/10^6)</f>
        <v>20.339729323308269</v>
      </c>
      <c r="H3" s="15">
        <f>IF(V3*DAY(EOMONTH(DATE($B3,$H$2,1),0))*24*3600/$AE$2/10^6&gt;$AE$3,$AE$3,V3*DAY(EOMONTH(DATE($B3,$H$2,1),0))*24*3600/$AE$2/10^6)</f>
        <v>23.51639097744361</v>
      </c>
      <c r="I3" s="15">
        <f>IF(W3*DAY(EOMONTH(DATE($B3,$I$2,1),0))*24*3600/$AE$2/10^6&gt;$AE$3,$AE$3,W3*DAY(EOMONTH(DATE($B3,$I$2,1),0))*24*3600/$AE$2/10^6)</f>
        <v>68.604631578947362</v>
      </c>
      <c r="J3" s="15">
        <f>IF(X3*DAY(EOMONTH(DATE($B3,$J$2,1),0))*24*3600/$AE$2/10^6&gt;$AE$3,$AE$3,X3*DAY(EOMONTH(DATE($B3,$J$2,1),0))*24*3600/$AE$2/10^6)</f>
        <v>69.07452631578947</v>
      </c>
      <c r="K3" s="15">
        <f>IF(Y3*DAY(EOMONTH(DATE($B3,$K$2,1),0))*24*3600/$AE$2/10^6&gt;$AE$3,$AE$3,Y3*DAY(EOMONTH(DATE($B3,$K$2,1),0))*24*3600/$AE$2/10^6)</f>
        <v>189.607956000001</v>
      </c>
      <c r="L3" s="15">
        <f>IF(Z3*DAY(EOMONTH(DATE($B3,$L$2,1),0))*24*3600/$AE$2/10^6&gt;$AE$3,$AE$3,Z3*DAY(EOMONTH(DATE($B3,$L$2,1),0))*24*3600/$AE$2/10^6)</f>
        <v>189.607956000001</v>
      </c>
      <c r="M3" s="15">
        <f>IF(AA3*DAY(EOMONTH(DATE($B3,$M$2,1),0))*24*3600/$AE$2/10^6&gt;$AE$3,$AE$3,AA3*DAY(EOMONTH(DATE($B3,$M$2,1),0))*24*3600/$AE$2/10^6)</f>
        <v>119.20601503759397</v>
      </c>
      <c r="N3" s="15">
        <f>IF(AB3*DAY(EOMONTH(DATE($B3,$N$2,1),0))*24*3600/$AE$2/10^6&gt;$AE$3,$AE$3,AB3*DAY(EOMONTH(DATE($B3,$N$2,1),0))*24*3600/$AE$2/10^6)</f>
        <v>61.287699248120298</v>
      </c>
      <c r="O3" s="35">
        <f>SUM(C3:N3)</f>
        <v>871.57464884210708</v>
      </c>
      <c r="Q3" s="5">
        <v>80.599999999999994</v>
      </c>
      <c r="R3" s="5">
        <v>55.9</v>
      </c>
      <c r="S3" s="5">
        <v>37.9</v>
      </c>
      <c r="T3" s="5">
        <v>26</v>
      </c>
      <c r="U3" s="5">
        <v>30.3</v>
      </c>
      <c r="V3" s="5">
        <v>36.200000000000003</v>
      </c>
      <c r="W3" s="5">
        <v>102.2</v>
      </c>
      <c r="X3" s="5">
        <v>102.9</v>
      </c>
      <c r="Y3" s="5">
        <v>345.3</v>
      </c>
      <c r="Z3" s="5">
        <v>320</v>
      </c>
      <c r="AA3" s="5">
        <v>183.5</v>
      </c>
      <c r="AB3" s="5">
        <v>91.3</v>
      </c>
      <c r="AD3" t="s">
        <v>14</v>
      </c>
      <c r="AE3" s="5">
        <v>189.607956000001</v>
      </c>
      <c r="AF3" s="13" t="s">
        <v>15</v>
      </c>
    </row>
    <row r="4" spans="2:32">
      <c r="B4">
        <v>1978</v>
      </c>
      <c r="C4" s="15">
        <f t="shared" ref="C4:C36" si="0">IF(Q4*DAY(EOMONTH(DATE($B4,$C$2,1),0))*24*3600/$AE$2/10^6&gt;$AE$3,$AE$3,Q4*DAY(EOMONTH(DATE($B4,$C$2,1),0))*24*3600/$AE$2/10^6)</f>
        <v>35.913383458646621</v>
      </c>
      <c r="D4" s="15">
        <f t="shared" ref="D4:D36" si="1">IF(R4*DAY(EOMONTH(DATE($B4,$D$2,1),0))*24*3600/$AE$2/10^6&gt;$AE$3,$AE$3,R4*DAY(EOMONTH(DATE($B4,$D$2,1),0))*24*3600/$AE$2/10^6)</f>
        <v>21.766736842105264</v>
      </c>
      <c r="E4" s="15">
        <f t="shared" ref="E4:E36" si="2">IF(S4*DAY(EOMONTH(DATE($B4,$E$2,1),0))*24*3600/$AE$2/10^6&gt;$AE$3,$AE$3,S4*DAY(EOMONTH(DATE($B4,$E$2,1),0))*24*3600/$AE$2/10^6)</f>
        <v>21.883669172932329</v>
      </c>
      <c r="F4" s="15">
        <f t="shared" ref="F4:F36" si="3">IF(T4*DAY(EOMONTH(DATE($B4,$F$2,1),0))*24*3600/$AE$2/10^6&gt;$AE$3,$AE$3,T4*DAY(EOMONTH(DATE($B4,$F$2,1),0))*24*3600/$AE$2/10^6)</f>
        <v>19.358796992481203</v>
      </c>
      <c r="G4" s="15">
        <f t="shared" ref="G4:G36" si="4">IF(U4*DAY(EOMONTH(DATE($B4,$G$2,1),0))*24*3600/$AE$2/10^6&gt;$AE$3,$AE$3,U4*DAY(EOMONTH(DATE($B4,$G$2,1),0))*24*3600/$AE$2/10^6)</f>
        <v>48.130646616541348</v>
      </c>
      <c r="H4" s="15">
        <f t="shared" ref="H4:H36" si="5">IF(V4*DAY(EOMONTH(DATE($B4,$H$2,1),0))*24*3600/$AE$2/10^6&gt;$AE$3,$AE$3,V4*DAY(EOMONTH(DATE($B4,$H$2,1),0))*24*3600/$AE$2/10^6)</f>
        <v>52.684511278195487</v>
      </c>
      <c r="I4" s="15">
        <f t="shared" ref="I4:I36" si="6">IF(W4*DAY(EOMONTH(DATE($B4,$I$2,1),0))*24*3600/$AE$2/10^6&gt;$AE$3,$AE$3,W4*DAY(EOMONTH(DATE($B4,$I$2,1),0))*24*3600/$AE$2/10^6)</f>
        <v>114.45293233082705</v>
      </c>
      <c r="J4" s="15">
        <f t="shared" ref="J4:J36" si="7">IF(X4*DAY(EOMONTH(DATE($B4,$J$2,1),0))*24*3600/$AE$2/10^6&gt;$AE$3,$AE$3,X4*DAY(EOMONTH(DATE($B4,$J$2,1),0))*24*3600/$AE$2/10^6)</f>
        <v>178.15723308270671</v>
      </c>
      <c r="K4" s="15">
        <f t="shared" ref="K4:K36" si="8">IF(Y4*DAY(EOMONTH(DATE($B4,$K$2,1),0))*24*3600/$AE$2/10^6&gt;$AE$3,$AE$3,Y4*DAY(EOMONTH(DATE($B4,$K$2,1),0))*24*3600/$AE$2/10^6)</f>
        <v>189.607956000001</v>
      </c>
      <c r="L4" s="15">
        <f t="shared" ref="L4:L36" si="9">IF(Z4*DAY(EOMONTH(DATE($B4,$L$2,1),0))*24*3600/$AE$2/10^6&gt;$AE$3,$AE$3,Z4*DAY(EOMONTH(DATE($B4,$L$2,1),0))*24*3600/$AE$2/10^6)</f>
        <v>189.607956000001</v>
      </c>
      <c r="M4" s="15">
        <f t="shared" ref="M4:M36" si="10">IF(AA4*DAY(EOMONTH(DATE($B4,$M$2,1),0))*24*3600/$AE$2/10^6&gt;$AE$3,$AE$3,AA4*DAY(EOMONTH(DATE($B4,$M$2,1),0))*24*3600/$AE$2/10^6)</f>
        <v>189.607956000001</v>
      </c>
      <c r="N4" s="15">
        <f t="shared" ref="N4:N36" si="11">IF(AB4*DAY(EOMONTH(DATE($B4,$N$2,1),0))*24*3600/$AE$2/10^6&gt;$AE$3,$AE$3,AB4*DAY(EOMONTH(DATE($B4,$N$2,1),0))*24*3600/$AE$2/10^6)</f>
        <v>112.23771428571428</v>
      </c>
      <c r="O4" s="35">
        <f t="shared" ref="O4:O36" si="12">SUM(C4:N4)</f>
        <v>1173.4094920601533</v>
      </c>
      <c r="Q4" s="5">
        <v>53.5</v>
      </c>
      <c r="R4" s="5">
        <v>35.9</v>
      </c>
      <c r="S4" s="5">
        <v>32.6</v>
      </c>
      <c r="T4" s="5">
        <v>29.8</v>
      </c>
      <c r="U4" s="5">
        <v>71.7</v>
      </c>
      <c r="V4" s="5">
        <v>81.099999999999994</v>
      </c>
      <c r="W4" s="5">
        <v>170.5</v>
      </c>
      <c r="X4" s="5">
        <v>265.39999999999998</v>
      </c>
      <c r="Y4" s="5">
        <v>405.3</v>
      </c>
      <c r="Z4" s="5">
        <v>505.7</v>
      </c>
      <c r="AA4" s="5">
        <v>366</v>
      </c>
      <c r="AB4" s="5">
        <v>167.2</v>
      </c>
    </row>
    <row r="5" spans="2:32">
      <c r="B5">
        <v>1979</v>
      </c>
      <c r="C5" s="15">
        <f t="shared" si="0"/>
        <v>63.90568421052631</v>
      </c>
      <c r="D5" s="15">
        <f t="shared" si="1"/>
        <v>32.922947368421049</v>
      </c>
      <c r="E5" s="15">
        <f t="shared" si="2"/>
        <v>23.159097744360903</v>
      </c>
      <c r="F5" s="15">
        <f t="shared" si="3"/>
        <v>23.256541353383458</v>
      </c>
      <c r="G5" s="15">
        <f t="shared" si="4"/>
        <v>42.424781954887216</v>
      </c>
      <c r="H5" s="15">
        <f t="shared" si="5"/>
        <v>95.559699248120296</v>
      </c>
      <c r="I5" s="15">
        <f t="shared" si="6"/>
        <v>189.607956000001</v>
      </c>
      <c r="J5" s="15">
        <f t="shared" si="7"/>
        <v>189.607956000001</v>
      </c>
      <c r="K5" s="15">
        <f t="shared" si="8"/>
        <v>145.64571428571426</v>
      </c>
      <c r="L5" s="15">
        <f t="shared" si="9"/>
        <v>189.607956000001</v>
      </c>
      <c r="M5" s="15">
        <f t="shared" si="10"/>
        <v>189.607956000001</v>
      </c>
      <c r="N5" s="15">
        <f t="shared" si="11"/>
        <v>161.37527819548873</v>
      </c>
      <c r="O5" s="35">
        <f t="shared" si="12"/>
        <v>1346.6815683609061</v>
      </c>
      <c r="Q5" s="5">
        <v>95.2</v>
      </c>
      <c r="R5" s="5">
        <v>54.3</v>
      </c>
      <c r="S5" s="5">
        <v>34.5</v>
      </c>
      <c r="T5" s="5">
        <v>35.799999999999997</v>
      </c>
      <c r="U5" s="5">
        <v>63.2</v>
      </c>
      <c r="V5" s="5">
        <v>147.1</v>
      </c>
      <c r="W5" s="5">
        <v>296.8</v>
      </c>
      <c r="X5" s="5">
        <v>348.4</v>
      </c>
      <c r="Y5" s="5">
        <v>224.2</v>
      </c>
      <c r="Z5" s="5">
        <v>412.7</v>
      </c>
      <c r="AA5" s="5">
        <v>319.8</v>
      </c>
      <c r="AB5" s="5">
        <v>240.4</v>
      </c>
    </row>
    <row r="6" spans="2:32">
      <c r="B6">
        <v>1980</v>
      </c>
      <c r="C6" s="15">
        <f t="shared" si="0"/>
        <v>78.002526315789481</v>
      </c>
      <c r="D6" s="15">
        <f t="shared" si="1"/>
        <v>51.556330827067661</v>
      </c>
      <c r="E6" s="15">
        <f t="shared" si="2"/>
        <v>40.075308270676686</v>
      </c>
      <c r="F6" s="15">
        <f t="shared" si="3"/>
        <v>36.963609022556383</v>
      </c>
      <c r="G6" s="15">
        <f t="shared" si="4"/>
        <v>67.731969924812034</v>
      </c>
      <c r="H6" s="15">
        <f t="shared" si="5"/>
        <v>108.29233082706766</v>
      </c>
      <c r="I6" s="15">
        <f t="shared" si="6"/>
        <v>125.6632781954887</v>
      </c>
      <c r="J6" s="15">
        <f t="shared" si="7"/>
        <v>142.84800000000001</v>
      </c>
      <c r="K6" s="15">
        <f t="shared" si="8"/>
        <v>189.607956000001</v>
      </c>
      <c r="L6" s="15">
        <f t="shared" si="9"/>
        <v>189.607956000001</v>
      </c>
      <c r="M6" s="15">
        <f t="shared" si="10"/>
        <v>189.607956000001</v>
      </c>
      <c r="N6" s="15">
        <f t="shared" si="11"/>
        <v>161.1738947368421</v>
      </c>
      <c r="O6" s="35">
        <f t="shared" si="12"/>
        <v>1381.1311161203037</v>
      </c>
      <c r="Q6" s="5">
        <v>116.2</v>
      </c>
      <c r="R6" s="5">
        <v>82.1</v>
      </c>
      <c r="S6" s="5">
        <v>59.7</v>
      </c>
      <c r="T6" s="5">
        <v>56.9</v>
      </c>
      <c r="U6" s="5">
        <v>100.9</v>
      </c>
      <c r="V6" s="5">
        <v>166.7</v>
      </c>
      <c r="W6" s="5">
        <v>187.2</v>
      </c>
      <c r="X6" s="5">
        <v>212.8</v>
      </c>
      <c r="Y6" s="5">
        <v>497.1</v>
      </c>
      <c r="Z6" s="5">
        <v>484.8</v>
      </c>
      <c r="AA6" s="5">
        <v>530.5</v>
      </c>
      <c r="AB6" s="5">
        <v>240.1</v>
      </c>
    </row>
    <row r="7" spans="2:32">
      <c r="B7">
        <v>1981</v>
      </c>
      <c r="C7" s="15">
        <f t="shared" si="0"/>
        <v>84.044030075187962</v>
      </c>
      <c r="D7" s="15">
        <f t="shared" si="1"/>
        <v>54.325894736842102</v>
      </c>
      <c r="E7" s="15">
        <f t="shared" si="2"/>
        <v>38.262857142857143</v>
      </c>
      <c r="F7" s="15">
        <f t="shared" si="3"/>
        <v>35.729323308270679</v>
      </c>
      <c r="G7" s="15">
        <f t="shared" si="4"/>
        <v>58.26694736842105</v>
      </c>
      <c r="H7" s="15">
        <f t="shared" si="5"/>
        <v>139.14947368421051</v>
      </c>
      <c r="I7" s="15">
        <f t="shared" si="6"/>
        <v>119.48751879699248</v>
      </c>
      <c r="J7" s="15">
        <f t="shared" si="7"/>
        <v>189.607956000001</v>
      </c>
      <c r="K7" s="15">
        <f t="shared" si="8"/>
        <v>182.99909774436088</v>
      </c>
      <c r="L7" s="15">
        <f t="shared" si="9"/>
        <v>189.607956000001</v>
      </c>
      <c r="M7" s="15">
        <f t="shared" si="10"/>
        <v>189.607956000001</v>
      </c>
      <c r="N7" s="15">
        <f t="shared" si="11"/>
        <v>189.607956000001</v>
      </c>
      <c r="O7" s="35">
        <f t="shared" si="12"/>
        <v>1470.6969668571467</v>
      </c>
      <c r="Q7" s="5">
        <v>125.2</v>
      </c>
      <c r="R7" s="5">
        <v>89.6</v>
      </c>
      <c r="S7" s="5">
        <v>57</v>
      </c>
      <c r="T7" s="5">
        <v>55</v>
      </c>
      <c r="U7" s="5">
        <v>86.8</v>
      </c>
      <c r="V7" s="5">
        <v>214.2</v>
      </c>
      <c r="W7" s="5">
        <v>178</v>
      </c>
      <c r="X7" s="5">
        <v>442</v>
      </c>
      <c r="Y7" s="5">
        <v>281.7</v>
      </c>
      <c r="Z7" s="5">
        <v>675.8</v>
      </c>
      <c r="AA7" s="5">
        <v>784.9</v>
      </c>
      <c r="AB7" s="5">
        <v>441.4</v>
      </c>
    </row>
    <row r="8" spans="2:32">
      <c r="B8">
        <v>1982</v>
      </c>
      <c r="C8" s="15">
        <f t="shared" si="0"/>
        <v>119.15187969924813</v>
      </c>
      <c r="D8" s="15">
        <f t="shared" si="1"/>
        <v>58.570105263157892</v>
      </c>
      <c r="E8" s="15">
        <f t="shared" si="2"/>
        <v>44.572872180451135</v>
      </c>
      <c r="F8" s="15">
        <f t="shared" si="3"/>
        <v>45.018947368421045</v>
      </c>
      <c r="G8" s="15">
        <f t="shared" si="4"/>
        <v>50.748631578947361</v>
      </c>
      <c r="H8" s="15">
        <f t="shared" si="5"/>
        <v>115.95789473684209</v>
      </c>
      <c r="I8" s="15">
        <f t="shared" si="6"/>
        <v>131.90616541353381</v>
      </c>
      <c r="J8" s="15">
        <f t="shared" si="7"/>
        <v>110.96228571428571</v>
      </c>
      <c r="K8" s="15">
        <f t="shared" si="8"/>
        <v>189.607956000001</v>
      </c>
      <c r="L8" s="15">
        <f t="shared" si="9"/>
        <v>181.04372932330827</v>
      </c>
      <c r="M8" s="15">
        <f t="shared" si="10"/>
        <v>104.52451127819549</v>
      </c>
      <c r="N8" s="15">
        <f t="shared" si="11"/>
        <v>63.368661654135337</v>
      </c>
      <c r="O8" s="35">
        <f t="shared" si="12"/>
        <v>1215.4336402105271</v>
      </c>
      <c r="Q8" s="5">
        <v>177.5</v>
      </c>
      <c r="R8" s="5">
        <v>96.6</v>
      </c>
      <c r="S8" s="5">
        <v>66.400000000000006</v>
      </c>
      <c r="T8" s="5">
        <v>69.3</v>
      </c>
      <c r="U8" s="5">
        <v>75.599999999999994</v>
      </c>
      <c r="V8" s="5">
        <v>178.5</v>
      </c>
      <c r="W8" s="5">
        <v>196.5</v>
      </c>
      <c r="X8" s="5">
        <v>165.3</v>
      </c>
      <c r="Y8" s="5">
        <v>488.1</v>
      </c>
      <c r="Z8" s="5">
        <v>269.7</v>
      </c>
      <c r="AA8" s="5">
        <v>160.9</v>
      </c>
      <c r="AB8" s="5">
        <v>94.4</v>
      </c>
    </row>
    <row r="9" spans="2:32">
      <c r="B9">
        <v>1983</v>
      </c>
      <c r="C9" s="15">
        <f t="shared" si="0"/>
        <v>48.466285714285711</v>
      </c>
      <c r="D9" s="15">
        <f t="shared" si="1"/>
        <v>32.437894736842104</v>
      </c>
      <c r="E9" s="15">
        <f t="shared" si="2"/>
        <v>27.790917293233083</v>
      </c>
      <c r="F9" s="15">
        <f t="shared" si="3"/>
        <v>21.697443609022553</v>
      </c>
      <c r="G9" s="15">
        <f t="shared" si="4"/>
        <v>33.698165413533829</v>
      </c>
      <c r="H9" s="15">
        <f t="shared" si="5"/>
        <v>51.775037593984962</v>
      </c>
      <c r="I9" s="15">
        <f t="shared" si="6"/>
        <v>59.34099248120301</v>
      </c>
      <c r="J9" s="15">
        <f t="shared" si="7"/>
        <v>128.07987969924812</v>
      </c>
      <c r="K9" s="15">
        <f t="shared" si="8"/>
        <v>131.41894736842104</v>
      </c>
      <c r="L9" s="15">
        <f t="shared" si="9"/>
        <v>189.607956000001</v>
      </c>
      <c r="M9" s="15">
        <f t="shared" si="10"/>
        <v>189.607956000001</v>
      </c>
      <c r="N9" s="15">
        <f t="shared" si="11"/>
        <v>98.812150375939837</v>
      </c>
      <c r="O9" s="35">
        <f t="shared" si="12"/>
        <v>1012.7336262857161</v>
      </c>
      <c r="Q9" s="5">
        <v>72.2</v>
      </c>
      <c r="R9" s="5">
        <v>53.5</v>
      </c>
      <c r="S9" s="5">
        <v>41.4</v>
      </c>
      <c r="T9" s="5">
        <v>33.4</v>
      </c>
      <c r="U9" s="5">
        <v>50.2</v>
      </c>
      <c r="V9" s="5">
        <v>79.7</v>
      </c>
      <c r="W9" s="5">
        <v>88.4</v>
      </c>
      <c r="X9" s="5">
        <v>190.8</v>
      </c>
      <c r="Y9" s="5">
        <v>202.3</v>
      </c>
      <c r="Z9" s="5">
        <v>515</v>
      </c>
      <c r="AA9" s="5">
        <v>348.2</v>
      </c>
      <c r="AB9" s="5">
        <v>147.19999999999999</v>
      </c>
    </row>
    <row r="10" spans="2:32">
      <c r="B10">
        <v>1984</v>
      </c>
      <c r="C10" s="15">
        <f t="shared" si="0"/>
        <v>68.201864661654128</v>
      </c>
      <c r="D10" s="15">
        <f t="shared" si="1"/>
        <v>47.411729323308265</v>
      </c>
      <c r="E10" s="15">
        <f t="shared" si="2"/>
        <v>34.369443609022561</v>
      </c>
      <c r="F10" s="15">
        <f t="shared" si="3"/>
        <v>37.613233082706763</v>
      </c>
      <c r="G10" s="15">
        <f t="shared" si="4"/>
        <v>70.215699248120288</v>
      </c>
      <c r="H10" s="15">
        <f t="shared" si="5"/>
        <v>107.05804511278194</v>
      </c>
      <c r="I10" s="15">
        <f t="shared" si="6"/>
        <v>127.81136842105262</v>
      </c>
      <c r="J10" s="15">
        <f t="shared" si="7"/>
        <v>189.607956000001</v>
      </c>
      <c r="K10" s="15">
        <f t="shared" si="8"/>
        <v>189.607956000001</v>
      </c>
      <c r="L10" s="15">
        <f t="shared" si="9"/>
        <v>189.607956000001</v>
      </c>
      <c r="M10" s="15">
        <f t="shared" si="10"/>
        <v>177.60721804511275</v>
      </c>
      <c r="N10" s="15">
        <f t="shared" si="11"/>
        <v>154.66249624060151</v>
      </c>
      <c r="O10" s="35">
        <f t="shared" si="12"/>
        <v>1393.774965744364</v>
      </c>
      <c r="Q10" s="5">
        <v>101.6</v>
      </c>
      <c r="R10" s="5">
        <v>75.5</v>
      </c>
      <c r="S10" s="5">
        <v>51.2</v>
      </c>
      <c r="T10" s="5">
        <v>57.9</v>
      </c>
      <c r="U10" s="5">
        <v>104.6</v>
      </c>
      <c r="V10" s="5">
        <v>164.8</v>
      </c>
      <c r="W10" s="5">
        <v>190.4</v>
      </c>
      <c r="X10" s="5">
        <v>416.5</v>
      </c>
      <c r="Y10" s="5">
        <v>441.9</v>
      </c>
      <c r="Z10" s="5">
        <v>526.4</v>
      </c>
      <c r="AA10" s="5">
        <v>273.39999999999998</v>
      </c>
      <c r="AB10" s="5">
        <v>230.4</v>
      </c>
    </row>
    <row r="11" spans="2:32">
      <c r="B11">
        <v>1985</v>
      </c>
      <c r="C11" s="15">
        <f t="shared" si="0"/>
        <v>76.190075187969924</v>
      </c>
      <c r="D11" s="15">
        <f t="shared" si="1"/>
        <v>47.050105263157889</v>
      </c>
      <c r="E11" s="15">
        <f t="shared" si="2"/>
        <v>40.008180451127821</v>
      </c>
      <c r="F11" s="15">
        <f t="shared" si="3"/>
        <v>49.631278195488719</v>
      </c>
      <c r="G11" s="15">
        <f t="shared" si="4"/>
        <v>77.062736842105252</v>
      </c>
      <c r="H11" s="15">
        <f t="shared" si="5"/>
        <v>86.91969924812031</v>
      </c>
      <c r="I11" s="15">
        <f t="shared" si="6"/>
        <v>125.39476691729324</v>
      </c>
      <c r="J11" s="15">
        <f t="shared" si="7"/>
        <v>133.24872180451126</v>
      </c>
      <c r="K11" s="15">
        <f t="shared" si="8"/>
        <v>184.62315789473683</v>
      </c>
      <c r="L11" s="15">
        <f t="shared" si="9"/>
        <v>189.607956000001</v>
      </c>
      <c r="M11" s="15">
        <f t="shared" si="10"/>
        <v>117.19218045112781</v>
      </c>
      <c r="N11" s="15">
        <f t="shared" si="11"/>
        <v>161.24102255639096</v>
      </c>
      <c r="O11" s="35">
        <f t="shared" si="12"/>
        <v>1288.1698808120311</v>
      </c>
      <c r="Q11" s="5">
        <v>113.5</v>
      </c>
      <c r="R11" s="5">
        <v>77.599999999999994</v>
      </c>
      <c r="S11" s="5">
        <v>59.6</v>
      </c>
      <c r="T11" s="5">
        <v>76.400000000000006</v>
      </c>
      <c r="U11" s="5">
        <v>114.8</v>
      </c>
      <c r="V11" s="5">
        <v>133.80000000000001</v>
      </c>
      <c r="W11" s="5">
        <v>186.8</v>
      </c>
      <c r="X11" s="5">
        <v>198.5</v>
      </c>
      <c r="Y11" s="5">
        <v>284.2</v>
      </c>
      <c r="Z11" s="5">
        <v>315.89999999999998</v>
      </c>
      <c r="AA11" s="5">
        <v>180.4</v>
      </c>
      <c r="AB11" s="5">
        <v>240.2</v>
      </c>
    </row>
    <row r="12" spans="2:32">
      <c r="B12">
        <v>1986</v>
      </c>
      <c r="C12" s="15">
        <f t="shared" si="0"/>
        <v>68.80601503759398</v>
      </c>
      <c r="D12" s="15">
        <f t="shared" si="1"/>
        <v>43.836631578947362</v>
      </c>
      <c r="E12" s="15">
        <f t="shared" si="2"/>
        <v>38.934135338345861</v>
      </c>
      <c r="F12" s="15">
        <f t="shared" si="3"/>
        <v>31.961503759398493</v>
      </c>
      <c r="G12" s="15">
        <f t="shared" si="4"/>
        <v>42.760421052631578</v>
      </c>
      <c r="H12" s="15">
        <f t="shared" si="5"/>
        <v>51.51518796992481</v>
      </c>
      <c r="I12" s="15">
        <f t="shared" si="6"/>
        <v>90.421172932330805</v>
      </c>
      <c r="J12" s="15">
        <f t="shared" si="7"/>
        <v>189.607956000001</v>
      </c>
      <c r="K12" s="15">
        <f t="shared" si="8"/>
        <v>189.607956000001</v>
      </c>
      <c r="L12" s="15">
        <f t="shared" si="9"/>
        <v>189.607956000001</v>
      </c>
      <c r="M12" s="15">
        <f t="shared" si="10"/>
        <v>130.96421052631578</v>
      </c>
      <c r="N12" s="15">
        <f t="shared" si="11"/>
        <v>189.607956000001</v>
      </c>
      <c r="O12" s="35">
        <f t="shared" si="12"/>
        <v>1257.6311021954925</v>
      </c>
      <c r="Q12" s="5">
        <v>102.5</v>
      </c>
      <c r="R12" s="5">
        <v>72.3</v>
      </c>
      <c r="S12" s="5">
        <v>58</v>
      </c>
      <c r="T12" s="5">
        <v>49.2</v>
      </c>
      <c r="U12" s="5">
        <v>63.7</v>
      </c>
      <c r="V12" s="5">
        <v>79.3</v>
      </c>
      <c r="W12" s="5">
        <v>134.69999999999999</v>
      </c>
      <c r="X12" s="5">
        <v>372.1</v>
      </c>
      <c r="Y12" s="5">
        <v>322.10000000000002</v>
      </c>
      <c r="Z12" s="5">
        <v>338.1</v>
      </c>
      <c r="AA12" s="5">
        <v>201.6</v>
      </c>
      <c r="AB12" s="5">
        <v>313.10000000000002</v>
      </c>
    </row>
    <row r="13" spans="2:32">
      <c r="B13">
        <v>1987</v>
      </c>
      <c r="C13" s="15">
        <f t="shared" si="0"/>
        <v>81.895939849624057</v>
      </c>
      <c r="D13" s="15">
        <f t="shared" si="1"/>
        <v>46.989473684210523</v>
      </c>
      <c r="E13" s="15">
        <f t="shared" si="2"/>
        <v>41.149353383458646</v>
      </c>
      <c r="F13" s="15">
        <f t="shared" si="3"/>
        <v>30.207518796992481</v>
      </c>
      <c r="G13" s="15">
        <f t="shared" si="4"/>
        <v>37.054556390977446</v>
      </c>
      <c r="H13" s="15">
        <f t="shared" si="5"/>
        <v>79.254135338345861</v>
      </c>
      <c r="I13" s="15">
        <f t="shared" si="6"/>
        <v>145.19747368421051</v>
      </c>
      <c r="J13" s="15">
        <f t="shared" si="7"/>
        <v>134.45702255639097</v>
      </c>
      <c r="K13" s="15">
        <f t="shared" si="8"/>
        <v>189.607956000001</v>
      </c>
      <c r="L13" s="15">
        <f t="shared" si="9"/>
        <v>179.36553383458647</v>
      </c>
      <c r="M13" s="15">
        <f t="shared" si="10"/>
        <v>141.29323308270676</v>
      </c>
      <c r="N13" s="15">
        <f t="shared" si="11"/>
        <v>131.63765413533832</v>
      </c>
      <c r="O13" s="35">
        <f t="shared" si="12"/>
        <v>1238.1098507368431</v>
      </c>
      <c r="Q13" s="5">
        <v>122</v>
      </c>
      <c r="R13" s="5">
        <v>77.5</v>
      </c>
      <c r="S13" s="5">
        <v>61.3</v>
      </c>
      <c r="T13" s="5">
        <v>46.5</v>
      </c>
      <c r="U13" s="5">
        <v>55.2</v>
      </c>
      <c r="V13" s="5">
        <v>122</v>
      </c>
      <c r="W13" s="5">
        <v>216.3</v>
      </c>
      <c r="X13" s="5">
        <v>200.3</v>
      </c>
      <c r="Y13" s="5">
        <v>371.8</v>
      </c>
      <c r="Z13" s="5">
        <v>267.2</v>
      </c>
      <c r="AA13" s="5">
        <v>217.5</v>
      </c>
      <c r="AB13" s="5">
        <v>196.1</v>
      </c>
    </row>
    <row r="14" spans="2:32">
      <c r="B14">
        <v>1988</v>
      </c>
      <c r="C14" s="15">
        <f t="shared" si="0"/>
        <v>70.081443609022557</v>
      </c>
      <c r="D14" s="15">
        <f t="shared" si="1"/>
        <v>43.769503759398503</v>
      </c>
      <c r="E14" s="15">
        <f t="shared" si="2"/>
        <v>33.295398496240601</v>
      </c>
      <c r="F14" s="15">
        <f t="shared" si="3"/>
        <v>31.896541353383455</v>
      </c>
      <c r="G14" s="15">
        <f t="shared" si="4"/>
        <v>58.73684210526315</v>
      </c>
      <c r="H14" s="15">
        <f t="shared" si="5"/>
        <v>85.750375939849619</v>
      </c>
      <c r="I14" s="15">
        <f t="shared" si="6"/>
        <v>103.24258646616542</v>
      </c>
      <c r="J14" s="15">
        <f t="shared" si="7"/>
        <v>123.51518796992481</v>
      </c>
      <c r="K14" s="15">
        <f t="shared" si="8"/>
        <v>185.66255639097744</v>
      </c>
      <c r="L14" s="15">
        <f t="shared" si="9"/>
        <v>189.607956000001</v>
      </c>
      <c r="M14" s="15">
        <f t="shared" si="10"/>
        <v>189.607956000001</v>
      </c>
      <c r="N14" s="15">
        <f t="shared" si="11"/>
        <v>145.66736842105263</v>
      </c>
      <c r="O14" s="35">
        <f t="shared" si="12"/>
        <v>1260.8337165112803</v>
      </c>
      <c r="Q14" s="5">
        <v>104.4</v>
      </c>
      <c r="R14" s="5">
        <v>69.7</v>
      </c>
      <c r="S14" s="5">
        <v>49.6</v>
      </c>
      <c r="T14" s="5">
        <v>49.1</v>
      </c>
      <c r="U14" s="5">
        <v>87.5</v>
      </c>
      <c r="V14" s="5">
        <v>132</v>
      </c>
      <c r="W14" s="5">
        <v>153.80000000000001</v>
      </c>
      <c r="X14" s="5">
        <v>184</v>
      </c>
      <c r="Y14" s="5">
        <v>285.8</v>
      </c>
      <c r="Z14" s="5">
        <v>542.9</v>
      </c>
      <c r="AA14" s="5">
        <v>514.20000000000005</v>
      </c>
      <c r="AB14" s="5">
        <v>217</v>
      </c>
    </row>
    <row r="15" spans="2:32">
      <c r="B15">
        <v>1989</v>
      </c>
      <c r="C15" s="15">
        <f t="shared" si="0"/>
        <v>87.668932330827062</v>
      </c>
      <c r="D15" s="15">
        <f t="shared" si="1"/>
        <v>47.231999999999999</v>
      </c>
      <c r="E15" s="15">
        <f t="shared" si="2"/>
        <v>47.660751879699248</v>
      </c>
      <c r="F15" s="15">
        <f t="shared" si="3"/>
        <v>48.267067669172931</v>
      </c>
      <c r="G15" s="15">
        <f t="shared" si="4"/>
        <v>102.97407518796992</v>
      </c>
      <c r="H15" s="15">
        <f t="shared" si="5"/>
        <v>158.44330827067668</v>
      </c>
      <c r="I15" s="15">
        <f t="shared" si="6"/>
        <v>188.49491729323307</v>
      </c>
      <c r="J15" s="15">
        <f t="shared" si="7"/>
        <v>189.607956000001</v>
      </c>
      <c r="K15" s="15">
        <f t="shared" si="8"/>
        <v>189.607956000001</v>
      </c>
      <c r="L15" s="15">
        <f t="shared" si="9"/>
        <v>189.607956000001</v>
      </c>
      <c r="M15" s="15">
        <f t="shared" si="10"/>
        <v>158.3133834586466</v>
      </c>
      <c r="N15" s="15">
        <f t="shared" si="11"/>
        <v>93.643308270676684</v>
      </c>
      <c r="O15" s="35">
        <f t="shared" si="12"/>
        <v>1501.521612360905</v>
      </c>
      <c r="Q15" s="5">
        <v>130.6</v>
      </c>
      <c r="R15" s="5">
        <v>77.900000000000006</v>
      </c>
      <c r="S15" s="5">
        <v>71</v>
      </c>
      <c r="T15" s="5">
        <v>74.3</v>
      </c>
      <c r="U15" s="5">
        <v>153.4</v>
      </c>
      <c r="V15" s="5">
        <v>243.9</v>
      </c>
      <c r="W15" s="5">
        <v>280.8</v>
      </c>
      <c r="X15" s="5">
        <v>377.7</v>
      </c>
      <c r="Y15" s="5">
        <v>478.9</v>
      </c>
      <c r="Z15" s="5">
        <v>434.1</v>
      </c>
      <c r="AA15" s="5">
        <v>243.7</v>
      </c>
      <c r="AB15" s="5">
        <v>139.5</v>
      </c>
    </row>
    <row r="16" spans="2:32">
      <c r="B16">
        <v>1990</v>
      </c>
      <c r="C16" s="15">
        <f t="shared" si="0"/>
        <v>50.345864661654133</v>
      </c>
      <c r="D16" s="15">
        <f t="shared" si="1"/>
        <v>29.527578947368422</v>
      </c>
      <c r="E16" s="15">
        <f t="shared" si="2"/>
        <v>25.441443609022553</v>
      </c>
      <c r="F16" s="15">
        <f t="shared" si="3"/>
        <v>27.868872180451124</v>
      </c>
      <c r="G16" s="15">
        <f t="shared" si="4"/>
        <v>39.471157894736841</v>
      </c>
      <c r="H16" s="15">
        <f t="shared" si="5"/>
        <v>189.607956000001</v>
      </c>
      <c r="I16" s="15">
        <f t="shared" si="6"/>
        <v>170.90742857142857</v>
      </c>
      <c r="J16" s="15">
        <f t="shared" si="7"/>
        <v>189.607956000001</v>
      </c>
      <c r="K16" s="15">
        <f t="shared" si="8"/>
        <v>189.607956000001</v>
      </c>
      <c r="L16" s="15">
        <f t="shared" si="9"/>
        <v>189.607956000001</v>
      </c>
      <c r="M16" s="15">
        <f t="shared" si="10"/>
        <v>189.607956000001</v>
      </c>
      <c r="N16" s="15">
        <f t="shared" si="11"/>
        <v>179.23127819548873</v>
      </c>
      <c r="O16" s="35">
        <f t="shared" si="12"/>
        <v>1470.8334040601553</v>
      </c>
      <c r="Q16" s="5">
        <v>75</v>
      </c>
      <c r="R16" s="5">
        <v>48.7</v>
      </c>
      <c r="S16" s="5">
        <v>37.9</v>
      </c>
      <c r="T16" s="5">
        <v>42.9</v>
      </c>
      <c r="U16" s="5">
        <v>58.8</v>
      </c>
      <c r="V16" s="5">
        <v>313.89999999999998</v>
      </c>
      <c r="W16" s="5">
        <v>254.6</v>
      </c>
      <c r="X16" s="5">
        <v>376.7</v>
      </c>
      <c r="Y16" s="5">
        <v>519.70000000000005</v>
      </c>
      <c r="Z16" s="5">
        <v>373.7</v>
      </c>
      <c r="AA16" s="5">
        <v>526.4</v>
      </c>
      <c r="AB16" s="5">
        <v>267</v>
      </c>
    </row>
    <row r="17" spans="2:28">
      <c r="B17">
        <v>1991</v>
      </c>
      <c r="C17" s="15">
        <f t="shared" si="0"/>
        <v>86.594887218045116</v>
      </c>
      <c r="D17" s="15">
        <f t="shared" si="1"/>
        <v>51.354947368421044</v>
      </c>
      <c r="E17" s="15">
        <f t="shared" si="2"/>
        <v>44.035849624060141</v>
      </c>
      <c r="F17" s="15">
        <f t="shared" si="3"/>
        <v>37.288421052631577</v>
      </c>
      <c r="G17" s="15">
        <f t="shared" si="4"/>
        <v>48.399157894736831</v>
      </c>
      <c r="H17" s="15">
        <f t="shared" si="5"/>
        <v>58.726015037593982</v>
      </c>
      <c r="I17" s="15">
        <f t="shared" si="6"/>
        <v>85.386586466165411</v>
      </c>
      <c r="J17" s="15">
        <f t="shared" si="7"/>
        <v>126.93870676691729</v>
      </c>
      <c r="K17" s="15">
        <f t="shared" si="8"/>
        <v>189.607956000001</v>
      </c>
      <c r="L17" s="15">
        <f t="shared" si="9"/>
        <v>189.607956000001</v>
      </c>
      <c r="M17" s="15">
        <f t="shared" si="10"/>
        <v>104.52451127819549</v>
      </c>
      <c r="N17" s="15">
        <f t="shared" si="11"/>
        <v>64.91260150375939</v>
      </c>
      <c r="O17" s="35">
        <f t="shared" si="12"/>
        <v>1087.3775962105283</v>
      </c>
      <c r="Q17" s="5">
        <v>129</v>
      </c>
      <c r="R17" s="5">
        <v>84.7</v>
      </c>
      <c r="S17" s="5">
        <v>65.599999999999994</v>
      </c>
      <c r="T17" s="5">
        <v>57.4</v>
      </c>
      <c r="U17" s="5">
        <v>72.099999999999994</v>
      </c>
      <c r="V17" s="5">
        <v>90.4</v>
      </c>
      <c r="W17" s="5">
        <v>127.2</v>
      </c>
      <c r="X17" s="5">
        <v>189.1</v>
      </c>
      <c r="Y17" s="5">
        <v>292.89999999999998</v>
      </c>
      <c r="Z17" s="5">
        <v>341.1</v>
      </c>
      <c r="AA17" s="5">
        <v>160.9</v>
      </c>
      <c r="AB17" s="5">
        <v>96.7</v>
      </c>
    </row>
    <row r="18" spans="2:28">
      <c r="B18">
        <v>1992</v>
      </c>
      <c r="C18" s="15">
        <f t="shared" si="0"/>
        <v>43.767338345864658</v>
      </c>
      <c r="D18" s="15">
        <f t="shared" si="1"/>
        <v>28.509834586466159</v>
      </c>
      <c r="E18" s="15">
        <f t="shared" si="2"/>
        <v>24.837293233082704</v>
      </c>
      <c r="F18" s="15">
        <f t="shared" si="3"/>
        <v>30.597293233082706</v>
      </c>
      <c r="G18" s="15">
        <f t="shared" si="4"/>
        <v>55.716090225563903</v>
      </c>
      <c r="H18" s="15">
        <f t="shared" si="5"/>
        <v>135.18676691729323</v>
      </c>
      <c r="I18" s="15">
        <f t="shared" si="6"/>
        <v>162.11368421052632</v>
      </c>
      <c r="J18" s="15">
        <f t="shared" si="7"/>
        <v>189.607956000001</v>
      </c>
      <c r="K18" s="15">
        <f t="shared" si="8"/>
        <v>189.607956000001</v>
      </c>
      <c r="L18" s="15">
        <f t="shared" si="9"/>
        <v>189.607956000001</v>
      </c>
      <c r="M18" s="15">
        <f t="shared" si="10"/>
        <v>189.607956000001</v>
      </c>
      <c r="N18" s="15">
        <f t="shared" si="11"/>
        <v>123.91795488721804</v>
      </c>
      <c r="O18" s="35">
        <f t="shared" si="12"/>
        <v>1363.0780796391016</v>
      </c>
      <c r="Q18" s="5">
        <v>65.2</v>
      </c>
      <c r="R18" s="5">
        <v>45.4</v>
      </c>
      <c r="S18" s="5">
        <v>37</v>
      </c>
      <c r="T18" s="5">
        <v>47.1</v>
      </c>
      <c r="U18" s="5">
        <v>83</v>
      </c>
      <c r="V18" s="5">
        <v>208.1</v>
      </c>
      <c r="W18" s="5">
        <v>241.5</v>
      </c>
      <c r="X18" s="5">
        <v>396.5</v>
      </c>
      <c r="Y18" s="5">
        <v>408.9</v>
      </c>
      <c r="Z18" s="5">
        <v>471.9</v>
      </c>
      <c r="AA18" s="5">
        <v>474.8</v>
      </c>
      <c r="AB18" s="5">
        <v>184.6</v>
      </c>
    </row>
    <row r="19" spans="2:28">
      <c r="B19">
        <v>1993</v>
      </c>
      <c r="C19" s="15">
        <f t="shared" si="0"/>
        <v>70.618466165413523</v>
      </c>
      <c r="D19" s="15">
        <f t="shared" si="1"/>
        <v>41.532631578947367</v>
      </c>
      <c r="E19" s="15">
        <f t="shared" si="2"/>
        <v>39.471157894736841</v>
      </c>
      <c r="F19" s="15">
        <f t="shared" si="3"/>
        <v>33.130827067669173</v>
      </c>
      <c r="G19" s="15">
        <f t="shared" si="4"/>
        <v>57.19290225563909</v>
      </c>
      <c r="H19" s="15">
        <f t="shared" si="5"/>
        <v>78.279699248120295</v>
      </c>
      <c r="I19" s="15">
        <f t="shared" si="6"/>
        <v>130.76499248120302</v>
      </c>
      <c r="J19" s="15">
        <f t="shared" si="7"/>
        <v>142.84800000000001</v>
      </c>
      <c r="K19" s="15">
        <f t="shared" si="8"/>
        <v>170.33142857142857</v>
      </c>
      <c r="L19" s="15">
        <f t="shared" si="9"/>
        <v>189.607956000001</v>
      </c>
      <c r="M19" s="15">
        <f t="shared" si="10"/>
        <v>171.17593984962403</v>
      </c>
      <c r="N19" s="15">
        <f t="shared" si="11"/>
        <v>189.607956000001</v>
      </c>
      <c r="O19" s="35">
        <f t="shared" si="12"/>
        <v>1314.5619571127838</v>
      </c>
      <c r="Q19" s="5">
        <v>105.2</v>
      </c>
      <c r="R19" s="5">
        <v>68.5</v>
      </c>
      <c r="S19" s="5">
        <v>58.8</v>
      </c>
      <c r="T19" s="5">
        <v>51</v>
      </c>
      <c r="U19" s="5">
        <v>85.2</v>
      </c>
      <c r="V19" s="5">
        <v>120.5</v>
      </c>
      <c r="W19" s="5">
        <v>194.8</v>
      </c>
      <c r="X19" s="5">
        <v>212.8</v>
      </c>
      <c r="Y19" s="5">
        <v>262.2</v>
      </c>
      <c r="Z19" s="5">
        <v>762.3</v>
      </c>
      <c r="AA19" s="5">
        <v>263.5</v>
      </c>
      <c r="AB19" s="5">
        <v>590.4</v>
      </c>
    </row>
    <row r="20" spans="2:28">
      <c r="B20">
        <v>1994</v>
      </c>
      <c r="C20" s="15">
        <f t="shared" si="0"/>
        <v>143.51927819548871</v>
      </c>
      <c r="D20" s="15">
        <f t="shared" si="1"/>
        <v>64.815157894736842</v>
      </c>
      <c r="E20" s="15">
        <f t="shared" si="2"/>
        <v>46.452451127819543</v>
      </c>
      <c r="F20" s="15">
        <f t="shared" si="3"/>
        <v>47.942255639097745</v>
      </c>
      <c r="G20" s="15">
        <f t="shared" si="4"/>
        <v>75.384541353383455</v>
      </c>
      <c r="H20" s="15">
        <f t="shared" si="5"/>
        <v>99.587368421052616</v>
      </c>
      <c r="I20" s="15">
        <f t="shared" si="6"/>
        <v>181.51362406015033</v>
      </c>
      <c r="J20" s="15">
        <f t="shared" si="7"/>
        <v>163.0534736842105</v>
      </c>
      <c r="K20" s="15">
        <f t="shared" si="8"/>
        <v>189.607956000001</v>
      </c>
      <c r="L20" s="15">
        <f t="shared" si="9"/>
        <v>189.607956000001</v>
      </c>
      <c r="M20" s="15">
        <f t="shared" si="10"/>
        <v>144.15157894736842</v>
      </c>
      <c r="N20" s="15">
        <f t="shared" si="11"/>
        <v>97.670977443609019</v>
      </c>
      <c r="O20" s="35">
        <f t="shared" si="12"/>
        <v>1443.3066187669192</v>
      </c>
      <c r="Q20" s="5">
        <v>213.8</v>
      </c>
      <c r="R20" s="5">
        <v>106.9</v>
      </c>
      <c r="S20" s="5">
        <v>69.2</v>
      </c>
      <c r="T20" s="5">
        <v>73.8</v>
      </c>
      <c r="U20" s="5">
        <v>112.3</v>
      </c>
      <c r="V20" s="5">
        <v>153.30000000000001</v>
      </c>
      <c r="W20" s="5">
        <v>270.39999999999998</v>
      </c>
      <c r="X20" s="5">
        <v>242.9</v>
      </c>
      <c r="Y20" s="5">
        <v>338.4</v>
      </c>
      <c r="Z20" s="5">
        <v>325.3</v>
      </c>
      <c r="AA20" s="5">
        <v>221.9</v>
      </c>
      <c r="AB20" s="5">
        <v>145.5</v>
      </c>
    </row>
    <row r="21" spans="2:28">
      <c r="B21">
        <v>1995</v>
      </c>
      <c r="C21" s="15">
        <f t="shared" si="0"/>
        <v>55.648962406015038</v>
      </c>
      <c r="D21" s="15">
        <f t="shared" si="1"/>
        <v>34.07494736842105</v>
      </c>
      <c r="E21" s="15">
        <f t="shared" si="2"/>
        <v>28.999218045112784</v>
      </c>
      <c r="F21" s="15">
        <f t="shared" si="3"/>
        <v>25.33533834586466</v>
      </c>
      <c r="G21" s="15">
        <f t="shared" si="4"/>
        <v>37.524451127819546</v>
      </c>
      <c r="H21" s="15">
        <f t="shared" si="5"/>
        <v>51.645112781954886</v>
      </c>
      <c r="I21" s="15">
        <f t="shared" si="6"/>
        <v>109.55260150375939</v>
      </c>
      <c r="J21" s="15">
        <f t="shared" si="7"/>
        <v>114.72144360902254</v>
      </c>
      <c r="K21" s="15">
        <f t="shared" si="8"/>
        <v>189.607956000001</v>
      </c>
      <c r="L21" s="15">
        <f t="shared" si="9"/>
        <v>189.607956000001</v>
      </c>
      <c r="M21" s="15">
        <f t="shared" si="10"/>
        <v>181.56992481203008</v>
      </c>
      <c r="N21" s="15">
        <f t="shared" si="11"/>
        <v>149.22514285714283</v>
      </c>
      <c r="O21" s="35">
        <f t="shared" si="12"/>
        <v>1167.5130548571447</v>
      </c>
      <c r="Q21" s="5">
        <v>82.9</v>
      </c>
      <c r="R21" s="5">
        <v>56.2</v>
      </c>
      <c r="S21" s="5">
        <v>43.2</v>
      </c>
      <c r="T21" s="5">
        <v>39</v>
      </c>
      <c r="U21" s="5">
        <v>55.9</v>
      </c>
      <c r="V21" s="5">
        <v>79.5</v>
      </c>
      <c r="W21" s="5">
        <v>163.19999999999999</v>
      </c>
      <c r="X21" s="5">
        <v>170.9</v>
      </c>
      <c r="Y21" s="5">
        <v>328.8</v>
      </c>
      <c r="Z21" s="5">
        <v>446.3</v>
      </c>
      <c r="AA21" s="5">
        <v>279.5</v>
      </c>
      <c r="AB21" s="5">
        <v>222.3</v>
      </c>
    </row>
    <row r="22" spans="2:28">
      <c r="B22">
        <v>1996</v>
      </c>
      <c r="C22" s="15">
        <f t="shared" si="0"/>
        <v>119.75603007518797</v>
      </c>
      <c r="D22" s="15">
        <f t="shared" si="1"/>
        <v>49.170045112781942</v>
      </c>
      <c r="E22" s="15">
        <f t="shared" si="2"/>
        <v>32.087097744360896</v>
      </c>
      <c r="F22" s="15">
        <f t="shared" si="3"/>
        <v>35.014736842105265</v>
      </c>
      <c r="G22" s="15">
        <f t="shared" si="4"/>
        <v>117.40655639097744</v>
      </c>
      <c r="H22" s="15">
        <f t="shared" si="5"/>
        <v>162.470977443609</v>
      </c>
      <c r="I22" s="15">
        <f t="shared" si="6"/>
        <v>189.607956000001</v>
      </c>
      <c r="J22" s="15">
        <f t="shared" si="7"/>
        <v>189.607956000001</v>
      </c>
      <c r="K22" s="15">
        <f t="shared" si="8"/>
        <v>189.607956000001</v>
      </c>
      <c r="L22" s="15">
        <f t="shared" si="9"/>
        <v>189.607956000001</v>
      </c>
      <c r="M22" s="15">
        <f t="shared" si="10"/>
        <v>189.607956000001</v>
      </c>
      <c r="N22" s="15">
        <f t="shared" si="11"/>
        <v>189.607956000001</v>
      </c>
      <c r="O22" s="35">
        <f t="shared" si="12"/>
        <v>1653.5531796090283</v>
      </c>
      <c r="Q22" s="5">
        <v>178.4</v>
      </c>
      <c r="R22" s="5">
        <v>78.3</v>
      </c>
      <c r="S22" s="5">
        <v>47.8</v>
      </c>
      <c r="T22" s="5">
        <v>53.9</v>
      </c>
      <c r="U22" s="5">
        <v>174.9</v>
      </c>
      <c r="V22" s="5">
        <v>250.1</v>
      </c>
      <c r="W22" s="5">
        <v>297.10000000000002</v>
      </c>
      <c r="X22" s="5">
        <v>326.89999999999998</v>
      </c>
      <c r="Y22" s="5">
        <v>468.8</v>
      </c>
      <c r="Z22" s="5">
        <v>647.6</v>
      </c>
      <c r="AA22" s="5">
        <v>767</v>
      </c>
      <c r="AB22" s="5">
        <v>646</v>
      </c>
    </row>
    <row r="23" spans="2:28">
      <c r="B23">
        <v>1997</v>
      </c>
      <c r="C23" s="15">
        <f t="shared" si="0"/>
        <v>189.607956000001</v>
      </c>
      <c r="D23" s="15">
        <f t="shared" si="1"/>
        <v>77.426526315789474</v>
      </c>
      <c r="E23" s="15">
        <f t="shared" si="2"/>
        <v>41.149353383458646</v>
      </c>
      <c r="F23" s="15">
        <f t="shared" si="3"/>
        <v>65.61203007518796</v>
      </c>
      <c r="G23" s="15">
        <f t="shared" si="4"/>
        <v>91.025323308270671</v>
      </c>
      <c r="H23" s="15">
        <f t="shared" si="5"/>
        <v>85.165714285714287</v>
      </c>
      <c r="I23" s="15">
        <f t="shared" si="6"/>
        <v>189.607956000001</v>
      </c>
      <c r="J23" s="15">
        <f t="shared" si="7"/>
        <v>189.607956000001</v>
      </c>
      <c r="K23" s="15">
        <f t="shared" si="8"/>
        <v>189.607956000001</v>
      </c>
      <c r="L23" s="15">
        <f t="shared" si="9"/>
        <v>189.607956000001</v>
      </c>
      <c r="M23" s="15">
        <f t="shared" si="10"/>
        <v>186.37714285714284</v>
      </c>
      <c r="N23" s="15">
        <f t="shared" si="11"/>
        <v>77.53263157894736</v>
      </c>
      <c r="O23" s="35">
        <f t="shared" si="12"/>
        <v>1572.3285018045162</v>
      </c>
      <c r="Q23" s="5">
        <v>304.10000000000002</v>
      </c>
      <c r="R23" s="5">
        <v>127.7</v>
      </c>
      <c r="S23" s="5">
        <v>61.3</v>
      </c>
      <c r="T23" s="5">
        <v>101</v>
      </c>
      <c r="U23" s="5">
        <v>135.6</v>
      </c>
      <c r="V23" s="5">
        <v>131.1</v>
      </c>
      <c r="W23" s="5">
        <v>294.8</v>
      </c>
      <c r="X23" s="5">
        <v>416.1</v>
      </c>
      <c r="Y23" s="5">
        <v>434.9</v>
      </c>
      <c r="Z23" s="5">
        <v>402.6</v>
      </c>
      <c r="AA23" s="5">
        <v>286.89999999999998</v>
      </c>
      <c r="AB23" s="5">
        <v>115.5</v>
      </c>
    </row>
    <row r="24" spans="2:28">
      <c r="B24">
        <v>1998</v>
      </c>
      <c r="C24" s="15">
        <f t="shared" si="0"/>
        <v>45.042766917293221</v>
      </c>
      <c r="D24" s="15">
        <f t="shared" si="1"/>
        <v>27.284210526315789</v>
      </c>
      <c r="E24" s="15">
        <f t="shared" si="2"/>
        <v>17.923127819548871</v>
      </c>
      <c r="F24" s="15">
        <f t="shared" si="3"/>
        <v>15.980751879699246</v>
      </c>
      <c r="G24" s="15">
        <f t="shared" si="4"/>
        <v>41.484992481203008</v>
      </c>
      <c r="H24" s="15">
        <f t="shared" si="5"/>
        <v>44.36932330827068</v>
      </c>
      <c r="I24" s="15">
        <f t="shared" si="6"/>
        <v>77.80114285714285</v>
      </c>
      <c r="J24" s="15">
        <f t="shared" si="7"/>
        <v>124.18646616541353</v>
      </c>
      <c r="K24" s="15">
        <f t="shared" si="8"/>
        <v>133.17293233082705</v>
      </c>
      <c r="L24" s="15">
        <f t="shared" si="9"/>
        <v>189.607956000001</v>
      </c>
      <c r="M24" s="15">
        <f t="shared" si="10"/>
        <v>189.607956000001</v>
      </c>
      <c r="N24" s="15">
        <f t="shared" si="11"/>
        <v>189.607956000001</v>
      </c>
      <c r="O24" s="35">
        <f t="shared" si="12"/>
        <v>1096.0695822857172</v>
      </c>
      <c r="Q24" s="5">
        <v>67.099999999999994</v>
      </c>
      <c r="R24" s="5">
        <v>45</v>
      </c>
      <c r="S24" s="5">
        <v>26.7</v>
      </c>
      <c r="T24" s="5">
        <v>24.6</v>
      </c>
      <c r="U24" s="5">
        <v>61.8</v>
      </c>
      <c r="V24" s="5">
        <v>68.3</v>
      </c>
      <c r="W24" s="5">
        <v>115.9</v>
      </c>
      <c r="X24" s="5">
        <v>185</v>
      </c>
      <c r="Y24" s="5">
        <v>205</v>
      </c>
      <c r="Z24" s="5">
        <v>427.7</v>
      </c>
      <c r="AA24" s="5">
        <v>957.4</v>
      </c>
      <c r="AB24" s="5">
        <v>867.5</v>
      </c>
    </row>
    <row r="25" spans="2:28">
      <c r="B25">
        <v>1999</v>
      </c>
      <c r="C25" s="15">
        <f t="shared" si="0"/>
        <v>189.607956000001</v>
      </c>
      <c r="D25" s="15">
        <f t="shared" si="1"/>
        <v>94.221473684210508</v>
      </c>
      <c r="E25" s="15">
        <f t="shared" si="2"/>
        <v>64.711218045112787</v>
      </c>
      <c r="F25" s="15">
        <f t="shared" si="3"/>
        <v>79.254135338345861</v>
      </c>
      <c r="G25" s="15">
        <f t="shared" si="4"/>
        <v>189.607956000001</v>
      </c>
      <c r="H25" s="15">
        <f t="shared" si="5"/>
        <v>189.607956000001</v>
      </c>
      <c r="I25" s="15">
        <f t="shared" si="6"/>
        <v>189.607956000001</v>
      </c>
      <c r="J25" s="15">
        <f t="shared" si="7"/>
        <v>189.607956000001</v>
      </c>
      <c r="K25" s="15">
        <f t="shared" si="8"/>
        <v>189.607956000001</v>
      </c>
      <c r="L25" s="15">
        <f t="shared" si="9"/>
        <v>189.607956000001</v>
      </c>
      <c r="M25" s="15">
        <f t="shared" si="10"/>
        <v>189.607956000001</v>
      </c>
      <c r="N25" s="15">
        <f t="shared" si="11"/>
        <v>189.607956000001</v>
      </c>
      <c r="O25" s="35">
        <f t="shared" si="12"/>
        <v>1944.6584310676781</v>
      </c>
      <c r="Q25" s="5">
        <v>331.9</v>
      </c>
      <c r="R25" s="5">
        <v>155.4</v>
      </c>
      <c r="S25" s="5">
        <v>96.4</v>
      </c>
      <c r="T25" s="5">
        <v>122</v>
      </c>
      <c r="U25" s="5">
        <v>357.8</v>
      </c>
      <c r="V25" s="5">
        <v>451.4</v>
      </c>
      <c r="W25" s="5">
        <v>306.2</v>
      </c>
      <c r="X25" s="5">
        <v>462.1</v>
      </c>
      <c r="Y25" s="5">
        <v>389.8</v>
      </c>
      <c r="Z25" s="5">
        <v>444.8</v>
      </c>
      <c r="AA25" s="5">
        <v>634</v>
      </c>
      <c r="AB25" s="5">
        <v>662.8</v>
      </c>
    </row>
    <row r="26" spans="2:28">
      <c r="B26">
        <v>2000</v>
      </c>
      <c r="C26" s="15">
        <f t="shared" si="0"/>
        <v>154.39398496240602</v>
      </c>
      <c r="D26" s="15">
        <f t="shared" si="1"/>
        <v>81.322105263157894</v>
      </c>
      <c r="E26" s="15">
        <f t="shared" si="2"/>
        <v>57.52854135338346</v>
      </c>
      <c r="F26" s="15">
        <f t="shared" si="3"/>
        <v>73.472481203007519</v>
      </c>
      <c r="G26" s="15">
        <f t="shared" si="4"/>
        <v>106.80036090225563</v>
      </c>
      <c r="H26" s="15">
        <f t="shared" si="5"/>
        <v>166.6935338345865</v>
      </c>
      <c r="I26" s="15">
        <f t="shared" si="6"/>
        <v>189.607956000001</v>
      </c>
      <c r="J26" s="15">
        <f t="shared" si="7"/>
        <v>189.607956000001</v>
      </c>
      <c r="K26" s="15">
        <f t="shared" si="8"/>
        <v>189.607956000001</v>
      </c>
      <c r="L26" s="15">
        <f t="shared" si="9"/>
        <v>189.607956000001</v>
      </c>
      <c r="M26" s="15">
        <f t="shared" si="10"/>
        <v>189.607956000001</v>
      </c>
      <c r="N26" s="15">
        <f t="shared" si="11"/>
        <v>189.607956000001</v>
      </c>
      <c r="O26" s="35">
        <f t="shared" si="12"/>
        <v>1777.8587435188028</v>
      </c>
      <c r="Q26" s="5">
        <v>230</v>
      </c>
      <c r="R26" s="5">
        <v>129.5</v>
      </c>
      <c r="S26" s="5">
        <v>85.7</v>
      </c>
      <c r="T26" s="5">
        <v>113.1</v>
      </c>
      <c r="U26" s="5">
        <v>159.1</v>
      </c>
      <c r="V26" s="5">
        <v>256.60000000000002</v>
      </c>
      <c r="W26" s="5">
        <v>341.1</v>
      </c>
      <c r="X26" s="5">
        <v>339</v>
      </c>
      <c r="Y26" s="5">
        <v>542.5</v>
      </c>
      <c r="Z26" s="5">
        <v>1217.0999999999999</v>
      </c>
      <c r="AA26" s="5">
        <v>526.5</v>
      </c>
      <c r="AB26" s="5">
        <v>551.5</v>
      </c>
    </row>
    <row r="27" spans="2:28">
      <c r="B27">
        <v>2001</v>
      </c>
      <c r="C27" s="15">
        <f t="shared" si="0"/>
        <v>146.13726315789472</v>
      </c>
      <c r="D27" s="15">
        <f t="shared" si="1"/>
        <v>64.754526315789477</v>
      </c>
      <c r="E27" s="15">
        <f t="shared" si="2"/>
        <v>62.361744360902257</v>
      </c>
      <c r="F27" s="15">
        <f t="shared" si="3"/>
        <v>53.853834586466164</v>
      </c>
      <c r="G27" s="15">
        <f t="shared" si="4"/>
        <v>65.18111278195488</v>
      </c>
      <c r="H27" s="15">
        <f t="shared" si="5"/>
        <v>111.86526315789473</v>
      </c>
      <c r="I27" s="15">
        <f t="shared" si="6"/>
        <v>130.02658646616538</v>
      </c>
      <c r="J27" s="15">
        <f t="shared" si="7"/>
        <v>189.607956000001</v>
      </c>
      <c r="K27" s="15">
        <f t="shared" si="8"/>
        <v>189.607956000001</v>
      </c>
      <c r="L27" s="15">
        <f t="shared" si="9"/>
        <v>189.607956000001</v>
      </c>
      <c r="M27" s="15">
        <f t="shared" si="10"/>
        <v>189.607956000001</v>
      </c>
      <c r="N27" s="15">
        <f t="shared" si="11"/>
        <v>119.48751879699248</v>
      </c>
      <c r="O27" s="35">
        <f t="shared" si="12"/>
        <v>1512.0996736240638</v>
      </c>
      <c r="Q27" s="5">
        <v>217.7</v>
      </c>
      <c r="R27" s="5">
        <v>106.8</v>
      </c>
      <c r="S27" s="5">
        <v>92.9</v>
      </c>
      <c r="T27" s="5">
        <v>82.9</v>
      </c>
      <c r="U27" s="5">
        <v>97.1</v>
      </c>
      <c r="V27" s="5">
        <v>172.2</v>
      </c>
      <c r="W27" s="5">
        <v>193.7</v>
      </c>
      <c r="X27" s="5">
        <v>524.1</v>
      </c>
      <c r="Y27" s="5">
        <v>443.7</v>
      </c>
      <c r="Z27" s="5">
        <v>343.2</v>
      </c>
      <c r="AA27" s="5">
        <v>296</v>
      </c>
      <c r="AB27" s="5">
        <v>178</v>
      </c>
    </row>
    <row r="28" spans="2:28">
      <c r="B28">
        <v>2002</v>
      </c>
      <c r="C28" s="15">
        <f t="shared" si="0"/>
        <v>66.926436090225565</v>
      </c>
      <c r="D28" s="15">
        <f t="shared" si="1"/>
        <v>36.682105263157887</v>
      </c>
      <c r="E28" s="15">
        <f t="shared" si="2"/>
        <v>26.38123308270676</v>
      </c>
      <c r="F28" s="15">
        <f t="shared" si="3"/>
        <v>25.465263157894736</v>
      </c>
      <c r="G28" s="15">
        <f t="shared" si="4"/>
        <v>28.596451127819545</v>
      </c>
      <c r="H28" s="15">
        <f t="shared" si="5"/>
        <v>79.773834586466165</v>
      </c>
      <c r="I28" s="15">
        <f t="shared" si="6"/>
        <v>75.921563909774434</v>
      </c>
      <c r="J28" s="15">
        <f t="shared" si="7"/>
        <v>189.607956000001</v>
      </c>
      <c r="K28" s="15">
        <f t="shared" si="8"/>
        <v>189.607956000001</v>
      </c>
      <c r="L28" s="15">
        <f t="shared" si="9"/>
        <v>189.607956000001</v>
      </c>
      <c r="M28" s="15">
        <f t="shared" si="10"/>
        <v>189.607956000001</v>
      </c>
      <c r="N28" s="15">
        <f t="shared" si="11"/>
        <v>121.16571428571429</v>
      </c>
      <c r="O28" s="35">
        <f t="shared" si="12"/>
        <v>1219.3444255037634</v>
      </c>
      <c r="Q28" s="5">
        <v>99.7</v>
      </c>
      <c r="R28" s="5">
        <v>60.5</v>
      </c>
      <c r="S28" s="5">
        <v>39.299999999999997</v>
      </c>
      <c r="T28" s="5">
        <v>39.200000000000003</v>
      </c>
      <c r="U28" s="5">
        <v>42.6</v>
      </c>
      <c r="V28" s="5">
        <v>122.8</v>
      </c>
      <c r="W28" s="5">
        <v>113.1</v>
      </c>
      <c r="X28" s="5">
        <v>459.6</v>
      </c>
      <c r="Y28" s="5">
        <v>471.5</v>
      </c>
      <c r="Z28" s="5">
        <v>302.3</v>
      </c>
      <c r="AA28" s="5">
        <v>344.5</v>
      </c>
      <c r="AB28" s="5">
        <v>180.5</v>
      </c>
    </row>
    <row r="29" spans="2:28">
      <c r="B29">
        <v>2003</v>
      </c>
      <c r="C29" s="15">
        <f t="shared" si="0"/>
        <v>63.077552803169745</v>
      </c>
      <c r="D29" s="15">
        <f t="shared" si="1"/>
        <v>35.292818169906106</v>
      </c>
      <c r="E29" s="15">
        <f t="shared" si="2"/>
        <v>27.395776045923938</v>
      </c>
      <c r="F29" s="15">
        <f t="shared" si="3"/>
        <v>25.309063164134404</v>
      </c>
      <c r="G29" s="15">
        <f t="shared" si="4"/>
        <v>57.270220097962742</v>
      </c>
      <c r="H29" s="15">
        <f t="shared" si="5"/>
        <v>81.965941110036496</v>
      </c>
      <c r="I29" s="15">
        <f t="shared" si="6"/>
        <v>99.658764171840389</v>
      </c>
      <c r="J29" s="15">
        <f t="shared" si="7"/>
        <v>154.85622437837333</v>
      </c>
      <c r="K29" s="15">
        <f t="shared" si="8"/>
        <v>186.64067637974603</v>
      </c>
      <c r="L29" s="15">
        <f t="shared" si="9"/>
        <v>189.607956000001</v>
      </c>
      <c r="M29" s="15">
        <f t="shared" si="10"/>
        <v>189.607956000001</v>
      </c>
      <c r="N29" s="15">
        <f t="shared" si="11"/>
        <v>108.55492989735751</v>
      </c>
      <c r="O29" s="35">
        <f t="shared" si="12"/>
        <v>1219.2378782184528</v>
      </c>
      <c r="Q29" s="5">
        <v>93.966336501137732</v>
      </c>
      <c r="R29" s="5">
        <v>58.208641078838177</v>
      </c>
      <c r="S29" s="5">
        <v>40.811359925043504</v>
      </c>
      <c r="T29" s="5">
        <v>38.959553250345792</v>
      </c>
      <c r="U29" s="5">
        <v>85.315180029447191</v>
      </c>
      <c r="V29" s="5">
        <v>126.17442323651453</v>
      </c>
      <c r="W29" s="5">
        <v>148.46119662695759</v>
      </c>
      <c r="X29" s="5">
        <v>230.68859590416278</v>
      </c>
      <c r="Y29" s="5">
        <v>287.30567081604426</v>
      </c>
      <c r="Z29" s="5">
        <v>343.4864944451881</v>
      </c>
      <c r="AA29" s="5">
        <v>313.37070357554785</v>
      </c>
      <c r="AB29" s="5">
        <v>161.71377325659216</v>
      </c>
    </row>
    <row r="30" spans="2:28">
      <c r="B30">
        <v>2004</v>
      </c>
      <c r="C30" s="15">
        <f t="shared" si="0"/>
        <v>64.224278538670319</v>
      </c>
      <c r="D30" s="15">
        <f t="shared" si="1"/>
        <v>34.95880448007987</v>
      </c>
      <c r="E30" s="15">
        <f t="shared" si="2"/>
        <v>25.738949864287267</v>
      </c>
      <c r="F30" s="15">
        <f t="shared" si="3"/>
        <v>31.093703054316293</v>
      </c>
      <c r="G30" s="15">
        <f t="shared" si="4"/>
        <v>41.405510123857368</v>
      </c>
      <c r="H30" s="15">
        <f t="shared" si="5"/>
        <v>82.899631485352373</v>
      </c>
      <c r="I30" s="15">
        <f t="shared" si="6"/>
        <v>90.520817895360807</v>
      </c>
      <c r="J30" s="15">
        <f t="shared" si="7"/>
        <v>189.607956000001</v>
      </c>
      <c r="K30" s="15">
        <f t="shared" si="8"/>
        <v>127.15676660530995</v>
      </c>
      <c r="L30" s="15">
        <f t="shared" si="9"/>
        <v>86.248061647895668</v>
      </c>
      <c r="M30" s="15">
        <f t="shared" si="10"/>
        <v>54.620516769101172</v>
      </c>
      <c r="N30" s="15">
        <f t="shared" si="11"/>
        <v>52.993105169562909</v>
      </c>
      <c r="O30" s="35">
        <f t="shared" si="12"/>
        <v>881.46810163379484</v>
      </c>
      <c r="Q30" s="5">
        <v>95.674608486146425</v>
      </c>
      <c r="R30" s="5">
        <v>55.669552153383883</v>
      </c>
      <c r="S30" s="5">
        <v>38.343193682237988</v>
      </c>
      <c r="T30" s="5">
        <v>47.864149377593364</v>
      </c>
      <c r="U30" s="5">
        <v>61.681595502610094</v>
      </c>
      <c r="V30" s="5">
        <v>127.61170124481328</v>
      </c>
      <c r="W30" s="5">
        <v>134.84844063713024</v>
      </c>
      <c r="X30" s="5">
        <v>310.82233971355907</v>
      </c>
      <c r="Y30" s="5">
        <v>195.73900414937759</v>
      </c>
      <c r="Z30" s="5">
        <v>128.48333556418149</v>
      </c>
      <c r="AA30" s="5">
        <v>84.080193637621022</v>
      </c>
      <c r="AB30" s="5">
        <v>78.943581849819296</v>
      </c>
    </row>
    <row r="31" spans="2:28">
      <c r="B31">
        <v>2005</v>
      </c>
      <c r="C31" s="15">
        <f t="shared" si="0"/>
        <v>23.046879905157081</v>
      </c>
      <c r="D31" s="15">
        <f t="shared" si="1"/>
        <v>14.182700302623775</v>
      </c>
      <c r="E31" s="15">
        <f t="shared" si="2"/>
        <v>12.258406015037584</v>
      </c>
      <c r="F31" s="15">
        <f t="shared" si="3"/>
        <v>13.708397466695786</v>
      </c>
      <c r="G31" s="15">
        <f t="shared" si="4"/>
        <v>31.594866003182229</v>
      </c>
      <c r="H31" s="15">
        <f t="shared" si="5"/>
        <v>38.024571802951357</v>
      </c>
      <c r="I31" s="15">
        <f t="shared" si="6"/>
        <v>66.751720462983187</v>
      </c>
      <c r="J31" s="15">
        <f t="shared" si="7"/>
        <v>146.67531900290146</v>
      </c>
      <c r="K31" s="15">
        <f t="shared" si="8"/>
        <v>189.607956000001</v>
      </c>
      <c r="L31" s="15">
        <f t="shared" si="9"/>
        <v>189.607956000001</v>
      </c>
      <c r="M31" s="15">
        <f t="shared" si="10"/>
        <v>169.73553551929615</v>
      </c>
      <c r="N31" s="15">
        <f t="shared" si="11"/>
        <v>189.607956000001</v>
      </c>
      <c r="O31" s="35">
        <f t="shared" si="12"/>
        <v>1084.8022644808316</v>
      </c>
      <c r="Q31" s="5">
        <v>34.33282960781689</v>
      </c>
      <c r="R31" s="5">
        <v>23.391606401896855</v>
      </c>
      <c r="S31" s="5">
        <v>18.261290322580635</v>
      </c>
      <c r="T31" s="5">
        <v>21.10204702627939</v>
      </c>
      <c r="U31" s="5">
        <v>47.066724668719047</v>
      </c>
      <c r="V31" s="5">
        <v>58.533195020746888</v>
      </c>
      <c r="W31" s="5">
        <v>99.439726944184187</v>
      </c>
      <c r="X31" s="5">
        <v>218.50153928523628</v>
      </c>
      <c r="Y31" s="5">
        <v>521.1430152143846</v>
      </c>
      <c r="Z31" s="5">
        <v>323.97376522553873</v>
      </c>
      <c r="AA31" s="5">
        <v>261.28271092669434</v>
      </c>
      <c r="AB31" s="5">
        <v>661.06596718383753</v>
      </c>
    </row>
    <row r="32" spans="2:28">
      <c r="B32">
        <v>2006</v>
      </c>
      <c r="C32" s="15">
        <f t="shared" si="0"/>
        <v>150.23171871587678</v>
      </c>
      <c r="D32" s="15">
        <f t="shared" si="1"/>
        <v>57.860532493058372</v>
      </c>
      <c r="E32" s="15">
        <f t="shared" si="2"/>
        <v>45.560300751879701</v>
      </c>
      <c r="F32" s="15">
        <f t="shared" si="3"/>
        <v>43.194797616447751</v>
      </c>
      <c r="G32" s="15">
        <f t="shared" si="4"/>
        <v>63.561446354475393</v>
      </c>
      <c r="H32" s="15">
        <f t="shared" si="5"/>
        <v>76.428279661810151</v>
      </c>
      <c r="I32" s="15">
        <f t="shared" si="6"/>
        <v>167.75536817146599</v>
      </c>
      <c r="J32" s="15">
        <f t="shared" si="7"/>
        <v>189.607956000001</v>
      </c>
      <c r="K32" s="15">
        <f t="shared" si="8"/>
        <v>189.607956000001</v>
      </c>
      <c r="L32" s="15">
        <f t="shared" si="9"/>
        <v>189.607956000001</v>
      </c>
      <c r="M32" s="15">
        <f t="shared" si="10"/>
        <v>122.26692141141233</v>
      </c>
      <c r="N32" s="15">
        <f t="shared" si="11"/>
        <v>94.87351474120986</v>
      </c>
      <c r="O32" s="35">
        <f t="shared" si="12"/>
        <v>1390.5567479176393</v>
      </c>
      <c r="Q32" s="5">
        <v>223.79949136661759</v>
      </c>
      <c r="R32" s="5">
        <v>95.429697688203902</v>
      </c>
      <c r="S32" s="5">
        <v>67.870967741935488</v>
      </c>
      <c r="T32" s="5">
        <v>66.491991701244814</v>
      </c>
      <c r="U32" s="5">
        <v>94.687190469816628</v>
      </c>
      <c r="V32" s="5">
        <v>117.65001383125866</v>
      </c>
      <c r="W32" s="5">
        <v>249.90439030919555</v>
      </c>
      <c r="X32" s="5">
        <v>400.77760674608487</v>
      </c>
      <c r="Y32" s="5">
        <v>412.92697095435688</v>
      </c>
      <c r="Z32" s="5">
        <v>513.64382278142148</v>
      </c>
      <c r="AA32" s="5">
        <v>188.21181189488243</v>
      </c>
      <c r="AB32" s="5">
        <v>141.33263284700843</v>
      </c>
    </row>
    <row r="33" spans="1:28">
      <c r="B33">
        <v>2007</v>
      </c>
      <c r="C33" s="15">
        <f t="shared" si="0"/>
        <v>69.814010545034762</v>
      </c>
      <c r="D33" s="15">
        <f t="shared" si="1"/>
        <v>30.034411505943275</v>
      </c>
      <c r="E33" s="15">
        <f t="shared" si="2"/>
        <v>27.165474882226309</v>
      </c>
      <c r="F33" s="15">
        <f t="shared" si="3"/>
        <v>25.921212990983687</v>
      </c>
      <c r="G33" s="15">
        <f t="shared" si="4"/>
        <v>77.773333915702111</v>
      </c>
      <c r="H33" s="15">
        <f t="shared" si="5"/>
        <v>108.12909818113749</v>
      </c>
      <c r="I33" s="15">
        <f t="shared" si="6"/>
        <v>166.7500861697813</v>
      </c>
      <c r="J33" s="15">
        <f t="shared" si="7"/>
        <v>189.607956000001</v>
      </c>
      <c r="K33" s="15">
        <f t="shared" si="8"/>
        <v>189.607956000001</v>
      </c>
      <c r="L33" s="15">
        <f t="shared" si="9"/>
        <v>189.607956000001</v>
      </c>
      <c r="M33" s="15">
        <f t="shared" si="10"/>
        <v>189.607956000001</v>
      </c>
      <c r="N33" s="15">
        <f t="shared" si="11"/>
        <v>189.607956000001</v>
      </c>
      <c r="O33" s="35">
        <f t="shared" si="12"/>
        <v>1453.6274081908139</v>
      </c>
      <c r="Q33" s="5">
        <v>104.0016062106813</v>
      </c>
      <c r="R33" s="5">
        <v>49.53592175459395</v>
      </c>
      <c r="S33" s="5">
        <v>40.468281354571005</v>
      </c>
      <c r="T33" s="5">
        <v>39.901867219917015</v>
      </c>
      <c r="U33" s="5">
        <v>115.85857314951144</v>
      </c>
      <c r="V33" s="5">
        <v>166.44872752420471</v>
      </c>
      <c r="W33" s="5">
        <v>248.40682639539551</v>
      </c>
      <c r="X33" s="5">
        <v>876.28871636996382</v>
      </c>
      <c r="Y33" s="5">
        <v>617.21410788381741</v>
      </c>
      <c r="Z33" s="5">
        <v>697.26863873644754</v>
      </c>
      <c r="AA33" s="5">
        <v>735.29917012448129</v>
      </c>
      <c r="AB33" s="5">
        <v>322.4689064382278</v>
      </c>
    </row>
    <row r="34" spans="1:28">
      <c r="B34">
        <v>2008</v>
      </c>
      <c r="C34" s="15">
        <f t="shared" si="0"/>
        <v>112.84362574486005</v>
      </c>
      <c r="D34" s="15">
        <f t="shared" si="1"/>
        <v>64.226021651639471</v>
      </c>
      <c r="E34" s="15">
        <f t="shared" si="2"/>
        <v>50.166809222225694</v>
      </c>
      <c r="F34" s="15">
        <f t="shared" si="3"/>
        <v>44.47356865192026</v>
      </c>
      <c r="G34" s="15">
        <f t="shared" si="4"/>
        <v>115.47629239072789</v>
      </c>
      <c r="H34" s="15">
        <f t="shared" si="5"/>
        <v>108.29286094905314</v>
      </c>
      <c r="I34" s="15">
        <f t="shared" si="6"/>
        <v>118.38075886812464</v>
      </c>
      <c r="J34" s="15">
        <f t="shared" si="7"/>
        <v>189.607956000001</v>
      </c>
      <c r="K34" s="15">
        <f t="shared" si="8"/>
        <v>189.607956000001</v>
      </c>
      <c r="L34" s="15">
        <f t="shared" si="9"/>
        <v>189.607956000001</v>
      </c>
      <c r="M34" s="15">
        <f t="shared" si="10"/>
        <v>189.607956000001</v>
      </c>
      <c r="N34" s="15">
        <f t="shared" si="11"/>
        <v>189.607956000001</v>
      </c>
      <c r="O34" s="35">
        <f t="shared" si="12"/>
        <v>1561.8997174785561</v>
      </c>
      <c r="Q34" s="5">
        <v>168.10262347744612</v>
      </c>
      <c r="R34" s="5">
        <v>102.27563313778796</v>
      </c>
      <c r="S34" s="5">
        <v>74.733261946191959</v>
      </c>
      <c r="T34" s="5">
        <v>68.460470262793919</v>
      </c>
      <c r="U34" s="5">
        <v>172.02449471288986</v>
      </c>
      <c r="V34" s="5">
        <v>166.70081604426005</v>
      </c>
      <c r="W34" s="5">
        <v>176.35126489091152</v>
      </c>
      <c r="X34" s="5">
        <v>288.49129969214295</v>
      </c>
      <c r="Y34" s="5">
        <v>345.5317980636238</v>
      </c>
      <c r="Z34" s="5">
        <v>398.60503279346807</v>
      </c>
      <c r="AA34" s="5">
        <v>543.79918395573998</v>
      </c>
      <c r="AB34" s="5">
        <v>422.01270244947131</v>
      </c>
    </row>
    <row r="35" spans="1:28">
      <c r="B35">
        <v>2009</v>
      </c>
      <c r="C35" s="15">
        <f t="shared" si="0"/>
        <v>112.77473684210526</v>
      </c>
      <c r="D35" s="15">
        <f t="shared" si="1"/>
        <v>61.844210526315784</v>
      </c>
      <c r="E35" s="15">
        <f t="shared" si="2"/>
        <v>50.144481203007523</v>
      </c>
      <c r="F35" s="15">
        <f t="shared" si="3"/>
        <v>44.499248120300749</v>
      </c>
      <c r="G35" s="15">
        <f t="shared" si="4"/>
        <v>115.45984962406014</v>
      </c>
      <c r="H35" s="15">
        <f t="shared" si="5"/>
        <v>108.48721804511277</v>
      </c>
      <c r="I35" s="15">
        <f t="shared" si="6"/>
        <v>118.14496240601504</v>
      </c>
      <c r="J35" s="15">
        <f t="shared" si="7"/>
        <v>189.607956000001</v>
      </c>
      <c r="K35" s="15">
        <f t="shared" si="8"/>
        <v>189.607956000001</v>
      </c>
      <c r="L35" s="15">
        <f t="shared" si="9"/>
        <v>189.607956000001</v>
      </c>
      <c r="M35" s="15">
        <f t="shared" si="10"/>
        <v>189.607956000001</v>
      </c>
      <c r="N35" s="15">
        <f t="shared" si="11"/>
        <v>189.607956000001</v>
      </c>
      <c r="O35" s="35">
        <f t="shared" si="12"/>
        <v>1559.3944867669222</v>
      </c>
      <c r="Q35" s="5">
        <v>168</v>
      </c>
      <c r="R35" s="5">
        <v>102</v>
      </c>
      <c r="S35" s="5">
        <v>74.7</v>
      </c>
      <c r="T35" s="5">
        <v>68.5</v>
      </c>
      <c r="U35" s="5">
        <v>172</v>
      </c>
      <c r="V35" s="5">
        <v>167</v>
      </c>
      <c r="W35" s="5">
        <v>176</v>
      </c>
      <c r="X35" s="5">
        <v>288</v>
      </c>
      <c r="Y35" s="5">
        <v>346</v>
      </c>
      <c r="Z35" s="5">
        <v>399</v>
      </c>
      <c r="AA35" s="5">
        <v>544</v>
      </c>
      <c r="AB35" s="5">
        <v>422</v>
      </c>
    </row>
    <row r="36" spans="1:28">
      <c r="A36" s="48"/>
      <c r="B36" s="47">
        <v>2010</v>
      </c>
      <c r="C36" s="15">
        <f t="shared" si="0"/>
        <v>49.054083780880816</v>
      </c>
      <c r="D36" s="15">
        <f t="shared" si="1"/>
        <v>25.827212316505552</v>
      </c>
      <c r="E36" s="15">
        <f t="shared" si="2"/>
        <v>43.897365556749008</v>
      </c>
      <c r="F36" s="15">
        <f t="shared" si="3"/>
        <v>33.118384532760508</v>
      </c>
      <c r="G36" s="15">
        <f t="shared" si="4"/>
        <v>33.610713927676329</v>
      </c>
      <c r="H36" s="15">
        <f t="shared" si="5"/>
        <v>54.961738274256987</v>
      </c>
      <c r="I36" s="15">
        <f t="shared" si="6"/>
        <v>95.329323308270688</v>
      </c>
      <c r="J36" s="15">
        <f t="shared" si="7"/>
        <v>112.68161224489795</v>
      </c>
      <c r="K36" s="15">
        <f t="shared" si="8"/>
        <v>135.85947010383097</v>
      </c>
      <c r="L36" s="15">
        <f t="shared" si="9"/>
        <v>110.63770175438604</v>
      </c>
      <c r="M36" s="15">
        <f t="shared" si="10"/>
        <v>189.607956000001</v>
      </c>
      <c r="N36" s="15">
        <f t="shared" si="11"/>
        <v>189.607956000001</v>
      </c>
      <c r="O36" s="35">
        <f t="shared" si="12"/>
        <v>1074.193517800217</v>
      </c>
      <c r="Q36" s="5">
        <v>73.075640040962696</v>
      </c>
      <c r="R36" s="5">
        <v>42.596964758125473</v>
      </c>
      <c r="S36" s="5">
        <v>65.393700930192864</v>
      </c>
      <c r="T36" s="5">
        <v>50.980846560846622</v>
      </c>
      <c r="U36" s="5">
        <v>50.069723928998123</v>
      </c>
      <c r="V36" s="5">
        <v>84.605453593474309</v>
      </c>
      <c r="W36" s="5">
        <v>142.01164874551975</v>
      </c>
      <c r="X36" s="5">
        <v>167.86127272145416</v>
      </c>
      <c r="Y36" s="5">
        <v>209.13552689594354</v>
      </c>
      <c r="Z36" s="5">
        <v>164.81646878733582</v>
      </c>
      <c r="AA36" s="5">
        <v>523.56312632275115</v>
      </c>
      <c r="AB36" s="5">
        <v>311.84394761264713</v>
      </c>
    </row>
    <row r="37" spans="1:28">
      <c r="B37" s="8">
        <v>2011</v>
      </c>
      <c r="C37" s="5">
        <f>'2011'!C4</f>
        <v>67.007400000000018</v>
      </c>
      <c r="D37" s="5">
        <f>'2011'!D4</f>
        <v>33.693700000000078</v>
      </c>
      <c r="E37" s="5">
        <f>'2011'!E4</f>
        <v>61.754800000000046</v>
      </c>
      <c r="F37" s="5">
        <f>'2011'!F4</f>
        <v>58.139919999999996</v>
      </c>
      <c r="G37" s="5">
        <f>'2011'!G4</f>
        <v>41.222000000000001</v>
      </c>
      <c r="H37" s="5">
        <f>'2011'!H4</f>
        <v>134.8409</v>
      </c>
      <c r="I37" s="5">
        <f>'2011'!I4</f>
        <v>138.4777</v>
      </c>
      <c r="J37" s="5">
        <f>'2011'!J4</f>
        <v>165.65899999999999</v>
      </c>
      <c r="K37" s="5">
        <f>'2011'!K4</f>
        <v>159.86539999999999</v>
      </c>
      <c r="L37" s="5">
        <f>'2011'!L4</f>
        <v>186.99842699999999</v>
      </c>
      <c r="M37" s="5">
        <f>'2011'!M4</f>
        <v>151.0607</v>
      </c>
      <c r="N37" s="5">
        <f>'2011'!N4</f>
        <v>146.01929999999999</v>
      </c>
      <c r="O37" s="50">
        <f>SUM(C37:N37)</f>
        <v>1344.739247</v>
      </c>
      <c r="Q37" s="5">
        <v>102.52958002645522</v>
      </c>
      <c r="R37" s="5">
        <v>51.785294430271982</v>
      </c>
      <c r="S37" s="5">
        <v>95.840347648916222</v>
      </c>
      <c r="T37" s="5">
        <v>86.302944223985818</v>
      </c>
      <c r="U37" s="5">
        <v>63.986306856972021</v>
      </c>
      <c r="V37" s="5">
        <v>207.32219190917127</v>
      </c>
      <c r="W37" s="5">
        <v>206.37612220515447</v>
      </c>
      <c r="X37" s="5">
        <v>246.50640307646344</v>
      </c>
      <c r="Y37" s="5">
        <v>256.36646108906535</v>
      </c>
      <c r="Z37" s="5">
        <v>521.44681952978328</v>
      </c>
      <c r="AA37" s="5">
        <v>296.26386893738993</v>
      </c>
      <c r="AB37" s="5">
        <v>217.26831637224768</v>
      </c>
    </row>
    <row r="38" spans="1:28">
      <c r="B38" s="8">
        <v>2012</v>
      </c>
      <c r="C38" s="5">
        <f>'2012'!C4</f>
        <v>72.359699999999918</v>
      </c>
      <c r="D38" s="5">
        <f>'2012'!D4</f>
        <v>54.996000000000002</v>
      </c>
      <c r="E38" s="5">
        <f>'2012'!E4</f>
        <v>64.928100000000001</v>
      </c>
      <c r="F38" s="5">
        <f>'2012'!F4</f>
        <v>85.383000000000095</v>
      </c>
      <c r="G38" s="5">
        <f>'2012'!G4</f>
        <v>107.47929999999999</v>
      </c>
      <c r="H38" s="5">
        <f>'2012'!H4</f>
        <v>71.381799999999842</v>
      </c>
      <c r="I38" s="5">
        <f>'2012'!I4</f>
        <v>90.200800000000001</v>
      </c>
      <c r="J38" s="5">
        <f>'2012'!J4</f>
        <v>89.815389999999994</v>
      </c>
      <c r="K38" s="5">
        <f>'2012'!K4</f>
        <v>129.15731</v>
      </c>
      <c r="L38" s="5">
        <f>'2012'!L4</f>
        <v>197.96340000000001</v>
      </c>
      <c r="M38" s="5">
        <f>'2012'!M4</f>
        <v>126.4997</v>
      </c>
      <c r="N38" s="5">
        <f>'2012'!N4</f>
        <v>60.75250000000004</v>
      </c>
      <c r="O38" s="11">
        <f t="shared" ref="O38:O56" si="13">SUM(C38:N38)</f>
        <v>1150.9169999999999</v>
      </c>
      <c r="Q38" s="5">
        <v>107.80450588837699</v>
      </c>
      <c r="R38" s="5">
        <v>88.781740216201243</v>
      </c>
      <c r="S38" s="5">
        <v>106.74732334869441</v>
      </c>
      <c r="T38" s="5">
        <v>139.19058366402078</v>
      </c>
      <c r="U38" s="5">
        <v>166.96087493599643</v>
      </c>
      <c r="V38" s="5">
        <v>117.49010714285684</v>
      </c>
      <c r="W38" s="5">
        <v>142.87829781106007</v>
      </c>
      <c r="X38" s="5">
        <v>138.94242906212671</v>
      </c>
      <c r="Y38" s="5">
        <v>215.86120590828926</v>
      </c>
      <c r="Z38" s="5">
        <v>396.08518219832735</v>
      </c>
      <c r="AA38" s="5">
        <v>198.77781889329799</v>
      </c>
      <c r="AB38" s="5">
        <v>100.21832853302611</v>
      </c>
    </row>
    <row r="39" spans="1:28">
      <c r="B39" s="8">
        <v>2013</v>
      </c>
      <c r="C39" s="5">
        <f>'2013'!C4</f>
        <v>40.030200000000015</v>
      </c>
      <c r="D39" s="5">
        <f>'2013'!D4</f>
        <v>19.726500000000001</v>
      </c>
      <c r="E39" s="5">
        <f>'2013'!E4</f>
        <v>37.599799999999988</v>
      </c>
      <c r="F39" s="5">
        <f>'2013'!F4</f>
        <v>30.851000000000059</v>
      </c>
      <c r="G39" s="5">
        <f>'2013'!G4</f>
        <v>48.609899999999961</v>
      </c>
      <c r="H39" s="5">
        <f>'2013'!H4</f>
        <v>101.43201999999999</v>
      </c>
      <c r="I39" s="5">
        <f>'2013'!I4</f>
        <v>131.56860000000009</v>
      </c>
      <c r="J39" s="5">
        <f>'2013'!J4</f>
        <v>123.13280000000005</v>
      </c>
      <c r="K39" s="5">
        <f>'2013'!K4</f>
        <v>101.00589999999991</v>
      </c>
      <c r="L39" s="5">
        <f>'2013'!L4</f>
        <v>171.20660000000009</v>
      </c>
      <c r="M39" s="5">
        <f>'2013'!M4</f>
        <v>137.92039999999992</v>
      </c>
      <c r="N39" s="5">
        <f>'2013'!N4</f>
        <v>92.884300000000039</v>
      </c>
      <c r="O39" s="11">
        <f t="shared" si="13"/>
        <v>1035.96802</v>
      </c>
      <c r="Q39" s="5">
        <v>63.127122162485023</v>
      </c>
      <c r="R39" s="5">
        <v>43.621884684429475</v>
      </c>
      <c r="S39" s="5">
        <v>60.75331050520559</v>
      </c>
      <c r="T39" s="5">
        <v>56.528831018518559</v>
      </c>
      <c r="U39" s="5">
        <v>79.147663637139445</v>
      </c>
      <c r="V39" s="5">
        <v>159.44252854938259</v>
      </c>
      <c r="W39" s="5">
        <v>202.28723438300059</v>
      </c>
      <c r="X39" s="5">
        <v>193.73232430875589</v>
      </c>
      <c r="Y39" s="5">
        <v>247.08142636684292</v>
      </c>
      <c r="Z39" s="5">
        <v>397.59521836064187</v>
      </c>
      <c r="AA39" s="5">
        <v>242.35144257054662</v>
      </c>
      <c r="AB39" s="5">
        <v>141.83356086789553</v>
      </c>
    </row>
    <row r="40" spans="1:28">
      <c r="B40" s="8">
        <v>2014</v>
      </c>
      <c r="C40" s="5">
        <f>'2014'!C4</f>
        <v>57.855299999999936</v>
      </c>
      <c r="D40" s="5">
        <f>'2014'!D4</f>
        <v>47.695400000000021</v>
      </c>
      <c r="E40" s="5">
        <f>'2014'!E4</f>
        <v>58.585300000000046</v>
      </c>
      <c r="F40" s="5">
        <f>'2014'!F4</f>
        <v>35.451799999999935</v>
      </c>
      <c r="G40" s="5">
        <f>'2014'!G4</f>
        <v>47.9816</v>
      </c>
      <c r="H40" s="5">
        <f>'2014'!H4</f>
        <v>79.421700000000058</v>
      </c>
      <c r="I40" s="5">
        <f>'2014'!I4</f>
        <v>193.58380000000005</v>
      </c>
      <c r="J40" s="5">
        <f>'2014'!J4</f>
        <v>187.19009999999986</v>
      </c>
      <c r="K40" s="5">
        <f>'2014'!K4</f>
        <v>151.37049999999999</v>
      </c>
      <c r="L40" s="5">
        <f>'2014'!L4</f>
        <v>156.67130000000006</v>
      </c>
      <c r="M40" s="5">
        <f>'2014'!M4</f>
        <v>69.214499999999759</v>
      </c>
      <c r="N40" s="5">
        <f>'2014'!N4</f>
        <v>59.488500000000002</v>
      </c>
      <c r="O40" s="11">
        <f t="shared" si="13"/>
        <v>1144.5097999999996</v>
      </c>
      <c r="Q40" s="5">
        <v>93.210677910052809</v>
      </c>
      <c r="R40" s="5">
        <v>85.132578184051411</v>
      </c>
      <c r="S40" s="5">
        <v>96.811324884792711</v>
      </c>
      <c r="T40" s="5">
        <v>61.1311642416225</v>
      </c>
      <c r="U40" s="5">
        <v>75.179119623655993</v>
      </c>
      <c r="V40" s="5">
        <v>132.88200782627877</v>
      </c>
      <c r="W40" s="5">
        <v>298.58465843147297</v>
      </c>
      <c r="X40" s="5">
        <v>310.1737245050349</v>
      </c>
      <c r="Y40" s="5">
        <v>254.12894609788364</v>
      </c>
      <c r="Z40" s="5">
        <v>239.04484745690414</v>
      </c>
      <c r="AA40" s="5">
        <v>111.36380731922345</v>
      </c>
      <c r="AB40" s="5">
        <v>98.869481886840703</v>
      </c>
    </row>
    <row r="41" spans="1:28">
      <c r="B41" s="8">
        <v>2015</v>
      </c>
      <c r="C41" s="5">
        <f>'2015'!C4</f>
        <v>49.948200000000185</v>
      </c>
      <c r="D41" s="5">
        <f>'2015'!D4</f>
        <v>28.301700000000185</v>
      </c>
      <c r="E41" s="5">
        <f>'2015'!E4</f>
        <v>35.698799999999814</v>
      </c>
      <c r="F41" s="5">
        <f>'2015'!F4</f>
        <v>35.858400000000138</v>
      </c>
      <c r="G41" s="5">
        <f>'2015'!G4</f>
        <v>34.967299999999817</v>
      </c>
      <c r="H41" s="5">
        <f>'2015'!H4</f>
        <v>56.235633</v>
      </c>
      <c r="I41" s="5">
        <f>'2015'!I4</f>
        <v>110.37619999999995</v>
      </c>
      <c r="J41" s="5">
        <f>'2015'!J4</f>
        <v>119.47640000000014</v>
      </c>
      <c r="K41" s="5">
        <f>'2015'!K4</f>
        <v>95.11</v>
      </c>
      <c r="L41" s="5">
        <f>'2015'!L4</f>
        <v>71.211299999999824</v>
      </c>
      <c r="M41" s="5">
        <f>'2015'!M4</f>
        <v>51.643500000000003</v>
      </c>
      <c r="N41" s="5">
        <f>'2015'!N4</f>
        <v>47.109500000000232</v>
      </c>
      <c r="O41" s="11">
        <f t="shared" si="13"/>
        <v>735.93693300000029</v>
      </c>
      <c r="Q41" s="5">
        <v>76.865498165216209</v>
      </c>
      <c r="R41" s="5">
        <v>53.108223379629898</v>
      </c>
      <c r="S41" s="5">
        <v>58.292600486430885</v>
      </c>
      <c r="T41" s="5">
        <v>59.105111552028433</v>
      </c>
      <c r="U41" s="5">
        <v>58.009430683563444</v>
      </c>
      <c r="V41" s="5">
        <v>91.987962119708982</v>
      </c>
      <c r="W41" s="5">
        <v>170.74672533708821</v>
      </c>
      <c r="X41" s="5">
        <v>182.65645161290325</v>
      </c>
      <c r="Y41" s="5">
        <v>151.25768606701936</v>
      </c>
      <c r="Z41" s="5">
        <v>111.81286428998101</v>
      </c>
      <c r="AA41" s="5">
        <v>87.662924272486777</v>
      </c>
      <c r="AB41" s="5">
        <v>76.222091973886634</v>
      </c>
    </row>
    <row r="42" spans="1:28">
      <c r="B42" s="8">
        <v>2016</v>
      </c>
      <c r="C42" s="5">
        <f>'2016'!C4</f>
        <v>44.561899999999909</v>
      </c>
      <c r="D42" s="5">
        <f>'2016'!D4</f>
        <v>24.298100000000094</v>
      </c>
      <c r="E42" s="5">
        <f>'2016'!E4</f>
        <v>28.284299999999813</v>
      </c>
      <c r="F42" s="5">
        <f>'2016'!F4</f>
        <v>27.128700000000187</v>
      </c>
      <c r="G42" s="5">
        <f>'2016'!G4</f>
        <v>34.716699999999719</v>
      </c>
      <c r="H42" s="5">
        <f>'2016'!H4</f>
        <v>54.870967000000284</v>
      </c>
      <c r="I42" s="5">
        <f>'2016'!I4</f>
        <v>94.48197599999979</v>
      </c>
      <c r="J42" s="5">
        <f>'2016'!J4</f>
        <v>101.94487800000003</v>
      </c>
      <c r="K42" s="5">
        <f>'2016'!K4</f>
        <v>75.765530000000027</v>
      </c>
      <c r="L42" s="5">
        <f>'2016'!L4</f>
        <v>156.29349900000005</v>
      </c>
      <c r="M42" s="5">
        <f>'2016'!M4</f>
        <v>185.10087399999983</v>
      </c>
      <c r="N42" s="5">
        <f>'2016'!N4</f>
        <v>195.29755300000031</v>
      </c>
      <c r="O42" s="11">
        <f t="shared" si="13"/>
        <v>1022.7449770000001</v>
      </c>
      <c r="Q42" s="5">
        <v>70.392357804232773</v>
      </c>
      <c r="R42" s="5">
        <v>43.48714390622137</v>
      </c>
      <c r="S42" s="5">
        <v>45.855622226488912</v>
      </c>
      <c r="T42" s="5">
        <v>47.572160714285879</v>
      </c>
      <c r="U42" s="5">
        <v>57.765901177675076</v>
      </c>
      <c r="V42" s="5">
        <v>91.753909611993421</v>
      </c>
      <c r="W42" s="5">
        <v>143.95738148574824</v>
      </c>
      <c r="X42" s="5">
        <v>155.5818294504183</v>
      </c>
      <c r="Y42" s="5">
        <v>123.9304475308643</v>
      </c>
      <c r="Z42" s="5">
        <v>235.81003872247788</v>
      </c>
      <c r="AA42" s="5">
        <v>504.52869808201115</v>
      </c>
      <c r="AB42" s="5">
        <v>439.25057870370404</v>
      </c>
    </row>
    <row r="43" spans="1:28">
      <c r="B43" s="8">
        <v>2017</v>
      </c>
      <c r="C43" s="5">
        <f>'2017'!C4</f>
        <v>147.31777</v>
      </c>
      <c r="D43" s="5">
        <f>'2017'!D4</f>
        <v>84.774964999999852</v>
      </c>
      <c r="E43" s="5">
        <f>'2017'!E4</f>
        <v>56.843450999999881</v>
      </c>
      <c r="F43" s="5">
        <f>'2017'!F4</f>
        <v>71.933518000000149</v>
      </c>
      <c r="G43" s="5">
        <f>'2017'!G4</f>
        <v>138.78362400000029</v>
      </c>
      <c r="H43" s="5">
        <f>'2017'!H4</f>
        <v>184.92081999999942</v>
      </c>
      <c r="I43" s="5">
        <f>'2017'!I4</f>
        <v>158.92538500000023</v>
      </c>
      <c r="J43" s="5">
        <f>'2017'!J4</f>
        <v>166.84722599999978</v>
      </c>
      <c r="K43" s="5">
        <f>'2017'!K4</f>
        <v>177.18828400000044</v>
      </c>
      <c r="L43" s="5">
        <f>'2017'!L4</f>
        <v>183.54134299999942</v>
      </c>
      <c r="M43" s="5">
        <f>'2017'!M4</f>
        <v>182.61075499999987</v>
      </c>
      <c r="N43" s="5">
        <f>'2017'!N4</f>
        <v>189.60795600000071</v>
      </c>
      <c r="O43" s="37">
        <f t="shared" si="13"/>
        <v>1743.2950970000002</v>
      </c>
      <c r="Q43" s="5">
        <v>222.9105720899467</v>
      </c>
      <c r="R43" s="5">
        <v>147.19554253781448</v>
      </c>
      <c r="S43" s="5">
        <v>94.039587624147572</v>
      </c>
      <c r="T43" s="5">
        <v>119.32147926622083</v>
      </c>
      <c r="U43" s="5">
        <v>209.19463870065158</v>
      </c>
      <c r="V43" s="5">
        <v>293.85304291352065</v>
      </c>
      <c r="W43" s="5">
        <v>238.38863041901342</v>
      </c>
      <c r="X43" s="5">
        <v>264.46796945732115</v>
      </c>
      <c r="Y43" s="5">
        <v>278.70858376723453</v>
      </c>
      <c r="Z43" s="5">
        <v>306.82673069027692</v>
      </c>
      <c r="AA43" s="5">
        <v>394.47959347442736</v>
      </c>
      <c r="AB43" s="5">
        <v>417.73705879842902</v>
      </c>
    </row>
    <row r="44" spans="1:28">
      <c r="B44" s="8">
        <v>2018</v>
      </c>
      <c r="C44" s="5">
        <f>'2018'!C4</f>
        <v>125.761033</v>
      </c>
      <c r="D44" s="5">
        <f>'2018'!D4</f>
        <v>63.206232999999536</v>
      </c>
      <c r="E44" s="5">
        <f>'2018'!E4</f>
        <v>66.400333000000572</v>
      </c>
      <c r="F44" s="5">
        <f>'2018'!F4</f>
        <v>59.581732999999538</v>
      </c>
      <c r="G44" s="5">
        <f>'2018'!G4</f>
        <v>57.857050999999977</v>
      </c>
      <c r="H44" s="5">
        <f>'2018'!H4</f>
        <v>71.134424000000777</v>
      </c>
      <c r="I44" s="5">
        <f>'2018'!I4</f>
        <v>118.96295500000008</v>
      </c>
      <c r="J44" s="5">
        <f>'2018'!J4</f>
        <v>141.01818399999897</v>
      </c>
      <c r="K44" s="5">
        <f>'2018'!K4</f>
        <v>164.50247300000024</v>
      </c>
      <c r="L44" s="5">
        <f>'2018'!L4</f>
        <v>147.82510400000001</v>
      </c>
      <c r="M44" s="5">
        <f>'2018'!M4</f>
        <v>88.371788999999879</v>
      </c>
      <c r="N44" s="5">
        <f>'2018'!N4</f>
        <v>114.598782</v>
      </c>
      <c r="O44" s="11">
        <f t="shared" si="13"/>
        <v>1219.2200939999996</v>
      </c>
      <c r="Q44" s="5">
        <v>195.88533986175187</v>
      </c>
      <c r="R44" s="5">
        <v>110.09903698979635</v>
      </c>
      <c r="S44" s="5">
        <v>109.62334672532553</v>
      </c>
      <c r="T44" s="5">
        <v>100.19695827360036</v>
      </c>
      <c r="U44" s="5">
        <v>88.834882765830486</v>
      </c>
      <c r="V44" s="5">
        <v>116.48197333478716</v>
      </c>
      <c r="W44" s="5">
        <v>182.10580965181762</v>
      </c>
      <c r="X44" s="5">
        <v>220.81792552056689</v>
      </c>
      <c r="Y44" s="5">
        <v>307.06589825837744</v>
      </c>
      <c r="Z44" s="5">
        <v>224.2887607740231</v>
      </c>
      <c r="AA44" s="5">
        <v>142.88117504409132</v>
      </c>
      <c r="AB44" s="5">
        <v>177.05547427035367</v>
      </c>
    </row>
    <row r="45" spans="1:28">
      <c r="B45" s="8">
        <v>2019</v>
      </c>
      <c r="C45" s="5">
        <f>'2019'!C4</f>
        <v>126.22684200000018</v>
      </c>
      <c r="D45" s="5">
        <f>'2019'!D4</f>
        <v>48.35960799999954</v>
      </c>
      <c r="E45" s="5">
        <f>'2019'!E4</f>
        <v>60.347191000000066</v>
      </c>
      <c r="F45" s="5">
        <f>'2019'!F4</f>
        <v>47.448669000000223</v>
      </c>
      <c r="G45" s="5">
        <f>'2019'!G4</f>
        <v>52.397391999999975</v>
      </c>
      <c r="H45" s="5">
        <f>'2019'!H4</f>
        <v>60.510794999999924</v>
      </c>
      <c r="I45" s="5">
        <f>'2019'!I4</f>
        <v>56.785311999999919</v>
      </c>
      <c r="J45" s="5">
        <f>'2019'!J4</f>
        <v>151.60729500000039</v>
      </c>
      <c r="K45" s="5">
        <f>'2019'!K4</f>
        <v>179.00042699999923</v>
      </c>
      <c r="L45" s="5">
        <f>'2019'!L4</f>
        <v>139.15062599999999</v>
      </c>
      <c r="M45" s="5">
        <f>'2019'!M4</f>
        <v>176.23853199999999</v>
      </c>
      <c r="N45" s="5">
        <f>'2019'!N4</f>
        <v>85.396231000000611</v>
      </c>
      <c r="O45" s="11">
        <f t="shared" si="13"/>
        <v>1183.46892</v>
      </c>
      <c r="Q45" s="5">
        <v>191.71425485577777</v>
      </c>
      <c r="R45" s="5">
        <v>85.032031203459837</v>
      </c>
      <c r="S45" s="5">
        <v>95.812717027221908</v>
      </c>
      <c r="T45" s="5">
        <v>79.890779935467208</v>
      </c>
      <c r="U45" s="5">
        <v>79.719896206690436</v>
      </c>
      <c r="V45" s="5">
        <v>98.342429397057629</v>
      </c>
      <c r="W45" s="5">
        <v>83.888467505071617</v>
      </c>
      <c r="X45" s="5">
        <v>228.90794102001314</v>
      </c>
      <c r="Y45" s="5">
        <v>279.39415564373883</v>
      </c>
      <c r="Z45" s="5">
        <v>207.80494858337619</v>
      </c>
      <c r="AA45" s="5">
        <v>361.99018960768484</v>
      </c>
      <c r="AB45" s="5">
        <v>130.82224249018637</v>
      </c>
    </row>
    <row r="46" spans="1:28">
      <c r="B46" s="8">
        <v>2020</v>
      </c>
      <c r="C46" s="5">
        <f>'2020'!C4</f>
        <v>52.160716999999245</v>
      </c>
      <c r="D46" s="5">
        <f>'2020'!D4</f>
        <v>38.226069000001068</v>
      </c>
      <c r="E46" s="5">
        <f>'2020'!E4</f>
        <v>44.340092999999413</v>
      </c>
      <c r="F46" s="5">
        <f>'2020'!F4</f>
        <v>29.286831000001168</v>
      </c>
      <c r="G46" s="5">
        <f>'2020'!G4</f>
        <v>28.976669999999999</v>
      </c>
      <c r="H46" s="5">
        <f>'2020'!H4</f>
        <v>75.012167999999605</v>
      </c>
      <c r="I46" s="5">
        <f>'2020'!I4</f>
        <v>99.726883000000001</v>
      </c>
      <c r="J46" s="5">
        <f>'2020'!J4</f>
        <v>195.32551900000007</v>
      </c>
      <c r="K46" s="5">
        <f>'2020'!K4</f>
        <v>179.58833199999947</v>
      </c>
      <c r="L46" s="5">
        <f>'2020'!L4</f>
        <v>193.41799200000031</v>
      </c>
      <c r="M46" s="5">
        <f>'2020'!M4</f>
        <v>189.00704200000013</v>
      </c>
      <c r="N46" s="5">
        <f>'2020'!N4</f>
        <v>202.91342899999952</v>
      </c>
      <c r="O46" s="11">
        <f t="shared" si="13"/>
        <v>1327.981745</v>
      </c>
      <c r="Q46" s="5">
        <v>81.947953062803563</v>
      </c>
      <c r="R46" s="5">
        <v>71.063773772261356</v>
      </c>
      <c r="S46" s="5">
        <v>76.290331182795697</v>
      </c>
      <c r="T46" s="5">
        <v>51.970844444444445</v>
      </c>
      <c r="U46" s="5">
        <v>54.088725806451606</v>
      </c>
      <c r="V46" s="5">
        <v>114.60418777777777</v>
      </c>
      <c r="W46" s="5">
        <v>152.08065698924733</v>
      </c>
      <c r="X46" s="5">
        <v>294.6357666666666</v>
      </c>
      <c r="Y46" s="5">
        <v>281.70280111111111</v>
      </c>
      <c r="Z46" s="5">
        <v>305.00406129032251</v>
      </c>
      <c r="AA46" s="5">
        <v>375.0722422222222</v>
      </c>
      <c r="AB46" s="5">
        <v>478.93006666666662</v>
      </c>
    </row>
    <row r="47" spans="1:28">
      <c r="B47" s="8">
        <v>2021</v>
      </c>
      <c r="C47" s="5">
        <f>'2021'!C4</f>
        <v>110.36860699999997</v>
      </c>
      <c r="D47" s="5">
        <f>'2021'!D4</f>
        <v>61.981315000000762</v>
      </c>
      <c r="E47" s="5">
        <f>'2021'!E4</f>
        <v>61.426696999999223</v>
      </c>
      <c r="F47" s="5">
        <f>'2021'!F4</f>
        <v>46.831182000000027</v>
      </c>
      <c r="G47" s="5">
        <f>'2021'!G4</f>
        <v>53.630072999999967</v>
      </c>
      <c r="H47" s="5">
        <f>'2021'!H4</f>
        <v>49.802541000000204</v>
      </c>
      <c r="I47" s="5">
        <f>'2021'!I4</f>
        <v>81.105309000000133</v>
      </c>
      <c r="J47" s="5">
        <f>'2021'!J4</f>
        <v>86.7923049999997</v>
      </c>
      <c r="K47" s="5">
        <f>'2021'!K4</f>
        <v>166.61844500000123</v>
      </c>
      <c r="L47" s="5">
        <f>'2021'!L4</f>
        <v>192.76609399999921</v>
      </c>
      <c r="M47" s="5">
        <f>'2021'!M4</f>
        <v>192.90018000000086</v>
      </c>
      <c r="N47" s="5">
        <f>'2021'!N4</f>
        <v>181.47385199999974</v>
      </c>
      <c r="O47" s="11">
        <f t="shared" si="13"/>
        <v>1285.6966000000011</v>
      </c>
      <c r="Q47" s="5">
        <v>168.78631505376339</v>
      </c>
      <c r="R47" s="5">
        <v>109.25753690476191</v>
      </c>
      <c r="S47" s="5">
        <v>96.941623460410582</v>
      </c>
      <c r="T47" s="5">
        <v>78.852806666666694</v>
      </c>
      <c r="U47" s="5">
        <v>82.61294193548386</v>
      </c>
      <c r="V47" s="5">
        <v>81.090311111111134</v>
      </c>
      <c r="W47" s="5">
        <v>124.71106451612899</v>
      </c>
      <c r="X47" s="5">
        <v>133.48928387096774</v>
      </c>
      <c r="Y47" s="5">
        <v>267.21808888888881</v>
      </c>
      <c r="Z47" s="5">
        <v>385.27039569892474</v>
      </c>
      <c r="AA47" s="5">
        <v>536.5333333333333</v>
      </c>
      <c r="AB47" s="5">
        <v>429.99193548387098</v>
      </c>
    </row>
    <row r="48" spans="1:28">
      <c r="B48" s="8">
        <v>2022</v>
      </c>
      <c r="C48" s="5">
        <f>'2022'!C4</f>
        <v>122.50594479999999</v>
      </c>
      <c r="D48" s="5">
        <f>'2022'!D4</f>
        <v>66.919390800000002</v>
      </c>
      <c r="E48" s="5">
        <f>'2022'!E4</f>
        <v>74.536053599999988</v>
      </c>
      <c r="F48" s="5">
        <f>'2022'!F4</f>
        <v>71.592840899999985</v>
      </c>
      <c r="G48" s="5">
        <f>'2022'!G4</f>
        <v>110.182541</v>
      </c>
      <c r="H48" s="5">
        <f>'2022'!H4</f>
        <v>115.54800859999999</v>
      </c>
      <c r="I48" s="5">
        <f>'2022'!I4</f>
        <v>163.9011251</v>
      </c>
      <c r="J48" s="5">
        <f>'2022'!J4</f>
        <v>194.26107150000001</v>
      </c>
      <c r="K48" s="5">
        <f>'2022'!K4</f>
        <v>193.2066274</v>
      </c>
      <c r="L48" s="5">
        <f>'2022'!L4</f>
        <v>196.85656800000001</v>
      </c>
      <c r="M48" s="5">
        <f>'2022'!M4</f>
        <v>168.38218649999999</v>
      </c>
      <c r="N48" s="5">
        <f>'2022'!N4</f>
        <v>153.6295523</v>
      </c>
      <c r="O48" s="37">
        <f t="shared" si="13"/>
        <v>1631.5219105000001</v>
      </c>
      <c r="Q48" s="5">
        <v>187.2446247311828</v>
      </c>
      <c r="R48" s="5">
        <v>117.53720238095241</v>
      </c>
      <c r="S48" s="5">
        <v>117.4314516129032</v>
      </c>
      <c r="T48" s="5">
        <v>116.60138888888886</v>
      </c>
      <c r="U48" s="5">
        <v>165.90059139784947</v>
      </c>
      <c r="V48" s="5">
        <v>183.66533333333336</v>
      </c>
      <c r="W48" s="5">
        <v>245.81182795698922</v>
      </c>
      <c r="X48" s="5">
        <v>326.14773059606307</v>
      </c>
      <c r="Y48" s="5">
        <v>344.36882689553721</v>
      </c>
      <c r="Z48" s="5">
        <v>375.59049832896477</v>
      </c>
      <c r="AA48" s="5">
        <v>269.2693534675721</v>
      </c>
      <c r="AB48" s="5">
        <v>234.77126807868515</v>
      </c>
    </row>
    <row r="49" spans="2:28">
      <c r="B49" s="8">
        <v>2023</v>
      </c>
      <c r="C49" s="5">
        <f>'2023'!C4</f>
        <v>113.1354312</v>
      </c>
      <c r="D49" s="5">
        <f>'2023'!D4</f>
        <v>71.298942100000005</v>
      </c>
      <c r="E49" s="5">
        <f>'2023'!E4</f>
        <v>70.493765299999993</v>
      </c>
      <c r="F49" s="5">
        <f>'2023'!F4</f>
        <v>62.217610000000001</v>
      </c>
      <c r="G49" s="5">
        <f>'2023'!G4</f>
        <v>43.759362299999999</v>
      </c>
      <c r="H49" s="5">
        <f>'2023'!H4</f>
        <v>86.330209300000007</v>
      </c>
      <c r="I49" s="5">
        <f>'2023'!I4</f>
        <v>141.6702884</v>
      </c>
      <c r="J49" s="5">
        <f>'2023'!J4</f>
        <v>165.03639799999999</v>
      </c>
      <c r="K49" s="5">
        <f>'2023'!K4</f>
        <v>195.23754399999999</v>
      </c>
      <c r="L49" s="5">
        <f>'2023'!L4</f>
        <v>198.50973879999998</v>
      </c>
      <c r="M49" s="5">
        <f>'2023'!M4</f>
        <v>163.315517</v>
      </c>
      <c r="N49" s="5">
        <f>'2023'!N4</f>
        <v>125.9698503</v>
      </c>
      <c r="O49" s="11">
        <f t="shared" si="13"/>
        <v>1436.9746567</v>
      </c>
      <c r="Q49" s="5">
        <v>174.73765561284768</v>
      </c>
      <c r="R49" s="5">
        <v>127.35625488144804</v>
      </c>
      <c r="S49" s="5">
        <v>108.60906275246862</v>
      </c>
      <c r="T49" s="5">
        <v>105.01789714709945</v>
      </c>
      <c r="U49" s="5">
        <v>64.385454002305039</v>
      </c>
      <c r="V49" s="5">
        <v>133.54334259243078</v>
      </c>
      <c r="W49" s="5">
        <v>220.71516721864697</v>
      </c>
      <c r="X49" s="5">
        <v>263.93816451612906</v>
      </c>
      <c r="Y49" s="5">
        <v>392.73611333333332</v>
      </c>
      <c r="Z49" s="5">
        <v>340.18951290322582</v>
      </c>
      <c r="AA49" s="5">
        <v>273.68054666666671</v>
      </c>
      <c r="AB49" s="5">
        <v>195.77149354838716</v>
      </c>
    </row>
    <row r="50" spans="2:28">
      <c r="B50" s="8">
        <v>2024</v>
      </c>
      <c r="C50" s="5">
        <f>'2024'!C4</f>
        <v>73.596486099999993</v>
      </c>
      <c r="D50" s="5">
        <f>'2024'!D4</f>
        <v>42.832670400000005</v>
      </c>
      <c r="E50" s="5">
        <f>'2024'!E4</f>
        <v>35.955296799999999</v>
      </c>
      <c r="F50" s="5">
        <f>'2024'!F4</f>
        <v>35.971539700000001</v>
      </c>
      <c r="G50" s="5">
        <f>'2024'!G4</f>
        <v>54.107530500000003</v>
      </c>
      <c r="H50" s="5">
        <f>'2024'!H4</f>
        <v>76.060693000000001</v>
      </c>
      <c r="I50" s="5">
        <f>'2024'!I4</f>
        <v>135.68690319999999</v>
      </c>
      <c r="J50" s="5">
        <f>'2024'!J4</f>
        <v>176.95260999999999</v>
      </c>
      <c r="K50" s="5">
        <f>'2024'!K4</f>
        <v>179.47948259999998</v>
      </c>
      <c r="L50" s="5">
        <f>'2024'!L4</f>
        <v>185.35782839999999</v>
      </c>
      <c r="M50" s="5">
        <f>'2024'!M4</f>
        <v>134.72737609999999</v>
      </c>
      <c r="N50" s="5">
        <f>'2024'!N4</f>
        <v>137.06628800000001</v>
      </c>
      <c r="O50" s="11">
        <f t="shared" si="13"/>
        <v>1267.7947047999999</v>
      </c>
      <c r="Q50" s="5">
        <v>113.54301290322583</v>
      </c>
      <c r="R50" s="5">
        <v>75.31177586206897</v>
      </c>
      <c r="S50" s="5">
        <v>59.8763516129032</v>
      </c>
      <c r="T50" s="5">
        <v>62.27</v>
      </c>
      <c r="U50" s="5">
        <v>78.919354838709694</v>
      </c>
      <c r="V50" s="5">
        <v>118.23888333333333</v>
      </c>
      <c r="W50" s="5">
        <v>206.36828387096773</v>
      </c>
      <c r="X50" s="5">
        <v>267.68945161290327</v>
      </c>
      <c r="Y50" s="5">
        <v>326.01</v>
      </c>
      <c r="Z50" s="5">
        <v>290.95294838709685</v>
      </c>
      <c r="AA50" s="5">
        <v>227.44</v>
      </c>
      <c r="AB50" s="5">
        <v>220.07123870967743</v>
      </c>
    </row>
    <row r="51" spans="2:28">
      <c r="B51" s="46">
        <v>2025</v>
      </c>
      <c r="C51" s="5">
        <v>112.1219277</v>
      </c>
      <c r="D51" s="5">
        <v>57.954394999999998</v>
      </c>
      <c r="E51" s="5">
        <v>63.468082199999998</v>
      </c>
      <c r="F51" s="5">
        <v>53.9780053</v>
      </c>
      <c r="G51" s="5">
        <v>82.254511300000004</v>
      </c>
      <c r="H51" s="5">
        <v>130.41091829999999</v>
      </c>
      <c r="I51" s="5">
        <v>130.67553519999998</v>
      </c>
      <c r="J51" s="5">
        <v>144.11043119999999</v>
      </c>
      <c r="K51" s="5">
        <v>186.0461335</v>
      </c>
      <c r="L51" s="5">
        <v>192.94677809999999</v>
      </c>
      <c r="M51" s="5">
        <v>172.11458350000001</v>
      </c>
      <c r="N51" s="5">
        <v>195.31693429999999</v>
      </c>
      <c r="O51" s="37">
        <f t="shared" si="13"/>
        <v>1521.3982355999999</v>
      </c>
      <c r="P51" s="13" t="s">
        <v>21</v>
      </c>
      <c r="Q51" s="5">
        <v>174.48520645161292</v>
      </c>
      <c r="R51" s="5">
        <v>101.86</v>
      </c>
      <c r="S51" s="5">
        <v>105.43413870967743</v>
      </c>
      <c r="T51" s="5">
        <v>95.85138666666667</v>
      </c>
      <c r="U51" s="5">
        <v>140.30000000000001</v>
      </c>
      <c r="V51" s="5">
        <v>223.40139666666664</v>
      </c>
      <c r="W51" s="5">
        <v>216.40994193548391</v>
      </c>
      <c r="X51" s="5">
        <v>236.06856129032252</v>
      </c>
      <c r="Y51" s="5">
        <v>363.04999666666669</v>
      </c>
      <c r="Z51" s="5">
        <v>389.42070000000001</v>
      </c>
      <c r="AA51" s="5">
        <v>987.00277333333327</v>
      </c>
      <c r="AB51" s="5">
        <v>436.70027419354835</v>
      </c>
    </row>
    <row r="52" spans="2:28">
      <c r="B52" s="8">
        <v>2026</v>
      </c>
      <c r="C52" s="5">
        <v>103.24910490000001</v>
      </c>
      <c r="D52" s="5">
        <v>57.568962500000005</v>
      </c>
      <c r="E52" s="5">
        <v>59.992719399999999</v>
      </c>
      <c r="F52" s="5">
        <v>44.5033636</v>
      </c>
      <c r="G52" s="5">
        <v>47.318828000000003</v>
      </c>
      <c r="H52" s="5">
        <v>64.155334400000001</v>
      </c>
      <c r="I52" s="5"/>
      <c r="J52" s="5"/>
      <c r="K52" s="5"/>
      <c r="L52" s="5"/>
      <c r="M52" s="5"/>
      <c r="N52" s="5"/>
      <c r="O52" s="37"/>
      <c r="P52" s="13"/>
      <c r="Q52" s="5">
        <v>172.51</v>
      </c>
      <c r="R52" s="5">
        <v>111.5</v>
      </c>
      <c r="S52" s="5">
        <v>107.23</v>
      </c>
      <c r="T52" s="5">
        <v>88.75</v>
      </c>
      <c r="U52" s="5">
        <v>89.31</v>
      </c>
      <c r="V52" s="5">
        <v>117.74</v>
      </c>
    </row>
    <row r="53" spans="2:28">
      <c r="B53" s="4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37"/>
      <c r="P53" s="13"/>
    </row>
    <row r="54" spans="2:28">
      <c r="B54" s="4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37"/>
      <c r="P54" s="13"/>
    </row>
    <row r="55" spans="2:28">
      <c r="B55" s="78">
        <v>2025</v>
      </c>
      <c r="C55" s="9">
        <f>FORECAST($B$55,C37:C50,$B$37:$B$50)</f>
        <v>116.88220862857088</v>
      </c>
      <c r="D55" s="9">
        <f t="shared" ref="D55:N55" si="14">FORECAST($B$55,D37:D50,$B$37:$B$50)</f>
        <v>64.238350689010986</v>
      </c>
      <c r="E55" s="9">
        <f t="shared" si="14"/>
        <v>57.82863913956021</v>
      </c>
      <c r="F55" s="9">
        <f t="shared" si="14"/>
        <v>48.500112760439777</v>
      </c>
      <c r="G55" s="9">
        <f t="shared" si="14"/>
        <v>61.088283592307697</v>
      </c>
      <c r="H55" s="9">
        <f t="shared" si="14"/>
        <v>75.706488471428656</v>
      </c>
      <c r="I55" s="9">
        <f t="shared" si="14"/>
        <v>119.68448881758252</v>
      </c>
      <c r="J55" s="9">
        <f t="shared" si="14"/>
        <v>170.81227690109972</v>
      </c>
      <c r="K55" s="9">
        <f t="shared" si="14"/>
        <v>196.84454045714301</v>
      </c>
      <c r="L55" s="9">
        <f t="shared" si="14"/>
        <v>186.19373139340587</v>
      </c>
      <c r="M55" s="9">
        <f t="shared" si="14"/>
        <v>175.36634433626386</v>
      </c>
      <c r="N55" s="9">
        <f t="shared" si="14"/>
        <v>167.17822817472734</v>
      </c>
      <c r="O55" s="12">
        <f t="shared" si="13"/>
        <v>1440.3236933615406</v>
      </c>
      <c r="P55" s="13" t="s">
        <v>22</v>
      </c>
    </row>
    <row r="56" spans="2:28">
      <c r="B56" s="78"/>
      <c r="C56" s="5">
        <v>101.47675555562603</v>
      </c>
      <c r="D56" s="5">
        <v>57.192044109482183</v>
      </c>
      <c r="E56" s="5">
        <v>59.48732144868783</v>
      </c>
      <c r="F56" s="5">
        <v>55.397065146588886</v>
      </c>
      <c r="G56" s="5">
        <v>72.942541261823663</v>
      </c>
      <c r="H56" s="5">
        <v>93.194174551245212</v>
      </c>
      <c r="I56" s="5">
        <v>127.38042708847055</v>
      </c>
      <c r="J56" s="5">
        <v>184.51581243669085</v>
      </c>
      <c r="K56" s="5">
        <v>186.96995923058961</v>
      </c>
      <c r="L56" s="5">
        <v>189.60795600000071</v>
      </c>
      <c r="M56" s="5">
        <v>189.60795600000071</v>
      </c>
      <c r="N56" s="5">
        <v>186.90770433008851</v>
      </c>
      <c r="O56" s="12">
        <f t="shared" si="13"/>
        <v>1504.6797171592948</v>
      </c>
      <c r="P56" t="s">
        <v>23</v>
      </c>
    </row>
    <row r="58" spans="2:28">
      <c r="B58" s="76">
        <v>2026</v>
      </c>
      <c r="C58" s="9">
        <f>FORECAST($B$58,C37:C51,$B$37:$B$51)</f>
        <v>119.74151837809495</v>
      </c>
      <c r="D58" s="9">
        <f t="shared" ref="D58:N58" si="15">FORECAST($B$58,D37:D51,$B$37:$B$51)</f>
        <v>64.591451232381132</v>
      </c>
      <c r="E58" s="9">
        <f t="shared" si="15"/>
        <v>59.831604596190118</v>
      </c>
      <c r="F58" s="9">
        <f t="shared" si="15"/>
        <v>49.783025390476325</v>
      </c>
      <c r="G58" s="9">
        <f t="shared" si="15"/>
        <v>66.737991233333219</v>
      </c>
      <c r="H58" s="9">
        <f t="shared" si="15"/>
        <v>88.793271279999942</v>
      </c>
      <c r="I58" s="9">
        <f t="shared" si="15"/>
        <v>122.23571648857146</v>
      </c>
      <c r="J58" s="9">
        <f t="shared" si="15"/>
        <v>166.79952471523848</v>
      </c>
      <c r="K58" s="9">
        <f t="shared" si="15"/>
        <v>199.76236823428735</v>
      </c>
      <c r="L58" s="9">
        <f t="shared" si="15"/>
        <v>190.17494784190421</v>
      </c>
      <c r="M58" s="9">
        <f t="shared" si="15"/>
        <v>178.67192972380872</v>
      </c>
      <c r="N58" s="9">
        <f t="shared" si="15"/>
        <v>179.90366981619081</v>
      </c>
      <c r="O58" s="5">
        <f>SUM(C58:N58)</f>
        <v>1487.0270189304767</v>
      </c>
      <c r="P58" s="13" t="s">
        <v>22</v>
      </c>
      <c r="S58">
        <v>0.7</v>
      </c>
    </row>
    <row r="59" spans="2:28">
      <c r="B59" s="76"/>
      <c r="C59" s="5">
        <v>74.91984364472296</v>
      </c>
      <c r="D59" s="5">
        <v>41.448373682589775</v>
      </c>
      <c r="E59" s="5">
        <v>26.814078942631181</v>
      </c>
      <c r="F59" s="5">
        <v>27.801205165961029</v>
      </c>
      <c r="G59" s="5">
        <v>57.887041188666487</v>
      </c>
      <c r="H59" s="5">
        <v>100.41876642028004</v>
      </c>
      <c r="I59" s="5">
        <v>132.46923170153102</v>
      </c>
      <c r="J59" s="5">
        <v>189.607956000001</v>
      </c>
      <c r="K59" s="5">
        <v>189.607956000001</v>
      </c>
      <c r="L59" s="5">
        <v>189.607956000001</v>
      </c>
      <c r="M59" s="5">
        <v>189.607956000001</v>
      </c>
      <c r="N59" s="5">
        <v>169.42007928197734</v>
      </c>
      <c r="O59" s="5">
        <f>SUM(C59:N59)</f>
        <v>1389.6104440283639</v>
      </c>
      <c r="P59" t="s">
        <v>23</v>
      </c>
      <c r="S59">
        <v>0.3</v>
      </c>
    </row>
    <row r="60" spans="2:28">
      <c r="C60" s="19">
        <f>C58*$S$58+C59*$S$59</f>
        <v>106.29501595808335</v>
      </c>
      <c r="D60" s="19">
        <f t="shared" ref="D60:N60" si="16">D58*$S$58+D59*$S$59</f>
        <v>57.648527967443727</v>
      </c>
      <c r="E60" s="19">
        <f t="shared" si="16"/>
        <v>49.926346900122439</v>
      </c>
      <c r="F60" s="19">
        <f t="shared" si="16"/>
        <v>43.18847932312174</v>
      </c>
      <c r="G60" s="19">
        <f t="shared" si="16"/>
        <v>64.0827062199332</v>
      </c>
      <c r="H60" s="19">
        <f t="shared" si="16"/>
        <v>92.280919822083973</v>
      </c>
      <c r="I60" s="19">
        <f t="shared" si="16"/>
        <v>125.30577105245932</v>
      </c>
      <c r="J60" s="19">
        <f t="shared" si="16"/>
        <v>173.64205410066722</v>
      </c>
      <c r="K60" s="19">
        <f t="shared" si="16"/>
        <v>196.71604456400144</v>
      </c>
      <c r="L60" s="19">
        <f t="shared" si="16"/>
        <v>190.00485028933323</v>
      </c>
      <c r="M60" s="19">
        <f t="shared" si="16"/>
        <v>181.9527376066664</v>
      </c>
      <c r="N60" s="19">
        <f t="shared" si="16"/>
        <v>176.75859265592675</v>
      </c>
      <c r="O60" s="19">
        <f>SUM(C60:N60)</f>
        <v>1457.8020464598428</v>
      </c>
      <c r="P60" s="13" t="s">
        <v>19</v>
      </c>
    </row>
    <row r="61" spans="2:28">
      <c r="O61" s="51"/>
    </row>
    <row r="62" spans="2:28">
      <c r="O62" s="51"/>
    </row>
    <row r="63" spans="2:28">
      <c r="O63" s="49"/>
    </row>
    <row r="68" spans="14:16" ht="15.75">
      <c r="N68" s="52"/>
      <c r="O68" s="52"/>
    </row>
    <row r="69" spans="14:16" ht="15.75">
      <c r="N69" s="53"/>
      <c r="O69" s="52"/>
      <c r="P69" s="49"/>
    </row>
    <row r="70" spans="14:16" ht="15.75">
      <c r="N70" s="54"/>
      <c r="O70" s="52"/>
      <c r="P70" s="49"/>
    </row>
    <row r="71" spans="14:16" ht="15.75">
      <c r="N71" s="55"/>
      <c r="O71" s="52"/>
      <c r="P71" s="49"/>
    </row>
  </sheetData>
  <mergeCells count="3">
    <mergeCell ref="Q1:AB1"/>
    <mergeCell ref="B58:B59"/>
    <mergeCell ref="B55:B5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90FB-3E46-4798-BEF1-9419F0ED1227}">
  <dimension ref="B2:V107"/>
  <sheetViews>
    <sheetView tabSelected="1" zoomScaleNormal="100" workbookViewId="0">
      <pane xSplit="3" ySplit="2" topLeftCell="D54" activePane="bottomRight" state="frozen"/>
      <selection pane="bottomRight" activeCell="B67" sqref="B67:B69"/>
      <selection pane="bottomLeft" activeCell="A3" sqref="A3"/>
      <selection pane="topRight" activeCell="D1" sqref="D1"/>
    </sheetView>
  </sheetViews>
  <sheetFormatPr defaultRowHeight="15"/>
  <cols>
    <col min="3" max="3" width="13.85546875" bestFit="1" customWidth="1"/>
    <col min="4" max="8" width="9.28515625" bestFit="1" customWidth="1"/>
    <col min="9" max="9" width="9.5703125" bestFit="1" customWidth="1"/>
    <col min="16" max="16" width="9.5703125" bestFit="1" customWidth="1"/>
  </cols>
  <sheetData>
    <row r="2" spans="2:16">
      <c r="C2" s="10" t="s">
        <v>0</v>
      </c>
      <c r="D2" s="8">
        <v>1</v>
      </c>
      <c r="E2" s="8">
        <v>2</v>
      </c>
      <c r="F2" s="8">
        <v>3</v>
      </c>
      <c r="G2" s="8">
        <v>4</v>
      </c>
      <c r="H2" s="8">
        <v>5</v>
      </c>
      <c r="I2" s="8">
        <v>6</v>
      </c>
      <c r="J2" s="8">
        <v>7</v>
      </c>
      <c r="K2" s="8">
        <v>8</v>
      </c>
      <c r="L2" s="8">
        <v>9</v>
      </c>
      <c r="M2" s="8">
        <v>10</v>
      </c>
      <c r="N2" s="8">
        <v>11</v>
      </c>
      <c r="O2" s="8">
        <v>12</v>
      </c>
      <c r="P2" s="10" t="s">
        <v>9</v>
      </c>
    </row>
    <row r="3" spans="2:16">
      <c r="B3" s="65">
        <v>2011</v>
      </c>
      <c r="C3" s="13" t="s">
        <v>2</v>
      </c>
      <c r="D3" s="5">
        <f>BTS!C37</f>
        <v>20.360220000000009</v>
      </c>
      <c r="E3" s="5">
        <f>BTS!D37</f>
        <v>13.233499999999999</v>
      </c>
      <c r="F3" s="5">
        <f>BTS!E37</f>
        <v>32.383919999999989</v>
      </c>
      <c r="G3" s="5">
        <f>BTS!F37</f>
        <v>22.10473</v>
      </c>
      <c r="H3" s="5">
        <f>BTS!G37</f>
        <v>13.201589999999999</v>
      </c>
      <c r="I3" s="5">
        <f>BTS!H37</f>
        <v>23.40821</v>
      </c>
      <c r="J3" s="5">
        <f>BTS!I37</f>
        <v>26.187750000000001</v>
      </c>
      <c r="K3" s="5">
        <f>BTS!J37</f>
        <v>32.645659999999999</v>
      </c>
      <c r="L3" s="5">
        <f>BTS!K37</f>
        <v>24.484770000000001</v>
      </c>
      <c r="M3" s="5">
        <f>BTS!L37</f>
        <v>57.841043999999997</v>
      </c>
      <c r="N3" s="5">
        <f>BTS!M37</f>
        <v>40.546990000000001</v>
      </c>
      <c r="O3" s="5">
        <f>BTS!N37</f>
        <v>35.038040000000002</v>
      </c>
      <c r="P3" s="5">
        <f>SUM(D3:O3)</f>
        <v>341.43642399999999</v>
      </c>
    </row>
    <row r="4" spans="2:16">
      <c r="B4" s="65"/>
      <c r="C4" t="s">
        <v>3</v>
      </c>
      <c r="D4" s="5">
        <f>BK!C37</f>
        <v>67.007400000000018</v>
      </c>
      <c r="E4" s="5">
        <f>BK!D37</f>
        <v>33.693700000000078</v>
      </c>
      <c r="F4" s="5">
        <f>BK!E37</f>
        <v>61.754800000000046</v>
      </c>
      <c r="G4" s="5">
        <f>BK!F37</f>
        <v>58.139919999999996</v>
      </c>
      <c r="H4" s="5">
        <f>BK!G37</f>
        <v>41.222000000000001</v>
      </c>
      <c r="I4" s="5">
        <f>BK!H37</f>
        <v>134.8409</v>
      </c>
      <c r="J4" s="5">
        <f>BK!I37</f>
        <v>138.4777</v>
      </c>
      <c r="K4" s="5">
        <f>BK!J37</f>
        <v>165.65899999999999</v>
      </c>
      <c r="L4" s="5">
        <f>BK!K37</f>
        <v>159.86539999999999</v>
      </c>
      <c r="M4" s="5">
        <f>BK!L37</f>
        <v>186.99842699999999</v>
      </c>
      <c r="N4" s="5">
        <f>BK!M37</f>
        <v>151.0607</v>
      </c>
      <c r="O4" s="5">
        <f>BK!N37</f>
        <v>146.01929999999999</v>
      </c>
      <c r="P4" s="5">
        <f t="shared" ref="P4:P5" si="0">SUM(D4:O4)</f>
        <v>1344.739247</v>
      </c>
    </row>
    <row r="5" spans="2:16">
      <c r="B5" s="65"/>
      <c r="C5" t="s">
        <v>24</v>
      </c>
      <c r="D5" s="5">
        <f>[1]SP3!C37</f>
        <v>45.438943999999999</v>
      </c>
      <c r="E5" s="5">
        <f>[1]SP3!D37</f>
        <v>38.327629999999999</v>
      </c>
      <c r="F5" s="5">
        <f>[1]SP3!E37</f>
        <v>40.162329999999997</v>
      </c>
      <c r="G5" s="5">
        <f>[1]SP3!F37</f>
        <v>47.265079999999998</v>
      </c>
      <c r="H5" s="5">
        <f>[1]SP3!G37</f>
        <v>44.839829999999999</v>
      </c>
      <c r="I5" s="5">
        <f>[1]SP3!H37</f>
        <v>120.19458</v>
      </c>
      <c r="J5" s="5">
        <f>[1]SP3!I37</f>
        <v>109.09842</v>
      </c>
      <c r="K5" s="5">
        <f>[1]SP3!J37</f>
        <v>134.28808000000001</v>
      </c>
      <c r="L5" s="5">
        <f>[1]SP3!K37</f>
        <v>139.98535999999999</v>
      </c>
      <c r="M5" s="5">
        <f>[1]SP3!L37</f>
        <v>153.80945800000001</v>
      </c>
      <c r="N5" s="5">
        <f>[1]SP3!M37</f>
        <v>121.84898</v>
      </c>
      <c r="O5" s="5">
        <f>[1]SP3!N37</f>
        <v>111.80434</v>
      </c>
      <c r="P5" s="5">
        <f t="shared" si="0"/>
        <v>1107.063032</v>
      </c>
    </row>
    <row r="6" spans="2:16">
      <c r="B6" s="1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7">
        <f>SUM(P3:P5)</f>
        <v>2793.238703</v>
      </c>
    </row>
    <row r="7" spans="2:16">
      <c r="B7" s="65">
        <v>2012</v>
      </c>
      <c r="C7" s="13" t="s">
        <v>2</v>
      </c>
      <c r="D7" s="5">
        <f>BTS!C38</f>
        <v>17.593199999999996</v>
      </c>
      <c r="E7" s="5">
        <f>BTS!D38</f>
        <v>24.945170000000036</v>
      </c>
      <c r="F7" s="5">
        <f>BTS!E38</f>
        <v>30.776419999999984</v>
      </c>
      <c r="G7" s="5">
        <f>BTS!F38</f>
        <v>18.331620000000012</v>
      </c>
      <c r="H7" s="5">
        <f>BTS!G38</f>
        <v>32.240810000000003</v>
      </c>
      <c r="I7" s="5">
        <f>BTS!H38</f>
        <v>18.239860000000004</v>
      </c>
      <c r="J7" s="5">
        <f>BTS!I38</f>
        <v>23.386310000000002</v>
      </c>
      <c r="K7" s="5">
        <f>BTS!J38</f>
        <v>24.5884</v>
      </c>
      <c r="L7" s="5">
        <f>BTS!K38</f>
        <v>20.333479999999973</v>
      </c>
      <c r="M7" s="5">
        <f>BTS!L38</f>
        <v>61.827579999999998</v>
      </c>
      <c r="N7" s="5">
        <f>BTS!M38</f>
        <v>45.540440000000011</v>
      </c>
      <c r="O7" s="5">
        <f>BTS!N38</f>
        <v>26.213860000000061</v>
      </c>
      <c r="P7" s="5">
        <f>SUM(D7:O7)</f>
        <v>344.01715000000007</v>
      </c>
    </row>
    <row r="8" spans="2:16">
      <c r="B8" s="65"/>
      <c r="C8" t="s">
        <v>3</v>
      </c>
      <c r="D8" s="5">
        <f>BK!C38</f>
        <v>72.359699999999918</v>
      </c>
      <c r="E8" s="5">
        <f>BK!D38</f>
        <v>54.996000000000002</v>
      </c>
      <c r="F8" s="5">
        <f>BK!E38</f>
        <v>64.928100000000001</v>
      </c>
      <c r="G8" s="5">
        <f>BK!F38</f>
        <v>85.383000000000095</v>
      </c>
      <c r="H8" s="5">
        <f>BK!G38</f>
        <v>107.47929999999999</v>
      </c>
      <c r="I8" s="5">
        <f>BK!H38</f>
        <v>71.381799999999842</v>
      </c>
      <c r="J8" s="5">
        <f>BK!I38</f>
        <v>90.200800000000001</v>
      </c>
      <c r="K8" s="5">
        <f>BK!J38</f>
        <v>89.815389999999994</v>
      </c>
      <c r="L8" s="5">
        <f>BK!K38</f>
        <v>129.15731</v>
      </c>
      <c r="M8" s="5">
        <f>BK!L38</f>
        <v>197.96340000000001</v>
      </c>
      <c r="N8" s="5">
        <f>BK!M38</f>
        <v>126.4997</v>
      </c>
      <c r="O8" s="5">
        <f>BK!N38</f>
        <v>60.75250000000004</v>
      </c>
      <c r="P8" s="5">
        <f t="shared" ref="P8:P9" si="1">SUM(D8:O8)</f>
        <v>1150.9169999999999</v>
      </c>
    </row>
    <row r="9" spans="2:16">
      <c r="B9" s="65"/>
      <c r="C9" t="s">
        <v>24</v>
      </c>
      <c r="D9" s="5">
        <f>[1]SP3!C38</f>
        <v>59.674320000000016</v>
      </c>
      <c r="E9" s="5">
        <f>[1]SP3!D38</f>
        <v>45.210730000000012</v>
      </c>
      <c r="F9" s="5">
        <f>[1]SP3!E38</f>
        <v>53.45089999999994</v>
      </c>
      <c r="G9" s="5">
        <f>[1]SP3!F38</f>
        <v>68.856030000000075</v>
      </c>
      <c r="H9" s="5">
        <f>[1]SP3!G38</f>
        <v>89.703590000000005</v>
      </c>
      <c r="I9" s="5">
        <f>[1]SP3!H38</f>
        <v>59.162539999999971</v>
      </c>
      <c r="J9" s="5">
        <f>[1]SP3!I38</f>
        <v>85.503100000000003</v>
      </c>
      <c r="K9" s="5">
        <f>[1]SP3!J38</f>
        <v>70.413399999999996</v>
      </c>
      <c r="L9" s="5">
        <f>[1]SP3!K38</f>
        <v>128.244</v>
      </c>
      <c r="M9" s="5">
        <f>[1]SP3!L38</f>
        <v>162.03149999999999</v>
      </c>
      <c r="N9" s="5">
        <f>[1]SP3!M38</f>
        <v>98.273500000000027</v>
      </c>
      <c r="O9" s="5">
        <f>[1]SP3!N38</f>
        <v>51.891899999999985</v>
      </c>
      <c r="P9" s="5">
        <f t="shared" si="1"/>
        <v>972.41551000000015</v>
      </c>
    </row>
    <row r="10" spans="2:16">
      <c r="B10" s="1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7">
        <f>SUM(P7:P9)</f>
        <v>2467.3496600000003</v>
      </c>
    </row>
    <row r="11" spans="2:16">
      <c r="B11" s="65">
        <v>2013</v>
      </c>
      <c r="C11" s="13" t="s">
        <v>2</v>
      </c>
      <c r="D11" s="5">
        <f>BTS!C39</f>
        <v>14.871199999999954</v>
      </c>
      <c r="E11" s="5">
        <f>BTS!D39</f>
        <v>12.562000000000058</v>
      </c>
      <c r="F11" s="5">
        <f>BTS!E39</f>
        <v>19.831499999999998</v>
      </c>
      <c r="G11" s="5">
        <f>BTS!F39</f>
        <v>15.300799999999988</v>
      </c>
      <c r="H11" s="5">
        <f>BTS!G39</f>
        <v>14.842599999999917</v>
      </c>
      <c r="I11" s="5">
        <f>BTS!H39</f>
        <v>25.203587000000027</v>
      </c>
      <c r="J11" s="5">
        <f>BTS!I39</f>
        <v>28.08679999999999</v>
      </c>
      <c r="K11" s="5">
        <f>BTS!J39</f>
        <v>28.797600000000035</v>
      </c>
      <c r="L11" s="5">
        <f>BTS!K39</f>
        <v>27.668199999999956</v>
      </c>
      <c r="M11" s="5">
        <f>BTS!L39</f>
        <v>52.665999999999997</v>
      </c>
      <c r="N11" s="5">
        <f>BTS!M39</f>
        <v>29.38620000000007</v>
      </c>
      <c r="O11" s="5">
        <f>BTS!N39</f>
        <v>23.657800000000044</v>
      </c>
      <c r="P11" s="5">
        <f>SUM(D11:O11)</f>
        <v>292.87428700000009</v>
      </c>
    </row>
    <row r="12" spans="2:16">
      <c r="B12" s="65"/>
      <c r="C12" t="s">
        <v>3</v>
      </c>
      <c r="D12" s="5">
        <f>BK!C39</f>
        <v>40.030200000000015</v>
      </c>
      <c r="E12" s="5">
        <f>BK!D39</f>
        <v>19.726500000000001</v>
      </c>
      <c r="F12" s="5">
        <f>BK!E39</f>
        <v>37.599799999999988</v>
      </c>
      <c r="G12" s="5">
        <f>BK!F39</f>
        <v>30.851000000000059</v>
      </c>
      <c r="H12" s="5">
        <f>BK!G39</f>
        <v>48.609899999999961</v>
      </c>
      <c r="I12" s="5">
        <f>BK!H39</f>
        <v>101.43201999999999</v>
      </c>
      <c r="J12" s="5">
        <f>BK!I39</f>
        <v>131.56860000000009</v>
      </c>
      <c r="K12" s="5">
        <f>BK!J39</f>
        <v>123.13280000000005</v>
      </c>
      <c r="L12" s="5">
        <f>BK!K39</f>
        <v>101.00589999999991</v>
      </c>
      <c r="M12" s="5">
        <f>BK!L39</f>
        <v>171.20660000000009</v>
      </c>
      <c r="N12" s="5">
        <f>BK!M39</f>
        <v>137.92039999999992</v>
      </c>
      <c r="O12" s="5">
        <f>BK!N39</f>
        <v>92.884300000000039</v>
      </c>
      <c r="P12" s="5">
        <f t="shared" ref="P12:P13" si="2">SUM(D12:O12)</f>
        <v>1035.96802</v>
      </c>
    </row>
    <row r="13" spans="2:16">
      <c r="B13" s="65"/>
      <c r="C13" t="s">
        <v>24</v>
      </c>
      <c r="D13" s="5">
        <f>[1]SP3!C39</f>
        <v>29.3931</v>
      </c>
      <c r="E13" s="5">
        <f>[1]SP3!D39</f>
        <v>19.736499999999999</v>
      </c>
      <c r="F13" s="5">
        <f>[1]SP3!E39</f>
        <v>34.728999999999999</v>
      </c>
      <c r="G13" s="5">
        <f>[1]SP3!F39</f>
        <v>29.226700000000012</v>
      </c>
      <c r="H13" s="5">
        <f>[1]SP3!G39</f>
        <v>42.762400000000021</v>
      </c>
      <c r="I13" s="5">
        <f>[1]SP3!H39</f>
        <v>95.330377999999982</v>
      </c>
      <c r="J13" s="5">
        <f>[1]SP3!I39</f>
        <v>117.224</v>
      </c>
      <c r="K13" s="5">
        <f>[1]SP3!J39</f>
        <v>109.45139999999996</v>
      </c>
      <c r="L13" s="5">
        <f>[1]SP3!K39</f>
        <v>92.450600000000094</v>
      </c>
      <c r="M13" s="5">
        <f>[1]SP3!L39</f>
        <v>144.62429999999995</v>
      </c>
      <c r="N13" s="5">
        <f>[1]SP3!M39</f>
        <v>108.65509999999998</v>
      </c>
      <c r="O13" s="5">
        <f>[1]SP3!N39</f>
        <v>73.272799999999918</v>
      </c>
      <c r="P13" s="5">
        <f t="shared" si="2"/>
        <v>896.85627799999997</v>
      </c>
    </row>
    <row r="14" spans="2:16">
      <c r="B14" s="1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17">
        <f>SUM(P11:P13)</f>
        <v>2225.6985850000001</v>
      </c>
    </row>
    <row r="15" spans="2:16">
      <c r="B15" s="65">
        <v>2014</v>
      </c>
      <c r="C15" s="13" t="s">
        <v>2</v>
      </c>
      <c r="D15" s="5">
        <f>BTS!C40</f>
        <v>25.792999999999999</v>
      </c>
      <c r="E15" s="5">
        <f>BTS!D40</f>
        <v>25.095699999999955</v>
      </c>
      <c r="F15" s="5">
        <f>BTS!E40</f>
        <v>29.489099999999979</v>
      </c>
      <c r="G15" s="5">
        <f>BTS!F40</f>
        <v>14.045010000000008</v>
      </c>
      <c r="H15" s="5">
        <f>BTS!G40</f>
        <v>10.383187</v>
      </c>
      <c r="I15" s="5">
        <f>BTS!H40</f>
        <v>19.245000000000001</v>
      </c>
      <c r="J15" s="5">
        <f>BTS!I40</f>
        <v>42.027600000000092</v>
      </c>
      <c r="K15" s="5">
        <f>BTS!J40</f>
        <v>38.610900000000022</v>
      </c>
      <c r="L15" s="5">
        <f>BTS!K40</f>
        <v>32.21689999999991</v>
      </c>
      <c r="M15" s="5">
        <f>BTS!L40</f>
        <v>50.42570000000007</v>
      </c>
      <c r="N15" s="5">
        <f>BTS!M40</f>
        <v>17.23429999999993</v>
      </c>
      <c r="O15" s="5">
        <f>BTS!N40</f>
        <v>17.038914999999978</v>
      </c>
      <c r="P15" s="5">
        <f>SUM(D15:O15)</f>
        <v>321.60531199999991</v>
      </c>
    </row>
    <row r="16" spans="2:16">
      <c r="B16" s="65"/>
      <c r="C16" t="s">
        <v>3</v>
      </c>
      <c r="D16" s="5">
        <f>BK!C40</f>
        <v>57.855299999999936</v>
      </c>
      <c r="E16" s="5">
        <f>BK!D40</f>
        <v>47.695400000000021</v>
      </c>
      <c r="F16" s="5">
        <f>BK!E40</f>
        <v>58.585300000000046</v>
      </c>
      <c r="G16" s="5">
        <f>BK!F40</f>
        <v>35.451799999999935</v>
      </c>
      <c r="H16" s="5">
        <f>BK!G40</f>
        <v>47.9816</v>
      </c>
      <c r="I16" s="5">
        <f>BK!H40</f>
        <v>79.421700000000058</v>
      </c>
      <c r="J16" s="5">
        <f>BK!I40</f>
        <v>193.58380000000005</v>
      </c>
      <c r="K16" s="5">
        <f>BK!J40</f>
        <v>187.19009999999986</v>
      </c>
      <c r="L16" s="5">
        <f>BK!K40</f>
        <v>151.37049999999999</v>
      </c>
      <c r="M16" s="5">
        <f>BK!L40</f>
        <v>156.67130000000006</v>
      </c>
      <c r="N16" s="5">
        <f>BK!M40</f>
        <v>69.214499999999759</v>
      </c>
      <c r="O16" s="5">
        <f>BK!N40</f>
        <v>59.488500000000002</v>
      </c>
      <c r="P16" s="5">
        <f t="shared" ref="P16:P17" si="3">SUM(D16:O16)</f>
        <v>1144.5097999999996</v>
      </c>
    </row>
    <row r="17" spans="2:16">
      <c r="B17" s="65"/>
      <c r="C17" t="s">
        <v>24</v>
      </c>
      <c r="D17" s="5">
        <f>[1]SP3!C40</f>
        <v>42.385599999999975</v>
      </c>
      <c r="E17" s="5">
        <f>[1]SP3!D40</f>
        <v>40.999900000000139</v>
      </c>
      <c r="F17" s="5">
        <f>[1]SP3!E40</f>
        <v>41.354299999999931</v>
      </c>
      <c r="G17" s="5">
        <f>[1]SP3!F40</f>
        <v>30.1175</v>
      </c>
      <c r="H17" s="5">
        <f>[1]SP3!G40</f>
        <v>46.607299999999952</v>
      </c>
      <c r="I17" s="5">
        <f>[1]SP3!H40</f>
        <v>74.887100000000089</v>
      </c>
      <c r="J17" s="5">
        <f>[1]SP3!I40</f>
        <v>157.55799999999999</v>
      </c>
      <c r="K17" s="5">
        <f>[1]SP3!J40</f>
        <v>156.83119999999994</v>
      </c>
      <c r="L17" s="5">
        <f>[1]SP3!K40</f>
        <v>126.20710000000021</v>
      </c>
      <c r="M17" s="5">
        <f>[1]SP3!L40</f>
        <v>121.09479999999982</v>
      </c>
      <c r="N17" s="5">
        <f>[1]SP3!M40</f>
        <v>59.804499999999997</v>
      </c>
      <c r="O17" s="5">
        <f>[1]SP3!N40</f>
        <v>38.710599999999857</v>
      </c>
      <c r="P17" s="5">
        <f t="shared" si="3"/>
        <v>936.5578999999999</v>
      </c>
    </row>
    <row r="18" spans="2:16">
      <c r="B18" s="1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7">
        <f>SUM(P15:P17)</f>
        <v>2402.6730119999993</v>
      </c>
    </row>
    <row r="19" spans="2:16">
      <c r="B19" s="65">
        <v>2015</v>
      </c>
      <c r="C19" s="13" t="s">
        <v>2</v>
      </c>
      <c r="D19" s="5">
        <f>BTS!C41</f>
        <v>19.655700000000071</v>
      </c>
      <c r="E19" s="5">
        <f>BTS!D41</f>
        <v>16.195399999999907</v>
      </c>
      <c r="F19" s="5">
        <f>BTS!E41</f>
        <v>21.992599999999978</v>
      </c>
      <c r="G19" s="5">
        <f>BTS!F41</f>
        <v>19.548800000000163</v>
      </c>
      <c r="H19" s="5">
        <f>BTS!G41</f>
        <v>14.585599999999861</v>
      </c>
      <c r="I19" s="5">
        <f>BTS!H41</f>
        <v>16.866854000000092</v>
      </c>
      <c r="J19" s="5">
        <f>BTS!I41</f>
        <v>30.453499999999998</v>
      </c>
      <c r="K19" s="5">
        <f>BTS!J41</f>
        <v>23.635599999999979</v>
      </c>
      <c r="L19" s="5">
        <f>BTS!K41</f>
        <v>10.946999999999999</v>
      </c>
      <c r="M19" s="5">
        <f>BTS!L41</f>
        <v>5.6862000000000696</v>
      </c>
      <c r="N19" s="5">
        <f>BTS!M41</f>
        <v>6.8305999999999765</v>
      </c>
      <c r="O19" s="5">
        <f>BTS!N41</f>
        <v>11.53079999999993</v>
      </c>
      <c r="P19" s="5">
        <f>SUM(D19:O19)</f>
        <v>197.92865400000005</v>
      </c>
    </row>
    <row r="20" spans="2:16">
      <c r="B20" s="65"/>
      <c r="C20" t="s">
        <v>3</v>
      </c>
      <c r="D20" s="5">
        <f>BK!C41</f>
        <v>49.948200000000185</v>
      </c>
      <c r="E20" s="5">
        <f>BK!D41</f>
        <v>28.301700000000185</v>
      </c>
      <c r="F20" s="5">
        <f>BK!E41</f>
        <v>35.698799999999814</v>
      </c>
      <c r="G20" s="5">
        <f>BK!F41</f>
        <v>35.858400000000138</v>
      </c>
      <c r="H20" s="5">
        <f>BK!G41</f>
        <v>34.967299999999817</v>
      </c>
      <c r="I20" s="5">
        <f>BK!H41</f>
        <v>56.235633</v>
      </c>
      <c r="J20" s="5">
        <f>BK!I41</f>
        <v>110.37619999999995</v>
      </c>
      <c r="K20" s="5">
        <f>BK!J41</f>
        <v>119.47640000000014</v>
      </c>
      <c r="L20" s="5">
        <f>BK!K41</f>
        <v>95.11</v>
      </c>
      <c r="M20" s="5">
        <f>BK!L41</f>
        <v>71.211299999999824</v>
      </c>
      <c r="N20" s="5">
        <f>BK!M41</f>
        <v>51.643500000000003</v>
      </c>
      <c r="O20" s="5">
        <f>BK!N41</f>
        <v>47.109500000000232</v>
      </c>
      <c r="P20" s="5">
        <f t="shared" ref="P20:P21" si="4">SUM(D20:O20)</f>
        <v>735.93693300000029</v>
      </c>
    </row>
    <row r="21" spans="2:16">
      <c r="B21" s="65"/>
      <c r="C21" t="s">
        <v>24</v>
      </c>
      <c r="D21" s="5">
        <f>[1]SP3!C41</f>
        <v>42.550300000000043</v>
      </c>
      <c r="E21" s="5">
        <f>[1]SP3!D41</f>
        <v>28.215899999999905</v>
      </c>
      <c r="F21" s="5">
        <f>[1]SP3!E41</f>
        <v>25.004600000000327</v>
      </c>
      <c r="G21" s="5">
        <f>[1]SP3!F41</f>
        <v>36.213099999999855</v>
      </c>
      <c r="H21" s="5">
        <f>[1]SP3!G41</f>
        <v>26.331800000000044</v>
      </c>
      <c r="I21" s="5">
        <f>[1]SP3!H41</f>
        <v>52.941454000000142</v>
      </c>
      <c r="J21" s="5">
        <f>[1]SP3!I41</f>
        <v>82.643899999999675</v>
      </c>
      <c r="K21" s="5">
        <f>[1]SP3!J41</f>
        <v>94.82080000000029</v>
      </c>
      <c r="L21" s="5">
        <f>[1]SP3!K41</f>
        <v>80.047099999999872</v>
      </c>
      <c r="M21" s="5">
        <f>[1]SP3!L41</f>
        <v>72.551099999999863</v>
      </c>
      <c r="N21" s="5">
        <f>[1]SP3!M41</f>
        <v>43.626400000000132</v>
      </c>
      <c r="O21" s="5">
        <f>[1]SP3!N41</f>
        <v>32.681399999999904</v>
      </c>
      <c r="P21" s="5">
        <f t="shared" si="4"/>
        <v>617.62785400000007</v>
      </c>
    </row>
    <row r="22" spans="2:16">
      <c r="B22" s="1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7">
        <f>SUM(P19:P21)</f>
        <v>1551.4934410000005</v>
      </c>
    </row>
    <row r="23" spans="2:16">
      <c r="B23" s="65">
        <v>2016</v>
      </c>
      <c r="C23" s="13" t="s">
        <v>2</v>
      </c>
      <c r="D23" s="5">
        <f>BTS!C42</f>
        <v>20.582000000000001</v>
      </c>
      <c r="E23" s="5">
        <f>BTS!D42</f>
        <v>14.816299999999929</v>
      </c>
      <c r="F23" s="5">
        <f>BTS!E42</f>
        <v>17.285700000000066</v>
      </c>
      <c r="G23" s="5">
        <f>BTS!F42</f>
        <v>16.085000000000001</v>
      </c>
      <c r="H23" s="5">
        <f>BTS!G42</f>
        <v>14.919699999999953</v>
      </c>
      <c r="I23" s="5">
        <f>BTS!H42</f>
        <v>13.799793000000115</v>
      </c>
      <c r="J23" s="5">
        <f>BTS!I42</f>
        <v>24.193314999999945</v>
      </c>
      <c r="K23" s="5">
        <f>BTS!J42</f>
        <v>24.424043999999991</v>
      </c>
      <c r="L23" s="5">
        <f>BTS!K42</f>
        <v>11.858167000000014</v>
      </c>
      <c r="M23" s="5">
        <f>BTS!L42</f>
        <v>39.069295000000047</v>
      </c>
      <c r="N23" s="5">
        <f>BTS!M42</f>
        <v>50.507664999999918</v>
      </c>
      <c r="O23" s="5">
        <f>BTS!N42</f>
        <v>46.910890000000137</v>
      </c>
      <c r="P23" s="5">
        <f>SUM(D23:O23)</f>
        <v>294.4518690000001</v>
      </c>
    </row>
    <row r="24" spans="2:16">
      <c r="B24" s="65"/>
      <c r="C24" t="s">
        <v>3</v>
      </c>
      <c r="D24" s="5">
        <f>BK!C42</f>
        <v>44.561899999999909</v>
      </c>
      <c r="E24" s="5">
        <f>BK!D42</f>
        <v>24.298100000000094</v>
      </c>
      <c r="F24" s="5">
        <f>BK!E42</f>
        <v>28.284299999999813</v>
      </c>
      <c r="G24" s="5">
        <f>BK!F42</f>
        <v>27.128700000000187</v>
      </c>
      <c r="H24" s="5">
        <f>BK!G42</f>
        <v>34.716699999999719</v>
      </c>
      <c r="I24" s="5">
        <f>BK!H42</f>
        <v>54.870967000000284</v>
      </c>
      <c r="J24" s="5">
        <f>BK!I42</f>
        <v>94.48197599999979</v>
      </c>
      <c r="K24" s="5">
        <f>BK!J42</f>
        <v>101.94487800000003</v>
      </c>
      <c r="L24" s="5">
        <f>BK!K42</f>
        <v>75.765530000000027</v>
      </c>
      <c r="M24" s="5">
        <f>BK!L42</f>
        <v>156.29349900000005</v>
      </c>
      <c r="N24" s="5">
        <f>BK!M42</f>
        <v>185.10087399999983</v>
      </c>
      <c r="O24" s="5">
        <f>BK!N42</f>
        <v>195.29755300000031</v>
      </c>
      <c r="P24" s="5">
        <f t="shared" ref="P24:P25" si="5">SUM(D24:O24)</f>
        <v>1022.7449770000001</v>
      </c>
    </row>
    <row r="25" spans="2:16">
      <c r="B25" s="65"/>
      <c r="C25" t="s">
        <v>24</v>
      </c>
      <c r="D25" s="5">
        <f>[1]SP3!C42</f>
        <v>40.519900000000142</v>
      </c>
      <c r="E25" s="5">
        <f>[1]SP3!D42</f>
        <v>25.088399999999908</v>
      </c>
      <c r="F25" s="5">
        <f>[1]SP3!E42</f>
        <v>19.354500000000002</v>
      </c>
      <c r="G25" s="5">
        <f>[1]SP3!F42</f>
        <v>18.631800000000045</v>
      </c>
      <c r="H25" s="5">
        <f>[1]SP3!G42</f>
        <v>34.095199999999956</v>
      </c>
      <c r="I25" s="5">
        <f>[1]SP3!H42</f>
        <v>47.132133000000138</v>
      </c>
      <c r="J25" s="5">
        <f>[1]SP3!I42</f>
        <v>78.753672000000009</v>
      </c>
      <c r="K25" s="5">
        <f>[1]SP3!J42</f>
        <v>83.396789999999811</v>
      </c>
      <c r="L25" s="5">
        <f>[1]SP3!K42</f>
        <v>73.828290000000024</v>
      </c>
      <c r="M25" s="5">
        <f>[1]SP3!L42</f>
        <v>132.59153199999989</v>
      </c>
      <c r="N25" s="5">
        <f>[1]SP3!M42</f>
        <v>144.76705800000019</v>
      </c>
      <c r="O25" s="5">
        <f>[1]SP3!N42</f>
        <v>155.64489400000008</v>
      </c>
      <c r="P25" s="5">
        <f t="shared" si="5"/>
        <v>853.80416900000023</v>
      </c>
    </row>
    <row r="26" spans="2:16">
      <c r="B26" s="1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17">
        <f>SUM(P23:P25)</f>
        <v>2171.0010150000007</v>
      </c>
    </row>
    <row r="27" spans="2:16">
      <c r="B27" s="65">
        <v>2017</v>
      </c>
      <c r="C27" s="13" t="s">
        <v>2</v>
      </c>
      <c r="D27" s="5">
        <f>BTS!C43</f>
        <v>31.364885999999821</v>
      </c>
      <c r="E27" s="5">
        <f>BTS!D43</f>
        <v>21.604490000000109</v>
      </c>
      <c r="F27" s="5">
        <f>BTS!E43</f>
        <v>24.754403000000053</v>
      </c>
      <c r="G27" s="5">
        <f>BTS!F43</f>
        <v>30.05861999999988</v>
      </c>
      <c r="H27" s="5">
        <f>BTS!G43</f>
        <v>35.617789999999928</v>
      </c>
      <c r="I27" s="5">
        <f>BTS!H43</f>
        <v>49.377231000000151</v>
      </c>
      <c r="J27" s="5">
        <f>BTS!I43</f>
        <v>26.841631999999986</v>
      </c>
      <c r="K27" s="5">
        <f>BTS!J43</f>
        <v>41.75631599999987</v>
      </c>
      <c r="L27" s="5">
        <f>BTS!K43</f>
        <v>61.071907000000117</v>
      </c>
      <c r="M27" s="5">
        <f>BTS!L43</f>
        <v>55.999551999999909</v>
      </c>
      <c r="N27" s="5">
        <f>BTS!M43</f>
        <v>54.194130000000122</v>
      </c>
      <c r="O27" s="5">
        <f>BTS!N43</f>
        <v>41.483336999999821</v>
      </c>
      <c r="P27" s="5">
        <f>SUM(D27:O27)</f>
        <v>474.12429399999985</v>
      </c>
    </row>
    <row r="28" spans="2:16">
      <c r="B28" s="65"/>
      <c r="C28" t="s">
        <v>3</v>
      </c>
      <c r="D28" s="5">
        <f>BK!C43</f>
        <v>147.31777</v>
      </c>
      <c r="E28" s="5">
        <f>BK!D43</f>
        <v>84.774964999999852</v>
      </c>
      <c r="F28" s="5">
        <f>BK!E43</f>
        <v>56.843450999999881</v>
      </c>
      <c r="G28" s="5">
        <f>BK!F43</f>
        <v>71.933518000000149</v>
      </c>
      <c r="H28" s="5">
        <f>BK!G43</f>
        <v>138.78362400000029</v>
      </c>
      <c r="I28" s="5">
        <f>BK!H43</f>
        <v>184.92081999999942</v>
      </c>
      <c r="J28" s="5">
        <f>BK!I43</f>
        <v>158.92538500000023</v>
      </c>
      <c r="K28" s="5">
        <f>BK!J43</f>
        <v>166.84722599999978</v>
      </c>
      <c r="L28" s="5">
        <f>BK!K43</f>
        <v>177.18828400000044</v>
      </c>
      <c r="M28" s="5">
        <f>BK!L43</f>
        <v>183.54134299999942</v>
      </c>
      <c r="N28" s="5">
        <f>BK!M43</f>
        <v>182.61075499999987</v>
      </c>
      <c r="O28" s="5">
        <f>BK!N43</f>
        <v>189.60795600000071</v>
      </c>
      <c r="P28" s="5">
        <f t="shared" ref="P28:P29" si="6">SUM(D28:O28)</f>
        <v>1743.2950970000002</v>
      </c>
    </row>
    <row r="29" spans="2:16">
      <c r="B29" s="65"/>
      <c r="C29" t="s">
        <v>24</v>
      </c>
      <c r="D29" s="5">
        <f>[1]SP3!C43</f>
        <v>108.60762999999989</v>
      </c>
      <c r="E29" s="5">
        <f>[1]SP3!D43</f>
        <v>60.113165999999971</v>
      </c>
      <c r="F29" s="5">
        <f>[1]SP3!E43</f>
        <v>46.122814999999939</v>
      </c>
      <c r="G29" s="5">
        <f>[1]SP3!F43</f>
        <v>47.596593000000105</v>
      </c>
      <c r="H29" s="5">
        <f>[1]SP3!G43</f>
        <v>110.79442499999982</v>
      </c>
      <c r="I29" s="5">
        <f>[1]SP3!H43</f>
        <v>147.72678699999997</v>
      </c>
      <c r="J29" s="5">
        <f>[1]SP3!I43</f>
        <v>132.76311200000009</v>
      </c>
      <c r="K29" s="5">
        <f>[1]SP3!J43</f>
        <v>131.70101400000019</v>
      </c>
      <c r="L29" s="5">
        <f>[1]SP3!K43</f>
        <v>140.74008200000006</v>
      </c>
      <c r="M29" s="5">
        <f>[1]SP3!L43</f>
        <v>143.57093799999984</v>
      </c>
      <c r="N29" s="5">
        <f>[1]SP3!M43</f>
        <v>150.22648000000001</v>
      </c>
      <c r="O29" s="5">
        <f>[1]SP3!N43</f>
        <v>154.0835330000003</v>
      </c>
      <c r="P29" s="5">
        <f t="shared" si="6"/>
        <v>1374.0465750000003</v>
      </c>
    </row>
    <row r="30" spans="2:16">
      <c r="B30" s="14"/>
      <c r="D30" s="5">
        <f>SUM(D27:D29)</f>
        <v>287.2902859999997</v>
      </c>
      <c r="E30" s="5">
        <f t="shared" ref="E30:I30" si="7">SUM(E27:E29)</f>
        <v>166.49262099999993</v>
      </c>
      <c r="F30" s="5">
        <f t="shared" si="7"/>
        <v>127.72066899999987</v>
      </c>
      <c r="G30" s="5">
        <f t="shared" si="7"/>
        <v>149.58873100000014</v>
      </c>
      <c r="H30" s="5">
        <f t="shared" si="7"/>
        <v>285.19583900000003</v>
      </c>
      <c r="I30" s="5">
        <f t="shared" si="7"/>
        <v>382.02483799999959</v>
      </c>
      <c r="J30" s="5">
        <f t="shared" ref="J30" si="8">SUM(J27:J29)</f>
        <v>318.53012900000033</v>
      </c>
      <c r="K30" s="5">
        <f t="shared" ref="K30" si="9">SUM(K27:K29)</f>
        <v>340.30455599999982</v>
      </c>
      <c r="L30" s="5">
        <f t="shared" ref="L30" si="10">SUM(L27:L29)</f>
        <v>379.00027300000062</v>
      </c>
      <c r="M30" s="5">
        <f t="shared" ref="M30" si="11">SUM(M27:M29)</f>
        <v>383.11183299999914</v>
      </c>
      <c r="N30" s="5">
        <f t="shared" ref="N30" si="12">SUM(N27:N29)</f>
        <v>387.03136499999999</v>
      </c>
      <c r="O30" s="5">
        <f t="shared" ref="O30" si="13">SUM(O27:O29)</f>
        <v>385.17482600000085</v>
      </c>
      <c r="P30" s="17">
        <f>SUM(P27:P29)</f>
        <v>3591.4659660000002</v>
      </c>
    </row>
    <row r="31" spans="2:16">
      <c r="B31" s="1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17"/>
    </row>
    <row r="32" spans="2:16">
      <c r="B32" s="65">
        <v>2018</v>
      </c>
      <c r="C32" s="13" t="s">
        <v>2</v>
      </c>
      <c r="D32" s="5">
        <f>BTS!C44</f>
        <v>29.766293000000065</v>
      </c>
      <c r="E32" s="5">
        <f>BTS!D44</f>
        <v>25.200817000000271</v>
      </c>
      <c r="F32" s="5">
        <f>BTS!E44</f>
        <v>30.107095999999903</v>
      </c>
      <c r="G32" s="5">
        <f>BTS!F44</f>
        <v>24.195173</v>
      </c>
      <c r="H32" s="5">
        <f>BTS!G44</f>
        <v>15.153889999999665</v>
      </c>
      <c r="I32" s="5">
        <f>BTS!H44</f>
        <v>20.327558000000217</v>
      </c>
      <c r="J32" s="5">
        <f>BTS!I44</f>
        <v>30.515135000000242</v>
      </c>
      <c r="K32" s="5">
        <f>BTS!J44</f>
        <v>39.907780000000031</v>
      </c>
      <c r="L32" s="5">
        <f>BTS!K44</f>
        <v>53.387756999999745</v>
      </c>
      <c r="M32" s="5">
        <f>BTS!L44</f>
        <v>57.173652000000239</v>
      </c>
      <c r="N32" s="5">
        <f>BTS!M44</f>
        <v>24.243526999999769</v>
      </c>
      <c r="O32" s="5">
        <f>BTS!N44</f>
        <v>27.942357999999999</v>
      </c>
      <c r="P32" s="5">
        <f>SUM(D32:O32)</f>
        <v>377.92103600000013</v>
      </c>
    </row>
    <row r="33" spans="2:16">
      <c r="B33" s="65"/>
      <c r="C33" t="s">
        <v>3</v>
      </c>
      <c r="D33" s="5">
        <f>BK!C44</f>
        <v>125.761033</v>
      </c>
      <c r="E33" s="5">
        <f>BK!D44</f>
        <v>63.206232999999536</v>
      </c>
      <c r="F33" s="5">
        <f>BK!E44</f>
        <v>66.400333000000572</v>
      </c>
      <c r="G33" s="5">
        <f>BK!F44</f>
        <v>59.581732999999538</v>
      </c>
      <c r="H33" s="5">
        <f>BK!G44</f>
        <v>57.857050999999977</v>
      </c>
      <c r="I33" s="5">
        <f>BK!H44</f>
        <v>71.134424000000777</v>
      </c>
      <c r="J33" s="5">
        <f>BK!I44</f>
        <v>118.96295500000008</v>
      </c>
      <c r="K33" s="5">
        <f>BK!J44</f>
        <v>141.01818399999897</v>
      </c>
      <c r="L33" s="5">
        <f>BK!K44</f>
        <v>164.50247300000024</v>
      </c>
      <c r="M33" s="5">
        <f>BK!L44</f>
        <v>147.82510400000001</v>
      </c>
      <c r="N33" s="5">
        <f>BK!M44</f>
        <v>88.371788999999879</v>
      </c>
      <c r="O33" s="5">
        <f>BK!N44</f>
        <v>114.598782</v>
      </c>
      <c r="P33" s="5">
        <f t="shared" ref="P33:P34" si="14">SUM(D33:O33)</f>
        <v>1219.2200939999996</v>
      </c>
    </row>
    <row r="34" spans="2:16">
      <c r="B34" s="65"/>
      <c r="C34" t="s">
        <v>24</v>
      </c>
      <c r="D34" s="5">
        <f>[1]SP3!C44</f>
        <v>84.546728999999814</v>
      </c>
      <c r="E34" s="5">
        <f>[1]SP3!D44</f>
        <v>51.033550999999974</v>
      </c>
      <c r="F34" s="5">
        <f>[1]SP3!E44</f>
        <v>46.668175000000282</v>
      </c>
      <c r="G34" s="5">
        <f>[1]SP3!F44</f>
        <v>40.693681999999569</v>
      </c>
      <c r="H34" s="5">
        <f>[1]SP3!G44</f>
        <v>41.664416000000202</v>
      </c>
      <c r="I34" s="5">
        <f>[1]SP3!H44</f>
        <v>62.748268000000088</v>
      </c>
      <c r="J34" s="5">
        <f>[1]SP3!I44</f>
        <v>93.599611000000024</v>
      </c>
      <c r="K34" s="5">
        <f>[1]SP3!J44</f>
        <v>113.87151199999987</v>
      </c>
      <c r="L34" s="5">
        <f>[1]SP3!K44</f>
        <v>131.2371159999997</v>
      </c>
      <c r="M34" s="5">
        <f>[1]SP3!L44</f>
        <v>110.50994200000027</v>
      </c>
      <c r="N34" s="5">
        <f>[1]SP3!M44</f>
        <v>56.484308999999655</v>
      </c>
      <c r="O34" s="5">
        <f>[1]SP3!N44</f>
        <v>83.636537000000004</v>
      </c>
      <c r="P34" s="5">
        <f t="shared" si="14"/>
        <v>916.69384799999932</v>
      </c>
    </row>
    <row r="35" spans="2:16">
      <c r="B35" s="1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17">
        <f>SUM(P32:P34)</f>
        <v>2513.834977999999</v>
      </c>
    </row>
    <row r="36" spans="2:16">
      <c r="B36" s="65">
        <v>2019</v>
      </c>
      <c r="C36" s="13" t="s">
        <v>2</v>
      </c>
      <c r="D36" s="5">
        <f>BTS!C45</f>
        <v>22.552581999999937</v>
      </c>
      <c r="E36" s="5">
        <f>BTS!D45</f>
        <v>20.843499000000065</v>
      </c>
      <c r="F36" s="5">
        <f>BTS!E45</f>
        <v>29.454128999999956</v>
      </c>
      <c r="G36" s="5">
        <f>BTS!F45</f>
        <v>20.305261000000172</v>
      </c>
      <c r="H36" s="5">
        <f>BTS!G45</f>
        <v>13.686037000000011</v>
      </c>
      <c r="I36" s="5">
        <f>BTS!H45</f>
        <v>10.809938999999796</v>
      </c>
      <c r="J36" s="5">
        <f>BTS!I45</f>
        <v>12.072376000000164</v>
      </c>
      <c r="K36" s="5">
        <f>BTS!J45</f>
        <v>35.882240999999922</v>
      </c>
      <c r="L36" s="5">
        <f>BTS!K45</f>
        <v>30.512249000000068</v>
      </c>
      <c r="M36" s="5">
        <f>BTS!L45</f>
        <v>41.633333999999998</v>
      </c>
      <c r="N36" s="5">
        <f>BTS!M45</f>
        <v>47.532623000000001</v>
      </c>
      <c r="O36" s="5">
        <f>BTS!N45</f>
        <v>24.291547999999953</v>
      </c>
      <c r="P36" s="5">
        <f>SUM(D36:O36)</f>
        <v>309.57581800000008</v>
      </c>
    </row>
    <row r="37" spans="2:16">
      <c r="B37" s="65"/>
      <c r="C37" t="s">
        <v>3</v>
      </c>
      <c r="D37" s="5">
        <f>BK!C45</f>
        <v>126.22684200000018</v>
      </c>
      <c r="E37" s="5">
        <f>BK!D45</f>
        <v>48.35960799999954</v>
      </c>
      <c r="F37" s="5">
        <f>BK!E45</f>
        <v>60.347191000000066</v>
      </c>
      <c r="G37" s="5">
        <f>BK!F45</f>
        <v>47.448669000000223</v>
      </c>
      <c r="H37" s="5">
        <f>BK!G45</f>
        <v>52.397391999999975</v>
      </c>
      <c r="I37" s="5">
        <f>BK!H45</f>
        <v>60.510794999999924</v>
      </c>
      <c r="J37" s="5">
        <f>BK!I45</f>
        <v>56.785311999999919</v>
      </c>
      <c r="K37" s="5">
        <f>BK!J45</f>
        <v>151.60729500000039</v>
      </c>
      <c r="L37" s="5">
        <f>BK!K45</f>
        <v>179.00042699999923</v>
      </c>
      <c r="M37" s="5">
        <f>BK!L45</f>
        <v>139.15062599999999</v>
      </c>
      <c r="N37" s="5">
        <f>BK!M45</f>
        <v>176.23853199999999</v>
      </c>
      <c r="O37" s="5">
        <f>BK!N45</f>
        <v>85.396231000000611</v>
      </c>
      <c r="P37" s="5">
        <f t="shared" ref="P37:P38" si="15">SUM(D37:O37)</f>
        <v>1183.46892</v>
      </c>
    </row>
    <row r="38" spans="2:16">
      <c r="B38" s="65"/>
      <c r="C38" t="s">
        <v>24</v>
      </c>
      <c r="D38" s="5">
        <f>[1]SP3!C45</f>
        <v>91.580513000000266</v>
      </c>
      <c r="E38" s="5">
        <f>[1]SP3!D45</f>
        <v>37.416697999999862</v>
      </c>
      <c r="F38" s="5">
        <f>[1]SP3!E45</f>
        <v>43.255247999999902</v>
      </c>
      <c r="G38" s="5">
        <f>[1]SP3!F45</f>
        <v>33.997204000000139</v>
      </c>
      <c r="H38" s="5">
        <f>[1]SP3!G45</f>
        <v>39.573388000000037</v>
      </c>
      <c r="I38" s="5">
        <f>[1]SP3!H45</f>
        <v>49.43702899999964</v>
      </c>
      <c r="J38" s="5">
        <f>[1]SP3!I45</f>
        <v>43.086667000000133</v>
      </c>
      <c r="K38" s="5">
        <f>[1]SP3!J45</f>
        <v>123.83850699999998</v>
      </c>
      <c r="L38" s="5">
        <f>[1]SP3!K45</f>
        <v>139.80565200000024</v>
      </c>
      <c r="M38" s="5">
        <f>[1]SP3!L45</f>
        <v>110.986784</v>
      </c>
      <c r="N38" s="5">
        <f>[1]SP3!M45</f>
        <v>138.42449400000001</v>
      </c>
      <c r="O38" s="5">
        <f>[1]SP3!N45</f>
        <v>63.395966000000016</v>
      </c>
      <c r="P38" s="5">
        <f t="shared" si="15"/>
        <v>914.79815000000019</v>
      </c>
    </row>
    <row r="39" spans="2:16">
      <c r="B39" s="1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17">
        <f>SUM(P36:P38)</f>
        <v>2407.8428880000001</v>
      </c>
    </row>
    <row r="40" spans="2:16">
      <c r="B40" s="65">
        <v>2020</v>
      </c>
      <c r="C40" s="13" t="s">
        <v>2</v>
      </c>
      <c r="D40" s="5">
        <f>BTS!C46</f>
        <v>24.566246999999972</v>
      </c>
      <c r="E40" s="5">
        <f>BTS!D46</f>
        <v>22.680795000000156</v>
      </c>
      <c r="F40" s="5">
        <f>BTS!E46</f>
        <v>25.492474999999857</v>
      </c>
      <c r="G40" s="5">
        <f>BTS!F46</f>
        <v>14.732552000000142</v>
      </c>
      <c r="H40" s="5">
        <f>BTS!G46</f>
        <v>13.924613000000001</v>
      </c>
      <c r="I40" s="5">
        <f>BTS!H46</f>
        <v>10.573797000000253</v>
      </c>
      <c r="J40" s="5">
        <f>BTS!I46</f>
        <v>21.065653000000001</v>
      </c>
      <c r="K40" s="5">
        <f>BTS!J46</f>
        <v>36.94277800000016</v>
      </c>
      <c r="L40" s="5">
        <f>BTS!K46</f>
        <v>37.933302999999839</v>
      </c>
      <c r="M40" s="5">
        <f>BTS!L46</f>
        <v>22.716196000000231</v>
      </c>
      <c r="N40" s="5">
        <f>BTS!M46</f>
        <v>46.793722000000066</v>
      </c>
      <c r="O40" s="5">
        <f>BTS!N46</f>
        <v>43.477064999999939</v>
      </c>
      <c r="P40" s="5">
        <f>SUM(D40:O40)</f>
        <v>320.89919600000064</v>
      </c>
    </row>
    <row r="41" spans="2:16">
      <c r="B41" s="65"/>
      <c r="C41" t="s">
        <v>3</v>
      </c>
      <c r="D41" s="5">
        <f>BK!C46</f>
        <v>52.160716999999245</v>
      </c>
      <c r="E41" s="5">
        <f>BK!D46</f>
        <v>38.226069000001068</v>
      </c>
      <c r="F41" s="5">
        <f>BK!E46</f>
        <v>44.340092999999413</v>
      </c>
      <c r="G41" s="5">
        <f>BK!F46</f>
        <v>29.286831000001168</v>
      </c>
      <c r="H41" s="5">
        <f>BK!G46</f>
        <v>28.976669999999999</v>
      </c>
      <c r="I41" s="5">
        <f>BK!H46</f>
        <v>75.012167999999605</v>
      </c>
      <c r="J41" s="5">
        <f>BK!I46</f>
        <v>99.726883000000001</v>
      </c>
      <c r="K41" s="5">
        <f>BK!J46</f>
        <v>195.32551900000007</v>
      </c>
      <c r="L41" s="5">
        <f>BK!K46</f>
        <v>179.58833199999947</v>
      </c>
      <c r="M41" s="5">
        <f>BK!L46</f>
        <v>193.41799200000031</v>
      </c>
      <c r="N41" s="5">
        <f>BK!M46</f>
        <v>189.00704200000013</v>
      </c>
      <c r="O41" s="5">
        <f>BK!N46</f>
        <v>202.91342899999952</v>
      </c>
      <c r="P41" s="5">
        <f t="shared" ref="P41:P42" si="16">SUM(D41:O41)</f>
        <v>1327.981745</v>
      </c>
    </row>
    <row r="42" spans="2:16">
      <c r="B42" s="65"/>
      <c r="C42" t="s">
        <v>24</v>
      </c>
      <c r="D42" s="5">
        <f>[1]SP3!C46</f>
        <v>41.345302000000139</v>
      </c>
      <c r="E42" s="5">
        <f>[1]SP3!D46</f>
        <v>31.129697999999859</v>
      </c>
      <c r="F42" s="5">
        <f>[1]SP3!E46</f>
        <v>32.180595999999902</v>
      </c>
      <c r="G42" s="5">
        <f>[1]SP3!F46</f>
        <v>24.479286000000315</v>
      </c>
      <c r="H42" s="5">
        <f>[1]SP3!G46</f>
        <v>21.331489000000001</v>
      </c>
      <c r="I42" s="5">
        <f>[1]SP3!H46</f>
        <v>59.464098999999926</v>
      </c>
      <c r="J42" s="5">
        <f>[1]SP3!I46</f>
        <v>88.018130999999997</v>
      </c>
      <c r="K42" s="5">
        <f>[1]SP3!J46</f>
        <v>156.36365299999994</v>
      </c>
      <c r="L42" s="5">
        <f>[1]SP3!K46</f>
        <v>144.26588499999977</v>
      </c>
      <c r="M42" s="5">
        <f>[1]SP3!L46</f>
        <v>159.092885</v>
      </c>
      <c r="N42" s="5">
        <f>[1]SP3!M46</f>
        <v>151.58334699999961</v>
      </c>
      <c r="O42" s="5">
        <f>[1]SP3!N46</f>
        <v>154.71383700000078</v>
      </c>
      <c r="P42" s="5">
        <f t="shared" si="16"/>
        <v>1063.9682080000002</v>
      </c>
    </row>
    <row r="43" spans="2:16">
      <c r="B43" s="1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17">
        <f>SUM(P40:P42)</f>
        <v>2712.849149000001</v>
      </c>
    </row>
    <row r="44" spans="2:16">
      <c r="B44" s="65">
        <v>2021</v>
      </c>
      <c r="C44" s="13" t="s">
        <v>2</v>
      </c>
      <c r="D44" s="5">
        <f>BTS!C47</f>
        <v>29.164321999999927</v>
      </c>
      <c r="E44" s="5">
        <f>BTS!D47</f>
        <v>26.659041999999904</v>
      </c>
      <c r="F44" s="5">
        <f>BTS!E47</f>
        <v>29.322748000000139</v>
      </c>
      <c r="G44" s="5">
        <f>BTS!F47</f>
        <v>17.608156999999888</v>
      </c>
      <c r="H44" s="5">
        <f>BTS!G47</f>
        <v>14.82469700000016</v>
      </c>
      <c r="I44" s="5">
        <f>BTS!H47</f>
        <v>11.728076999999816</v>
      </c>
      <c r="J44" s="5">
        <f>BTS!I47</f>
        <v>19.794796000000261</v>
      </c>
      <c r="K44" s="5">
        <f>BTS!J47</f>
        <v>20.40146099999966</v>
      </c>
      <c r="L44" s="5">
        <f>BTS!K47</f>
        <v>26.350116000000156</v>
      </c>
      <c r="M44" s="5">
        <f>BTS!L47</f>
        <v>44.472706000000002</v>
      </c>
      <c r="N44" s="5">
        <f>BTS!M47</f>
        <v>56.895757999999908</v>
      </c>
      <c r="O44" s="5">
        <f>BTS!N47</f>
        <v>42.598993999999948</v>
      </c>
      <c r="P44" s="5">
        <f>SUM(D44:O44)</f>
        <v>339.82087399999978</v>
      </c>
    </row>
    <row r="45" spans="2:16">
      <c r="B45" s="65"/>
      <c r="C45" t="s">
        <v>3</v>
      </c>
      <c r="D45" s="5">
        <f>BK!C47</f>
        <v>110.36860699999997</v>
      </c>
      <c r="E45" s="5">
        <f>BK!D47</f>
        <v>61.981315000000762</v>
      </c>
      <c r="F45" s="5">
        <f>BK!E47</f>
        <v>61.426696999999223</v>
      </c>
      <c r="G45" s="5">
        <f>BK!F47</f>
        <v>46.831182000000027</v>
      </c>
      <c r="H45" s="5">
        <f>BK!G47</f>
        <v>53.630072999999967</v>
      </c>
      <c r="I45" s="5">
        <f>BK!H47</f>
        <v>49.802541000000204</v>
      </c>
      <c r="J45" s="5">
        <f>BK!I47</f>
        <v>81.105309000000133</v>
      </c>
      <c r="K45" s="5">
        <f>BK!J47</f>
        <v>86.7923049999997</v>
      </c>
      <c r="L45" s="5">
        <f>BK!K47</f>
        <v>166.61844500000123</v>
      </c>
      <c r="M45" s="5">
        <f>BK!L47</f>
        <v>192.76609399999921</v>
      </c>
      <c r="N45" s="5">
        <f>BK!M47</f>
        <v>192.90018000000086</v>
      </c>
      <c r="O45" s="5">
        <f>BK!N47</f>
        <v>181.47385199999974</v>
      </c>
      <c r="P45" s="5">
        <f t="shared" ref="P45:P46" si="17">SUM(D45:O45)</f>
        <v>1285.6966000000011</v>
      </c>
    </row>
    <row r="46" spans="2:16">
      <c r="B46" s="65"/>
      <c r="C46" t="s">
        <v>24</v>
      </c>
      <c r="D46" s="5">
        <f>[1]SP3!C47</f>
        <v>84.770697999999385</v>
      </c>
      <c r="E46" s="5">
        <f>[1]SP3!D47</f>
        <v>51.779504000000657</v>
      </c>
      <c r="F46" s="5">
        <f>[1]SP3!E47</f>
        <v>43.542483000000004</v>
      </c>
      <c r="G46" s="5">
        <f>[1]SP3!F47</f>
        <v>34.706387999999336</v>
      </c>
      <c r="H46" s="5">
        <f>[1]SP3!G47</f>
        <v>42.992444000000134</v>
      </c>
      <c r="I46" s="5">
        <f>[1]SP3!H47</f>
        <v>39.461503999999721</v>
      </c>
      <c r="J46" s="5">
        <f>[1]SP3!I47</f>
        <v>62.004547000000166</v>
      </c>
      <c r="K46" s="5">
        <f>[1]SP3!J47</f>
        <v>69.880805999999865</v>
      </c>
      <c r="L46" s="5">
        <f>[1]SP3!K47</f>
        <v>133.2786650000005</v>
      </c>
      <c r="M46" s="5">
        <f>[1]SP3!L47</f>
        <v>157.50553899999989</v>
      </c>
      <c r="N46" s="5">
        <f>[1]SP3!M47</f>
        <v>157.48852799999995</v>
      </c>
      <c r="O46" s="5">
        <f>[1]SP3!N47</f>
        <v>142.26362600000016</v>
      </c>
      <c r="P46" s="5">
        <f t="shared" si="17"/>
        <v>1019.6747319999998</v>
      </c>
    </row>
    <row r="47" spans="2:16">
      <c r="B47" s="1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17">
        <f>SUM(P44:P46)</f>
        <v>2645.1922060000006</v>
      </c>
    </row>
    <row r="48" spans="2:16">
      <c r="B48" s="65">
        <v>2022</v>
      </c>
      <c r="C48" s="13" t="s">
        <v>2</v>
      </c>
      <c r="D48" s="5">
        <f>BTS!C48</f>
        <v>33.846495199999993</v>
      </c>
      <c r="E48" s="5">
        <f>BTS!D48</f>
        <v>26.111034599999996</v>
      </c>
      <c r="F48" s="5">
        <f>BTS!E48</f>
        <v>29.464168099999998</v>
      </c>
      <c r="G48" s="5">
        <f>BTS!F48</f>
        <v>23.123994499999998</v>
      </c>
      <c r="H48" s="5">
        <f>BTS!G48</f>
        <v>24.264119900000001</v>
      </c>
      <c r="I48" s="5">
        <f>BTS!H48</f>
        <v>19.669999300000001</v>
      </c>
      <c r="J48" s="5">
        <f>BTS!I48</f>
        <v>33.584182800000008</v>
      </c>
      <c r="K48" s="5">
        <f>BTS!J48</f>
        <v>33.5064724</v>
      </c>
      <c r="L48" s="5">
        <f>BTS!K48</f>
        <v>49.386004699999994</v>
      </c>
      <c r="M48" s="5">
        <f>BTS!L48</f>
        <v>50.809693500000002</v>
      </c>
      <c r="N48" s="5">
        <f>BTS!M48</f>
        <v>38.933323999999999</v>
      </c>
      <c r="O48" s="5">
        <f>BTS!N48</f>
        <v>26.922136399999999</v>
      </c>
      <c r="P48" s="5">
        <f>SUM(D48:O48)</f>
        <v>389.62162539999997</v>
      </c>
    </row>
    <row r="49" spans="2:16">
      <c r="B49" s="65"/>
      <c r="C49" t="s">
        <v>3</v>
      </c>
      <c r="D49" s="5">
        <f>BK!C48</f>
        <v>122.50594479999999</v>
      </c>
      <c r="E49" s="5">
        <f>BK!D48</f>
        <v>66.919390800000002</v>
      </c>
      <c r="F49" s="5">
        <f>BK!E48</f>
        <v>74.536053599999988</v>
      </c>
      <c r="G49" s="5">
        <f>BK!F48</f>
        <v>71.592840899999985</v>
      </c>
      <c r="H49" s="5">
        <f>BK!G48</f>
        <v>110.182541</v>
      </c>
      <c r="I49" s="5">
        <f>BK!H48</f>
        <v>115.54800859999999</v>
      </c>
      <c r="J49" s="5">
        <f>BK!I48</f>
        <v>163.9011251</v>
      </c>
      <c r="K49" s="5">
        <f>BK!J48</f>
        <v>194.26107150000001</v>
      </c>
      <c r="L49" s="5">
        <f>BK!K48</f>
        <v>193.2066274</v>
      </c>
      <c r="M49" s="5">
        <f>BK!L48</f>
        <v>196.85656800000001</v>
      </c>
      <c r="N49" s="5">
        <f>BK!M48</f>
        <v>168.38218649999999</v>
      </c>
      <c r="O49" s="5">
        <f>BK!N48</f>
        <v>153.6295523</v>
      </c>
      <c r="P49" s="5">
        <f t="shared" ref="P49:P50" si="18">SUM(D49:O49)</f>
        <v>1631.5219105000001</v>
      </c>
    </row>
    <row r="50" spans="2:16">
      <c r="B50" s="65"/>
      <c r="C50" t="s">
        <v>24</v>
      </c>
      <c r="D50" s="5">
        <f>[1]SP3!C48</f>
        <v>88.530286399999994</v>
      </c>
      <c r="E50" s="5">
        <f>[1]SP3!D48</f>
        <v>51.253605</v>
      </c>
      <c r="F50" s="5">
        <f>[1]SP3!E48</f>
        <v>56.609788600000002</v>
      </c>
      <c r="G50" s="5">
        <f>[1]SP3!F48</f>
        <v>56.4993154</v>
      </c>
      <c r="H50" s="5">
        <f>[1]SP3!G48</f>
        <v>80.578215700000001</v>
      </c>
      <c r="I50" s="5">
        <f>[1]SP3!H48</f>
        <v>99.400854399999986</v>
      </c>
      <c r="J50" s="5">
        <f>[1]SP3!I48</f>
        <v>139.00226599999999</v>
      </c>
      <c r="K50" s="5">
        <f>[1]SP3!J48</f>
        <v>157.24091799999999</v>
      </c>
      <c r="L50" s="5">
        <f>[1]SP3!K48</f>
        <v>155.01225790000001</v>
      </c>
      <c r="M50" s="5">
        <f>[1]SP3!L48</f>
        <v>154.3577477</v>
      </c>
      <c r="N50" s="5">
        <f>[1]SP3!M48</f>
        <v>124.99818620000001</v>
      </c>
      <c r="O50" s="5">
        <f>[1]SP3!N48</f>
        <v>115.0416532</v>
      </c>
      <c r="P50" s="5">
        <f t="shared" si="18"/>
        <v>1278.5250944999998</v>
      </c>
    </row>
    <row r="51" spans="2:16">
      <c r="B51" s="1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17">
        <f>SUM(P48:P50)</f>
        <v>3299.6686304</v>
      </c>
    </row>
    <row r="52" spans="2:16">
      <c r="B52" s="65">
        <v>2023</v>
      </c>
      <c r="C52" s="13" t="s">
        <v>2</v>
      </c>
      <c r="D52" s="5">
        <f>BTS!C49</f>
        <v>26.196023199999999</v>
      </c>
      <c r="E52" s="5">
        <f>BTS!D49</f>
        <v>28.2093384</v>
      </c>
      <c r="F52" s="5">
        <f>BTS!E49</f>
        <v>28.871705800000001</v>
      </c>
      <c r="G52" s="5">
        <f>BTS!F49</f>
        <v>23.975395199999998</v>
      </c>
      <c r="H52" s="5">
        <f>BTS!G49</f>
        <v>7.3071524999999999</v>
      </c>
      <c r="I52" s="5">
        <f>BTS!H49</f>
        <v>18.939633699999998</v>
      </c>
      <c r="J52" s="5">
        <f>BTS!I49</f>
        <v>27.245995299999997</v>
      </c>
      <c r="K52" s="5">
        <f>BTS!J49</f>
        <v>42.153500099999995</v>
      </c>
      <c r="L52" s="5">
        <f>BTS!K49</f>
        <v>60.6046391</v>
      </c>
      <c r="M52" s="5">
        <f>BTS!L49</f>
        <v>53.143639999999998</v>
      </c>
      <c r="N52" s="5">
        <f>BTS!M49</f>
        <v>42.165509899999996</v>
      </c>
      <c r="O52" s="5">
        <f>BTS!N49</f>
        <v>31.564488900000001</v>
      </c>
      <c r="P52" s="5">
        <f>SUM(D52:O52)</f>
        <v>390.37702210000003</v>
      </c>
    </row>
    <row r="53" spans="2:16">
      <c r="B53" s="65"/>
      <c r="C53" t="s">
        <v>3</v>
      </c>
      <c r="D53" s="5">
        <f>BK!C49</f>
        <v>113.1354312</v>
      </c>
      <c r="E53" s="5">
        <f>BK!D49</f>
        <v>71.298942100000005</v>
      </c>
      <c r="F53" s="5">
        <f>BK!E49</f>
        <v>70.493765299999993</v>
      </c>
      <c r="G53" s="5">
        <f>BK!F49</f>
        <v>62.217610000000001</v>
      </c>
      <c r="H53" s="5">
        <f>BK!G49</f>
        <v>43.759362299999999</v>
      </c>
      <c r="I53" s="5">
        <f>BK!H49</f>
        <v>86.330209300000007</v>
      </c>
      <c r="J53" s="5">
        <f>BK!I49</f>
        <v>141.6702884</v>
      </c>
      <c r="K53" s="5">
        <f>BK!J49</f>
        <v>165.03639799999999</v>
      </c>
      <c r="L53" s="5">
        <f>BK!K49</f>
        <v>195.23754399999999</v>
      </c>
      <c r="M53" s="5">
        <f>BK!L49</f>
        <v>198.50973879999998</v>
      </c>
      <c r="N53" s="5">
        <f>BK!M49</f>
        <v>163.315517</v>
      </c>
      <c r="O53" s="5">
        <f>BK!N49</f>
        <v>125.9698503</v>
      </c>
      <c r="P53" s="5">
        <f t="shared" ref="P53:P54" si="19">SUM(D53:O53)</f>
        <v>1436.9746567</v>
      </c>
    </row>
    <row r="54" spans="2:16">
      <c r="B54" s="65"/>
      <c r="C54" t="s">
        <v>24</v>
      </c>
      <c r="D54" s="5">
        <f>[1]SP3!C49</f>
        <v>77.740175000000008</v>
      </c>
      <c r="E54" s="5">
        <f>[1]SP3!D49</f>
        <v>56.724158600000003</v>
      </c>
      <c r="F54" s="5">
        <f>[1]SP3!E49</f>
        <v>48.161090799999997</v>
      </c>
      <c r="G54" s="5">
        <f>[1]SP3!F49</f>
        <v>48.283616699999996</v>
      </c>
      <c r="H54" s="5">
        <f>[1]SP3!G49</f>
        <v>32.450061300000002</v>
      </c>
      <c r="I54" s="5">
        <f>[1]SP3!H49</f>
        <v>71.005335399999993</v>
      </c>
      <c r="J54" s="5">
        <f>[1]SP3!I49</f>
        <v>122.0062195</v>
      </c>
      <c r="K54" s="5">
        <f>[1]SP3!J49</f>
        <v>136.3989627</v>
      </c>
      <c r="L54" s="5">
        <f>[1]SP3!K49</f>
        <v>153.81893869999999</v>
      </c>
      <c r="M54" s="5">
        <f>[1]SP3!L49</f>
        <v>154.06884539999999</v>
      </c>
      <c r="N54" s="5">
        <f>[1]SP3!M49</f>
        <v>124.3363421</v>
      </c>
      <c r="O54" s="5">
        <f>[1]SP3!N49</f>
        <v>94.563951599999996</v>
      </c>
      <c r="P54" s="5">
        <f t="shared" si="19"/>
        <v>1119.5576977999999</v>
      </c>
    </row>
    <row r="55" spans="2:16">
      <c r="B55" s="1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18">
        <f>SUM(P52:P54)</f>
        <v>2946.9093765999996</v>
      </c>
    </row>
    <row r="56" spans="2:16">
      <c r="B56" s="65">
        <v>2024</v>
      </c>
      <c r="C56" s="13" t="s">
        <v>2</v>
      </c>
      <c r="D56" s="5">
        <f>BTS!C50</f>
        <v>27.937671999999999</v>
      </c>
      <c r="E56" s="5">
        <f>BTS!D50</f>
        <v>20.617661599999998</v>
      </c>
      <c r="F56" s="5">
        <f>BTS!E50</f>
        <v>18.585530500000001</v>
      </c>
      <c r="G56" s="5">
        <f>BTS!F50</f>
        <v>17.219771600000001</v>
      </c>
      <c r="H56" s="5">
        <f>BTS!G50</f>
        <v>15.0814433</v>
      </c>
      <c r="I56" s="5">
        <f>BTS!H50</f>
        <v>23.646055400000002</v>
      </c>
      <c r="J56" s="5">
        <f>BTS!I50</f>
        <v>25.2517505</v>
      </c>
      <c r="K56" s="5">
        <f>BTS!J50</f>
        <v>41.779785799999999</v>
      </c>
      <c r="L56" s="5">
        <f>BTS!K50</f>
        <v>44.453589399999998</v>
      </c>
      <c r="M56" s="5">
        <f>BTS!L50</f>
        <v>55.450868700000001</v>
      </c>
      <c r="N56" s="5">
        <f>BTS!M50</f>
        <v>34.919919800000002</v>
      </c>
      <c r="O56" s="5">
        <f>BTS!N50</f>
        <v>19.430500599999998</v>
      </c>
      <c r="P56" s="5">
        <f>SUM(D56:O56)</f>
        <v>344.37454920000005</v>
      </c>
    </row>
    <row r="57" spans="2:16">
      <c r="B57" s="65"/>
      <c r="C57" t="s">
        <v>3</v>
      </c>
      <c r="D57" s="5">
        <f>BK!C50</f>
        <v>73.596486099999993</v>
      </c>
      <c r="E57" s="5">
        <f>BK!D50</f>
        <v>42.832670400000005</v>
      </c>
      <c r="F57" s="5">
        <f>BK!E50</f>
        <v>35.955296799999999</v>
      </c>
      <c r="G57" s="5">
        <f>BK!F50</f>
        <v>35.971539700000001</v>
      </c>
      <c r="H57" s="5">
        <f>BK!G50</f>
        <v>54.107530500000003</v>
      </c>
      <c r="I57" s="5">
        <f>BK!H50</f>
        <v>76.060693000000001</v>
      </c>
      <c r="J57" s="5">
        <f>BK!I50</f>
        <v>135.68690319999999</v>
      </c>
      <c r="K57" s="5">
        <f>BK!J50</f>
        <v>176.95260999999999</v>
      </c>
      <c r="L57" s="5">
        <f>BK!K50</f>
        <v>179.47948259999998</v>
      </c>
      <c r="M57" s="5">
        <f>BK!L50</f>
        <v>185.35782839999999</v>
      </c>
      <c r="N57" s="5">
        <f>BK!M50</f>
        <v>134.72737609999999</v>
      </c>
      <c r="O57" s="5">
        <f>BK!N50</f>
        <v>137.06628800000001</v>
      </c>
      <c r="P57" s="5">
        <f t="shared" ref="P57:P58" si="20">SUM(D57:O57)</f>
        <v>1267.7947047999999</v>
      </c>
    </row>
    <row r="58" spans="2:16">
      <c r="B58" s="65"/>
      <c r="C58" t="s">
        <v>24</v>
      </c>
      <c r="D58" s="5">
        <f>[1]SP3!C50</f>
        <v>57.337101000000004</v>
      </c>
      <c r="E58" s="5">
        <f>[1]SP3!D50</f>
        <v>34.6663651</v>
      </c>
      <c r="F58" s="5">
        <f>[1]SP3!E50</f>
        <v>20.916935600000002</v>
      </c>
      <c r="G58" s="5">
        <f>[1]SP3!F50</f>
        <v>29.124926299999998</v>
      </c>
      <c r="H58" s="5">
        <f>[1]SP3!G50</f>
        <v>40.0913307</v>
      </c>
      <c r="I58" s="5">
        <f>[1]SP3!H50</f>
        <v>59.6659243</v>
      </c>
      <c r="J58" s="5">
        <f>[1]SP3!I50</f>
        <v>100.58270630000001</v>
      </c>
      <c r="K58" s="5">
        <f>[1]SP3!J50</f>
        <v>135.36586209999999</v>
      </c>
      <c r="L58" s="5">
        <f>[1]SP3!K50</f>
        <v>144.5077186</v>
      </c>
      <c r="M58" s="5">
        <f>[1]SP3!L50</f>
        <v>141.72220670000002</v>
      </c>
      <c r="N58" s="5">
        <f>[1]SP3!M50</f>
        <v>98.1990239</v>
      </c>
      <c r="O58" s="5">
        <f>[1]SP3!N50</f>
        <v>93.2850526</v>
      </c>
      <c r="P58" s="5">
        <f t="shared" si="20"/>
        <v>955.46515320000003</v>
      </c>
    </row>
    <row r="59" spans="2:16">
      <c r="B59" s="14"/>
      <c r="D59" s="19">
        <f>SUM(D56:D58)</f>
        <v>158.87125909999997</v>
      </c>
      <c r="E59" s="19">
        <f t="shared" ref="E59:O59" si="21">SUM(E56:E58)</f>
        <v>98.11669710000001</v>
      </c>
      <c r="F59" s="19">
        <f t="shared" si="21"/>
        <v>75.457762900000006</v>
      </c>
      <c r="G59" s="19">
        <f t="shared" si="21"/>
        <v>82.316237599999994</v>
      </c>
      <c r="H59" s="19">
        <f t="shared" si="21"/>
        <v>109.2803045</v>
      </c>
      <c r="I59" s="19">
        <f t="shared" si="21"/>
        <v>159.37267270000001</v>
      </c>
      <c r="J59" s="19">
        <f t="shared" si="21"/>
        <v>261.52135999999996</v>
      </c>
      <c r="K59" s="19">
        <f t="shared" si="21"/>
        <v>354.09825790000002</v>
      </c>
      <c r="L59" s="19">
        <f t="shared" si="21"/>
        <v>368.44079060000001</v>
      </c>
      <c r="M59" s="19">
        <f t="shared" si="21"/>
        <v>382.53090380000003</v>
      </c>
      <c r="N59" s="19">
        <f t="shared" si="21"/>
        <v>267.8463198</v>
      </c>
      <c r="O59" s="19">
        <f t="shared" si="21"/>
        <v>249.7818412</v>
      </c>
      <c r="P59" s="18">
        <f>SUM(P56:P58)</f>
        <v>2567.6344072000002</v>
      </c>
    </row>
    <row r="60" spans="2:16">
      <c r="B60" s="14"/>
      <c r="C60" t="s">
        <v>25</v>
      </c>
      <c r="D60" s="19">
        <f>D59</f>
        <v>158.87125909999997</v>
      </c>
      <c r="E60" s="19">
        <f>D60+E59</f>
        <v>256.98795619999999</v>
      </c>
      <c r="F60" s="19">
        <f>E60+F59</f>
        <v>332.44571910000002</v>
      </c>
      <c r="G60" s="19">
        <f>F60+G59</f>
        <v>414.76195670000004</v>
      </c>
      <c r="H60" s="19">
        <f>G60+H59</f>
        <v>524.04226119999998</v>
      </c>
      <c r="I60" s="19">
        <f>H60+I59</f>
        <v>683.41493390000005</v>
      </c>
      <c r="J60" s="19"/>
      <c r="K60" s="19"/>
      <c r="L60" s="19"/>
      <c r="M60" s="19"/>
      <c r="N60" s="19"/>
      <c r="O60" s="19"/>
      <c r="P60" s="18"/>
    </row>
    <row r="61" spans="2:16">
      <c r="B61" s="14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8"/>
    </row>
    <row r="62" spans="2:16">
      <c r="B62" s="61" t="s">
        <v>26</v>
      </c>
      <c r="C62" s="20" t="s">
        <v>2</v>
      </c>
      <c r="D62" s="5">
        <v>22.8188779</v>
      </c>
      <c r="E62" s="5">
        <v>21.439379299999999</v>
      </c>
      <c r="F62" s="5">
        <v>23.509354399999999</v>
      </c>
      <c r="G62" s="5">
        <v>22.266451</v>
      </c>
      <c r="H62" s="5">
        <v>26.197556799999997</v>
      </c>
      <c r="I62" s="5">
        <v>27.2371357</v>
      </c>
      <c r="J62" s="5">
        <v>36.338286599999996</v>
      </c>
      <c r="K62" s="5">
        <v>36.4025192</v>
      </c>
      <c r="L62" s="5">
        <v>46.942469599999995</v>
      </c>
      <c r="M62" s="5">
        <v>57.272962399999997</v>
      </c>
      <c r="N62" s="5">
        <v>57.510296799999999</v>
      </c>
      <c r="O62" s="5">
        <v>50.9365168</v>
      </c>
      <c r="P62" s="5">
        <f>SUM(D62:O62)</f>
        <v>428.87180649999999</v>
      </c>
    </row>
    <row r="63" spans="2:16">
      <c r="B63" s="62"/>
      <c r="C63" s="21" t="s">
        <v>3</v>
      </c>
      <c r="D63" s="5">
        <v>112.1219277</v>
      </c>
      <c r="E63" s="5">
        <v>57.954394999999998</v>
      </c>
      <c r="F63" s="5">
        <v>63.468082199999998</v>
      </c>
      <c r="G63" s="5">
        <v>53.9780053</v>
      </c>
      <c r="H63" s="5">
        <v>82.254511300000004</v>
      </c>
      <c r="I63" s="5">
        <v>130.41091829999999</v>
      </c>
      <c r="J63" s="5">
        <v>130.67553519999998</v>
      </c>
      <c r="K63" s="5">
        <v>144.11043119999999</v>
      </c>
      <c r="L63" s="5">
        <v>186.0461335</v>
      </c>
      <c r="M63" s="5">
        <v>192.94677809999999</v>
      </c>
      <c r="N63" s="5">
        <v>172.11458350000001</v>
      </c>
      <c r="O63" s="5">
        <v>195.31693429999999</v>
      </c>
      <c r="P63" s="5">
        <f t="shared" ref="P63:P64" si="22">SUM(D63:O63)</f>
        <v>1521.3982355999999</v>
      </c>
    </row>
    <row r="64" spans="2:16">
      <c r="B64" s="62"/>
      <c r="C64" s="21" t="s">
        <v>24</v>
      </c>
      <c r="D64" s="5">
        <v>77.6085803</v>
      </c>
      <c r="E64" s="5">
        <v>43.614595699999995</v>
      </c>
      <c r="F64" s="5">
        <v>48.613678099999994</v>
      </c>
      <c r="G64" s="5">
        <v>42.923942000000004</v>
      </c>
      <c r="H64" s="5">
        <v>56.096463399999998</v>
      </c>
      <c r="I64" s="5">
        <v>114.153021</v>
      </c>
      <c r="J64" s="5">
        <v>105.4155621</v>
      </c>
      <c r="K64" s="5">
        <v>109.9590187</v>
      </c>
      <c r="L64" s="5">
        <v>150.69742929999998</v>
      </c>
      <c r="M64" s="5">
        <v>153.49995389999998</v>
      </c>
      <c r="N64" s="5">
        <v>143.17287999999999</v>
      </c>
      <c r="O64" s="5">
        <v>140.79668229999999</v>
      </c>
      <c r="P64" s="5">
        <f t="shared" si="22"/>
        <v>1186.5518067999999</v>
      </c>
    </row>
    <row r="65" spans="2:22">
      <c r="D65" s="9">
        <f>SUM(D62:D64)</f>
        <v>212.5493859</v>
      </c>
      <c r="E65" s="9">
        <f t="shared" ref="E65:O65" si="23">SUM(E62:E64)</f>
        <v>123.00836999999999</v>
      </c>
      <c r="F65" s="9">
        <f t="shared" si="23"/>
        <v>135.59111469999999</v>
      </c>
      <c r="G65" s="9">
        <f t="shared" si="23"/>
        <v>119.16839830000001</v>
      </c>
      <c r="H65" s="9">
        <f t="shared" si="23"/>
        <v>164.5485315</v>
      </c>
      <c r="I65" s="9">
        <f t="shared" si="23"/>
        <v>271.80107499999997</v>
      </c>
      <c r="J65" s="9">
        <f t="shared" si="23"/>
        <v>272.4293839</v>
      </c>
      <c r="K65" s="9">
        <f t="shared" si="23"/>
        <v>290.47196910000002</v>
      </c>
      <c r="L65" s="9">
        <f t="shared" si="23"/>
        <v>383.68603239999993</v>
      </c>
      <c r="M65" s="9">
        <f t="shared" si="23"/>
        <v>403.71969439999998</v>
      </c>
      <c r="N65" s="9">
        <f t="shared" si="23"/>
        <v>372.79776029999999</v>
      </c>
      <c r="O65" s="9">
        <f t="shared" si="23"/>
        <v>387.05013339999994</v>
      </c>
      <c r="P65" s="18">
        <f>SUM(P62:P64)</f>
        <v>3136.8218489000001</v>
      </c>
      <c r="Q65" s="59">
        <f>P65/P59</f>
        <v>1.221677759148234</v>
      </c>
    </row>
    <row r="66" spans="2:22">
      <c r="B66" s="14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8"/>
    </row>
    <row r="67" spans="2:22">
      <c r="B67" s="63" t="s">
        <v>27</v>
      </c>
      <c r="C67" s="16" t="s">
        <v>2</v>
      </c>
      <c r="D67" s="15">
        <f>BTS!C55</f>
        <v>31.45269294065929</v>
      </c>
      <c r="E67" s="15">
        <f>BTS!D55</f>
        <v>26.597474679120751</v>
      </c>
      <c r="F67" s="15">
        <f>BTS!E55</f>
        <v>25.35833732307691</v>
      </c>
      <c r="G67" s="15">
        <f>BTS!F55</f>
        <v>21.022996298901091</v>
      </c>
      <c r="H67" s="15">
        <f>BTS!G55</f>
        <v>14.48449913516481</v>
      </c>
      <c r="I67" s="15">
        <f>BTS!H55</f>
        <v>17.475359445054892</v>
      </c>
      <c r="J67" s="15">
        <f>BTS!I55</f>
        <v>23.915982317582575</v>
      </c>
      <c r="K67" s="15">
        <f>BTS!J55</f>
        <v>38.589172407692331</v>
      </c>
      <c r="L67" s="15">
        <f>BTS!K55</f>
        <v>52.232111930768951</v>
      </c>
      <c r="M67" s="15">
        <f>BTS!L55</f>
        <v>44.851810881318727</v>
      </c>
      <c r="N67" s="15">
        <f>BTS!M55</f>
        <v>45.093820829670221</v>
      </c>
      <c r="O67" s="15">
        <f>BTS!N55</f>
        <v>32.214735970329571</v>
      </c>
      <c r="P67" s="5">
        <f>SUM(D67:O67)</f>
        <v>373.28899415934012</v>
      </c>
    </row>
    <row r="68" spans="2:22">
      <c r="B68" s="64"/>
      <c r="C68" s="6" t="s">
        <v>3</v>
      </c>
      <c r="D68" s="15">
        <f>BK!C55</f>
        <v>116.88220862857088</v>
      </c>
      <c r="E68" s="15">
        <f>BK!D55</f>
        <v>64.238350689010986</v>
      </c>
      <c r="F68" s="15">
        <f>BK!E55</f>
        <v>57.82863913956021</v>
      </c>
      <c r="G68" s="15">
        <f>BK!F55</f>
        <v>48.500112760439777</v>
      </c>
      <c r="H68" s="15">
        <f>BK!G55</f>
        <v>61.088283592307697</v>
      </c>
      <c r="I68" s="15">
        <f>BK!H55</f>
        <v>75.706488471428656</v>
      </c>
      <c r="J68" s="15">
        <f>BK!I55</f>
        <v>119.68448881758252</v>
      </c>
      <c r="K68" s="15">
        <f>BK!J55</f>
        <v>170.81227690109972</v>
      </c>
      <c r="L68" s="15">
        <f>BK!K55</f>
        <v>196.84454045714301</v>
      </c>
      <c r="M68" s="15">
        <f>BK!L55</f>
        <v>186.19373139340587</v>
      </c>
      <c r="N68" s="15">
        <f>BK!M55</f>
        <v>175.36634433626386</v>
      </c>
      <c r="O68" s="15">
        <f>BK!N55</f>
        <v>167.17822817472734</v>
      </c>
      <c r="P68" s="5">
        <f t="shared" ref="P68:P69" si="24">SUM(D68:O68)</f>
        <v>1440.3236933615406</v>
      </c>
    </row>
    <row r="69" spans="2:22">
      <c r="B69" s="64"/>
      <c r="C69" s="6" t="s">
        <v>24</v>
      </c>
      <c r="D69" s="15">
        <f>[1]SP3!C55</f>
        <v>0</v>
      </c>
      <c r="E69" s="15">
        <f>[1]SP3!D55</f>
        <v>0</v>
      </c>
      <c r="F69" s="15">
        <f>[1]SP3!E55</f>
        <v>0</v>
      </c>
      <c r="G69" s="15">
        <f>[1]SP3!F55</f>
        <v>0</v>
      </c>
      <c r="H69" s="15">
        <f>[1]SP3!G55</f>
        <v>0</v>
      </c>
      <c r="I69" s="15">
        <f>[1]SP3!H55</f>
        <v>0</v>
      </c>
      <c r="J69" s="15">
        <f>[1]SP3!I55</f>
        <v>0</v>
      </c>
      <c r="K69" s="15">
        <f>[1]SP3!J55</f>
        <v>0</v>
      </c>
      <c r="L69" s="15">
        <f>[1]SP3!K55</f>
        <v>0</v>
      </c>
      <c r="M69" s="15">
        <f>[1]SP3!L55</f>
        <v>0</v>
      </c>
      <c r="N69" s="15">
        <f>[1]SP3!M55</f>
        <v>0</v>
      </c>
      <c r="O69" s="15">
        <f>[1]SP3!N55</f>
        <v>0</v>
      </c>
      <c r="P69" s="5">
        <f t="shared" si="24"/>
        <v>0</v>
      </c>
    </row>
    <row r="70" spans="2:22">
      <c r="D70" s="5">
        <f>SUM(D67:D69)</f>
        <v>148.33490156923017</v>
      </c>
      <c r="E70" s="5">
        <f t="shared" ref="E70:O70" si="25">SUM(E67:E69)</f>
        <v>90.835825368131736</v>
      </c>
      <c r="F70" s="5">
        <f t="shared" si="25"/>
        <v>83.186976462637119</v>
      </c>
      <c r="G70" s="5">
        <f t="shared" si="25"/>
        <v>69.523109059340868</v>
      </c>
      <c r="H70" s="5">
        <f t="shared" si="25"/>
        <v>75.572782727472514</v>
      </c>
      <c r="I70" s="5">
        <f t="shared" si="25"/>
        <v>93.181847916483548</v>
      </c>
      <c r="J70" s="5">
        <f t="shared" si="25"/>
        <v>143.60047113516509</v>
      </c>
      <c r="K70" s="5">
        <f t="shared" si="25"/>
        <v>209.40144930879205</v>
      </c>
      <c r="L70" s="5">
        <f t="shared" si="25"/>
        <v>249.07665238791196</v>
      </c>
      <c r="M70" s="5">
        <f t="shared" si="25"/>
        <v>231.0455422747246</v>
      </c>
      <c r="N70" s="5">
        <f t="shared" si="25"/>
        <v>220.46016516593409</v>
      </c>
      <c r="O70" s="5">
        <f t="shared" si="25"/>
        <v>199.39296414505691</v>
      </c>
      <c r="P70" s="18">
        <f>SUM(P67:P69)</f>
        <v>1813.6126875208806</v>
      </c>
      <c r="Q70" s="13" t="s">
        <v>28</v>
      </c>
    </row>
    <row r="71" spans="2:22"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8"/>
      <c r="Q71" s="13"/>
    </row>
    <row r="72" spans="2:22">
      <c r="B72" s="63" t="s">
        <v>27</v>
      </c>
      <c r="C72" s="16" t="s">
        <v>2</v>
      </c>
      <c r="D72" s="15">
        <f>BTS!C56</f>
        <v>17.434590126169109</v>
      </c>
      <c r="E72" s="15">
        <f>BTS!D56</f>
        <v>10.858429966600518</v>
      </c>
      <c r="F72" s="15">
        <f>BTS!E56</f>
        <v>9.1137058757797487</v>
      </c>
      <c r="G72" s="15">
        <f>BTS!F56</f>
        <v>10.11481048894516</v>
      </c>
      <c r="H72" s="15">
        <f>BTS!G56</f>
        <v>16.792473252538489</v>
      </c>
      <c r="I72" s="15">
        <f>BTS!H56</f>
        <v>20.334433312008315</v>
      </c>
      <c r="J72" s="15">
        <f>BTS!I56</f>
        <v>34.27039037561994</v>
      </c>
      <c r="K72" s="15">
        <f>BTS!J56</f>
        <v>46.953234084358677</v>
      </c>
      <c r="L72" s="15">
        <f>BTS!K56</f>
        <v>50.96965166317964</v>
      </c>
      <c r="M72" s="15">
        <f>BTS!L56</f>
        <v>48.942274371830379</v>
      </c>
      <c r="N72" s="15">
        <f>BTS!M56</f>
        <v>37.594312027919315</v>
      </c>
      <c r="O72" s="15">
        <f>BTS!N56</f>
        <v>29.244138687905288</v>
      </c>
      <c r="P72" s="5">
        <f>SUM(D72:O72)</f>
        <v>332.62244423285455</v>
      </c>
    </row>
    <row r="73" spans="2:22">
      <c r="B73" s="64"/>
      <c r="C73" s="6" t="s">
        <v>3</v>
      </c>
      <c r="D73" s="15">
        <f>BK!C56</f>
        <v>101.47675555562603</v>
      </c>
      <c r="E73" s="15">
        <f>BK!D56</f>
        <v>57.192044109482183</v>
      </c>
      <c r="F73" s="15">
        <f>BK!E56</f>
        <v>59.48732144868783</v>
      </c>
      <c r="G73" s="15">
        <f>BK!F56</f>
        <v>55.397065146588886</v>
      </c>
      <c r="H73" s="15">
        <f>BK!G56</f>
        <v>72.942541261823663</v>
      </c>
      <c r="I73" s="15">
        <f>BK!H56</f>
        <v>93.194174551245212</v>
      </c>
      <c r="J73" s="15">
        <f>BK!I56</f>
        <v>127.38042708847055</v>
      </c>
      <c r="K73" s="15">
        <f>BK!J56</f>
        <v>184.51581243669085</v>
      </c>
      <c r="L73" s="15">
        <f>BK!K56</f>
        <v>186.96995923058961</v>
      </c>
      <c r="M73" s="15">
        <f>BK!L56</f>
        <v>189.60795600000071</v>
      </c>
      <c r="N73" s="15">
        <f>BK!M56</f>
        <v>189.60795600000071</v>
      </c>
      <c r="O73" s="15">
        <f>BK!N56</f>
        <v>186.90770433008851</v>
      </c>
      <c r="P73" s="5">
        <f t="shared" ref="P73:P74" si="26">SUM(D73:O73)</f>
        <v>1504.6797171592948</v>
      </c>
    </row>
    <row r="74" spans="2:22">
      <c r="B74" s="64"/>
      <c r="C74" s="6" t="s">
        <v>24</v>
      </c>
      <c r="D74" s="15">
        <f>[1]SP3!C56</f>
        <v>0</v>
      </c>
      <c r="E74" s="15">
        <f>[1]SP3!D56</f>
        <v>0</v>
      </c>
      <c r="F74" s="15">
        <f>[1]SP3!E56</f>
        <v>0</v>
      </c>
      <c r="G74" s="15">
        <f>[1]SP3!F56</f>
        <v>0</v>
      </c>
      <c r="H74" s="15">
        <f>[1]SP3!G56</f>
        <v>0</v>
      </c>
      <c r="I74" s="15">
        <f>[1]SP3!H56</f>
        <v>0</v>
      </c>
      <c r="J74" s="15">
        <f>[1]SP3!I56</f>
        <v>0</v>
      </c>
      <c r="K74" s="15">
        <f>[1]SP3!J56</f>
        <v>0</v>
      </c>
      <c r="L74" s="15">
        <f>[1]SP3!K56</f>
        <v>0</v>
      </c>
      <c r="M74" s="15">
        <f>[1]SP3!L56</f>
        <v>0</v>
      </c>
      <c r="N74" s="15">
        <f>[1]SP3!M56</f>
        <v>0</v>
      </c>
      <c r="O74" s="15">
        <f>[1]SP3!N56</f>
        <v>0</v>
      </c>
      <c r="P74" s="5">
        <f t="shared" si="26"/>
        <v>0</v>
      </c>
    </row>
    <row r="75" spans="2:22">
      <c r="D75" s="5">
        <f>SUM(D72:D74)</f>
        <v>118.91134568179514</v>
      </c>
      <c r="E75" s="5">
        <f t="shared" ref="E75:O75" si="27">SUM(E72:E74)</f>
        <v>68.050474076082708</v>
      </c>
      <c r="F75" s="5">
        <f t="shared" si="27"/>
        <v>68.60102732446758</v>
      </c>
      <c r="G75" s="5">
        <f t="shared" si="27"/>
        <v>65.511875635534039</v>
      </c>
      <c r="H75" s="5">
        <f t="shared" si="27"/>
        <v>89.735014514362149</v>
      </c>
      <c r="I75" s="5">
        <f t="shared" si="27"/>
        <v>113.52860786325353</v>
      </c>
      <c r="J75" s="5">
        <f t="shared" si="27"/>
        <v>161.65081746409049</v>
      </c>
      <c r="K75" s="5">
        <f t="shared" si="27"/>
        <v>231.46904652104953</v>
      </c>
      <c r="L75" s="5">
        <f t="shared" si="27"/>
        <v>237.93961089376924</v>
      </c>
      <c r="M75" s="5">
        <f t="shared" si="27"/>
        <v>238.55023037183111</v>
      </c>
      <c r="N75" s="5">
        <f t="shared" si="27"/>
        <v>227.20226802792001</v>
      </c>
      <c r="O75" s="5">
        <f t="shared" si="27"/>
        <v>216.1518430179938</v>
      </c>
      <c r="P75" s="18">
        <f>SUM(P72:P74)</f>
        <v>1837.3021613921494</v>
      </c>
      <c r="Q75" s="13" t="s">
        <v>29</v>
      </c>
    </row>
    <row r="77" spans="2:22" ht="15" customHeight="1">
      <c r="P77">
        <v>0.7</v>
      </c>
      <c r="Q77" t="s">
        <v>30</v>
      </c>
      <c r="R77" s="66" t="s">
        <v>31</v>
      </c>
      <c r="S77" s="66"/>
      <c r="T77" s="66"/>
      <c r="U77" s="66"/>
      <c r="V77" s="66"/>
    </row>
    <row r="78" spans="2:22">
      <c r="P78">
        <f>1-P77</f>
        <v>0.30000000000000004</v>
      </c>
      <c r="Q78" t="s">
        <v>32</v>
      </c>
      <c r="R78" s="66"/>
      <c r="S78" s="66"/>
      <c r="T78" s="66"/>
      <c r="U78" s="66"/>
      <c r="V78" s="66"/>
    </row>
    <row r="79" spans="2:22">
      <c r="B79" s="63" t="s">
        <v>27</v>
      </c>
      <c r="C79" s="16" t="s">
        <v>2</v>
      </c>
      <c r="D79" s="5">
        <f>D72*$P$77+$P$78*D67</f>
        <v>21.640020970516165</v>
      </c>
      <c r="E79" s="5">
        <f t="shared" ref="E79:O79" si="28">E72*$P$77+$P$78*E67</f>
        <v>15.580143380356589</v>
      </c>
      <c r="F79" s="5">
        <f t="shared" si="28"/>
        <v>13.987095309968897</v>
      </c>
      <c r="G79" s="5">
        <f t="shared" si="28"/>
        <v>13.387266231931939</v>
      </c>
      <c r="H79" s="5">
        <f t="shared" si="28"/>
        <v>16.100081017326385</v>
      </c>
      <c r="I79" s="5">
        <f t="shared" si="28"/>
        <v>19.476711151922288</v>
      </c>
      <c r="J79" s="5">
        <f t="shared" si="28"/>
        <v>31.164067958208729</v>
      </c>
      <c r="K79" s="5">
        <f t="shared" si="28"/>
        <v>44.444015581358769</v>
      </c>
      <c r="L79" s="5">
        <f t="shared" si="28"/>
        <v>51.348389743456437</v>
      </c>
      <c r="M79" s="5">
        <f t="shared" si="28"/>
        <v>47.715135324676886</v>
      </c>
      <c r="N79" s="5">
        <f t="shared" si="28"/>
        <v>39.844164668444584</v>
      </c>
      <c r="O79" s="5">
        <f t="shared" si="28"/>
        <v>30.135317872632573</v>
      </c>
      <c r="P79" s="5">
        <f>SUM(D79:O79)</f>
        <v>344.82240921080029</v>
      </c>
    </row>
    <row r="80" spans="2:22">
      <c r="B80" s="64"/>
      <c r="C80" s="6" t="s">
        <v>3</v>
      </c>
      <c r="D80" s="5">
        <f>D73*$P$77+$P$78*D68</f>
        <v>106.09839147750948</v>
      </c>
      <c r="E80" s="5">
        <f t="shared" ref="E80:O80" si="29">E73*$P$77+$P$78*E68</f>
        <v>59.305936083340825</v>
      </c>
      <c r="F80" s="5">
        <f t="shared" si="29"/>
        <v>58.989716755949544</v>
      </c>
      <c r="G80" s="5">
        <f t="shared" si="29"/>
        <v>53.327979430744158</v>
      </c>
      <c r="H80" s="5">
        <f t="shared" si="29"/>
        <v>69.386263960968876</v>
      </c>
      <c r="I80" s="5">
        <f t="shared" si="29"/>
        <v>87.947868727300246</v>
      </c>
      <c r="J80" s="5">
        <f t="shared" si="29"/>
        <v>125.07164560720415</v>
      </c>
      <c r="K80" s="5">
        <f t="shared" si="29"/>
        <v>180.40475177601351</v>
      </c>
      <c r="L80" s="5">
        <f t="shared" si="29"/>
        <v>189.93233359855566</v>
      </c>
      <c r="M80" s="5">
        <f t="shared" si="29"/>
        <v>188.58368861802225</v>
      </c>
      <c r="N80" s="5">
        <f t="shared" si="29"/>
        <v>185.33547250087963</v>
      </c>
      <c r="O80" s="5">
        <f t="shared" si="29"/>
        <v>180.98886148348015</v>
      </c>
      <c r="P80" s="5">
        <f t="shared" ref="P80:P81" si="30">SUM(D80:O80)</f>
        <v>1485.3729100199685</v>
      </c>
    </row>
    <row r="81" spans="2:17">
      <c r="B81" s="64"/>
      <c r="C81" s="6" t="s">
        <v>24</v>
      </c>
      <c r="D81" s="5">
        <f>D74*$P$77+$P$78*D69</f>
        <v>0</v>
      </c>
      <c r="E81" s="5">
        <f t="shared" ref="E81:O81" si="31">E74*$P$77+$P$78*E69</f>
        <v>0</v>
      </c>
      <c r="F81" s="5">
        <f t="shared" si="31"/>
        <v>0</v>
      </c>
      <c r="G81" s="5">
        <f t="shared" si="31"/>
        <v>0</v>
      </c>
      <c r="H81" s="5">
        <f t="shared" si="31"/>
        <v>0</v>
      </c>
      <c r="I81" s="5">
        <f t="shared" si="31"/>
        <v>0</v>
      </c>
      <c r="J81" s="5">
        <f t="shared" si="31"/>
        <v>0</v>
      </c>
      <c r="K81" s="5">
        <f t="shared" si="31"/>
        <v>0</v>
      </c>
      <c r="L81" s="5">
        <f t="shared" si="31"/>
        <v>0</v>
      </c>
      <c r="M81" s="5">
        <f t="shared" si="31"/>
        <v>0</v>
      </c>
      <c r="N81" s="5">
        <f t="shared" si="31"/>
        <v>0</v>
      </c>
      <c r="O81" s="5">
        <f t="shared" si="31"/>
        <v>0</v>
      </c>
      <c r="P81" s="5">
        <f t="shared" si="30"/>
        <v>0</v>
      </c>
    </row>
    <row r="82" spans="2:17">
      <c r="D82" s="9">
        <f>SUM(D79:D81)</f>
        <v>127.73841244802564</v>
      </c>
      <c r="E82" s="9">
        <f t="shared" ref="E82:O82" si="32">SUM(E79:E81)</f>
        <v>74.886079463697413</v>
      </c>
      <c r="F82" s="9">
        <f t="shared" si="32"/>
        <v>72.976812065918438</v>
      </c>
      <c r="G82" s="9">
        <f t="shared" si="32"/>
        <v>66.715245662676097</v>
      </c>
      <c r="H82" s="9">
        <f t="shared" si="32"/>
        <v>85.486344978295264</v>
      </c>
      <c r="I82" s="9">
        <f t="shared" si="32"/>
        <v>107.42457987922253</v>
      </c>
      <c r="J82" s="9">
        <f t="shared" si="32"/>
        <v>156.23571356541288</v>
      </c>
      <c r="K82" s="9">
        <f t="shared" si="32"/>
        <v>224.84876735737228</v>
      </c>
      <c r="L82" s="9">
        <f t="shared" si="32"/>
        <v>241.2807233420121</v>
      </c>
      <c r="M82" s="9">
        <f t="shared" si="32"/>
        <v>236.29882394269913</v>
      </c>
      <c r="N82" s="9">
        <f t="shared" si="32"/>
        <v>225.17963716932422</v>
      </c>
      <c r="O82" s="9">
        <f t="shared" si="32"/>
        <v>211.12417935611273</v>
      </c>
      <c r="P82" s="18">
        <f>SUM(P79:P81)</f>
        <v>1830.1953192307687</v>
      </c>
      <c r="Q82" s="13" t="s">
        <v>33</v>
      </c>
    </row>
    <row r="84" spans="2:17">
      <c r="B84" s="61" t="s">
        <v>26</v>
      </c>
      <c r="C84" s="20" t="s">
        <v>2</v>
      </c>
      <c r="D84" s="5">
        <v>22.8188779</v>
      </c>
      <c r="E84" s="5">
        <v>21.439379299999999</v>
      </c>
      <c r="F84" s="5">
        <v>23.509354399999999</v>
      </c>
      <c r="G84" s="5">
        <v>22.266451</v>
      </c>
      <c r="H84" s="5">
        <v>26.197556799999997</v>
      </c>
      <c r="I84" s="5">
        <v>27.2371357</v>
      </c>
      <c r="J84" s="5">
        <v>36.338286599999996</v>
      </c>
      <c r="K84" s="5">
        <v>36.4025192</v>
      </c>
      <c r="L84" s="5">
        <v>46.942469599999995</v>
      </c>
      <c r="M84" s="5">
        <v>57.272962399999997</v>
      </c>
      <c r="N84" s="5">
        <v>57.510296799999999</v>
      </c>
      <c r="O84" s="5">
        <v>50.9365168</v>
      </c>
      <c r="P84" s="5">
        <f>SUM(D84:O84)</f>
        <v>428.87180649999999</v>
      </c>
    </row>
    <row r="85" spans="2:17">
      <c r="B85" s="62"/>
      <c r="C85" s="21" t="s">
        <v>3</v>
      </c>
      <c r="D85" s="5">
        <v>112.1219277</v>
      </c>
      <c r="E85" s="5">
        <v>57.954394999999998</v>
      </c>
      <c r="F85" s="5">
        <v>63.468082199999998</v>
      </c>
      <c r="G85" s="5">
        <v>53.9780053</v>
      </c>
      <c r="H85" s="5">
        <v>82.254511300000004</v>
      </c>
      <c r="I85" s="5">
        <v>130.41091829999999</v>
      </c>
      <c r="J85" s="5">
        <v>130.67553519999998</v>
      </c>
      <c r="K85" s="5">
        <v>144.11043119999999</v>
      </c>
      <c r="L85" s="5">
        <v>186.0461335</v>
      </c>
      <c r="M85" s="5">
        <v>192.94677809999999</v>
      </c>
      <c r="N85" s="5">
        <v>172.11458350000001</v>
      </c>
      <c r="O85" s="5">
        <v>195.31693429999999</v>
      </c>
      <c r="P85" s="5">
        <f t="shared" ref="P85:P86" si="33">SUM(D85:O85)</f>
        <v>1521.3982355999999</v>
      </c>
    </row>
    <row r="86" spans="2:17">
      <c r="B86" s="62"/>
      <c r="C86" s="21" t="s">
        <v>24</v>
      </c>
      <c r="D86" s="5">
        <v>77.6085803</v>
      </c>
      <c r="E86" s="5">
        <v>43.614595699999995</v>
      </c>
      <c r="F86" s="5">
        <v>48.613678099999994</v>
      </c>
      <c r="G86" s="5">
        <v>42.923942000000004</v>
      </c>
      <c r="H86" s="5">
        <v>56.096463399999998</v>
      </c>
      <c r="I86" s="5">
        <v>114.153021</v>
      </c>
      <c r="J86" s="5">
        <v>105.4155621</v>
      </c>
      <c r="K86" s="5">
        <v>109.9590187</v>
      </c>
      <c r="L86" s="5">
        <v>150.69742929999998</v>
      </c>
      <c r="M86" s="5">
        <v>153.49995389999998</v>
      </c>
      <c r="N86" s="5">
        <v>143.17287999999999</v>
      </c>
      <c r="O86" s="5">
        <v>140.79668229999999</v>
      </c>
      <c r="P86" s="5">
        <f t="shared" si="33"/>
        <v>1186.5518067999999</v>
      </c>
    </row>
    <row r="87" spans="2:17">
      <c r="D87" s="9">
        <f>SUM(D84:D86)</f>
        <v>212.5493859</v>
      </c>
      <c r="E87" s="9">
        <f t="shared" ref="E87:O87" si="34">SUM(E84:E86)</f>
        <v>123.00836999999999</v>
      </c>
      <c r="F87" s="9">
        <f t="shared" si="34"/>
        <v>135.59111469999999</v>
      </c>
      <c r="G87" s="9">
        <f t="shared" si="34"/>
        <v>119.16839830000001</v>
      </c>
      <c r="H87" s="9">
        <f t="shared" si="34"/>
        <v>164.5485315</v>
      </c>
      <c r="I87" s="9">
        <f t="shared" si="34"/>
        <v>271.80107499999997</v>
      </c>
      <c r="J87" s="9">
        <f t="shared" si="34"/>
        <v>272.4293839</v>
      </c>
      <c r="K87" s="9">
        <f t="shared" si="34"/>
        <v>290.47196910000002</v>
      </c>
      <c r="L87" s="9">
        <f t="shared" si="34"/>
        <v>383.68603239999993</v>
      </c>
      <c r="M87" s="9">
        <f t="shared" si="34"/>
        <v>403.71969439999998</v>
      </c>
      <c r="N87" s="9">
        <f t="shared" si="34"/>
        <v>372.79776029999999</v>
      </c>
      <c r="O87" s="9">
        <f t="shared" si="34"/>
        <v>387.05013339999994</v>
      </c>
      <c r="P87" s="18">
        <f>SUM(P84:P86)</f>
        <v>3136.8218489000001</v>
      </c>
      <c r="Q87" s="59">
        <f>P87/P82</f>
        <v>1.7139273693577177</v>
      </c>
    </row>
    <row r="89" spans="2:17">
      <c r="B89" s="63" t="s">
        <v>34</v>
      </c>
      <c r="C89" s="16" t="s">
        <v>2</v>
      </c>
      <c r="D89" s="5">
        <v>25.180366852088685</v>
      </c>
      <c r="E89" s="5">
        <v>20.784853381507041</v>
      </c>
      <c r="F89" s="5">
        <v>19.552733033006657</v>
      </c>
      <c r="G89" s="5">
        <v>17.128439635878287</v>
      </c>
      <c r="H89" s="5">
        <v>15.275077266146964</v>
      </c>
      <c r="I89" s="5">
        <v>20.055072150376279</v>
      </c>
      <c r="J89" s="5">
        <v>26.638461412138561</v>
      </c>
      <c r="K89" s="5">
        <v>42.621687234157591</v>
      </c>
      <c r="L89" s="5">
        <v>54.127759699292255</v>
      </c>
      <c r="M89" s="5">
        <v>51.896520608000053</v>
      </c>
      <c r="N89" s="5">
        <v>46.331534506366538</v>
      </c>
      <c r="O89" s="5">
        <v>33.968313385045441</v>
      </c>
      <c r="P89" s="5">
        <f>SUM(D89:O89)</f>
        <v>373.56081916400439</v>
      </c>
    </row>
    <row r="90" spans="2:17">
      <c r="B90" s="64"/>
      <c r="C90" s="6" t="s">
        <v>3</v>
      </c>
      <c r="D90" s="5">
        <v>106.29501595808335</v>
      </c>
      <c r="E90" s="5">
        <v>57.648527967443727</v>
      </c>
      <c r="F90" s="5">
        <v>49.926346900122439</v>
      </c>
      <c r="G90" s="5">
        <v>43.18847932312174</v>
      </c>
      <c r="H90" s="5">
        <v>64.0827062199332</v>
      </c>
      <c r="I90" s="5">
        <v>92.280919822083973</v>
      </c>
      <c r="J90" s="5">
        <v>125.30577105245932</v>
      </c>
      <c r="K90" s="5">
        <v>173.64205410066722</v>
      </c>
      <c r="L90" s="5">
        <v>196.71604456400144</v>
      </c>
      <c r="M90" s="5">
        <v>190.00485028933323</v>
      </c>
      <c r="N90" s="5">
        <v>181.9527376066664</v>
      </c>
      <c r="O90" s="5">
        <v>176.75859265592675</v>
      </c>
      <c r="P90" s="5">
        <f t="shared" ref="P90:P91" si="35">SUM(D90:O90)</f>
        <v>1457.8020464598428</v>
      </c>
    </row>
    <row r="91" spans="2:17">
      <c r="B91" s="64"/>
      <c r="C91" s="6" t="s">
        <v>24</v>
      </c>
      <c r="D91" s="5">
        <v>74.920467806476125</v>
      </c>
      <c r="E91" s="5">
        <v>42.110508132058214</v>
      </c>
      <c r="F91" s="5">
        <v>34.761524536598813</v>
      </c>
      <c r="G91" s="5">
        <v>31.506399629947282</v>
      </c>
      <c r="H91" s="5">
        <v>42.801502893070769</v>
      </c>
      <c r="I91" s="5">
        <v>70.691354699963171</v>
      </c>
      <c r="J91" s="5">
        <v>94.872354193446824</v>
      </c>
      <c r="K91" s="5">
        <v>132.47706254288013</v>
      </c>
      <c r="L91" s="5">
        <v>154.18479314733321</v>
      </c>
      <c r="M91" s="5">
        <v>149.38325806533305</v>
      </c>
      <c r="N91" s="5">
        <v>143.03733622466677</v>
      </c>
      <c r="O91" s="5">
        <v>125.91896732878209</v>
      </c>
      <c r="P91" s="5">
        <f t="shared" si="35"/>
        <v>1096.6655292005564</v>
      </c>
    </row>
    <row r="92" spans="2:17">
      <c r="D92" s="22">
        <v>206</v>
      </c>
      <c r="E92" s="22">
        <v>128</v>
      </c>
      <c r="F92" s="22">
        <v>140</v>
      </c>
      <c r="G92" s="9">
        <f t="shared" ref="G92:O92" si="36">SUM(G89:G91)</f>
        <v>91.823318588947302</v>
      </c>
      <c r="H92" s="9">
        <f t="shared" si="36"/>
        <v>122.15928637915093</v>
      </c>
      <c r="I92" s="9">
        <f t="shared" si="36"/>
        <v>183.02734667242342</v>
      </c>
      <c r="J92" s="9">
        <f t="shared" si="36"/>
        <v>246.81658665804471</v>
      </c>
      <c r="K92" s="9">
        <f t="shared" si="36"/>
        <v>348.74080387770493</v>
      </c>
      <c r="L92" s="9">
        <f t="shared" si="36"/>
        <v>405.0285974106269</v>
      </c>
      <c r="M92" s="9">
        <f t="shared" si="36"/>
        <v>391.28462896266637</v>
      </c>
      <c r="N92" s="9">
        <f t="shared" si="36"/>
        <v>371.32160833769973</v>
      </c>
      <c r="O92" s="9">
        <f t="shared" si="36"/>
        <v>336.64587336975427</v>
      </c>
      <c r="P92" s="18">
        <f>SUM(D92:O92)</f>
        <v>2970.8480502570183</v>
      </c>
      <c r="Q92" s="13" t="s">
        <v>35</v>
      </c>
    </row>
    <row r="94" spans="2:17">
      <c r="B94" s="60"/>
      <c r="C94" s="20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2:17">
      <c r="B95" s="65"/>
      <c r="C95" s="21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2:17">
      <c r="B96" s="65"/>
      <c r="C96" s="21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2:16"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2:16">
      <c r="D98" s="37"/>
      <c r="E98" s="37"/>
      <c r="F98" s="37"/>
      <c r="G98" s="37"/>
      <c r="H98" s="37"/>
      <c r="I98" s="37"/>
      <c r="J98" s="11"/>
      <c r="K98" s="11"/>
      <c r="L98" s="11"/>
      <c r="M98" s="11"/>
      <c r="N98" s="11"/>
      <c r="O98" s="11"/>
      <c r="P98" s="11"/>
    </row>
    <row r="100" spans="2:16">
      <c r="B100" s="60"/>
      <c r="C100" s="20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2:16">
      <c r="B101" s="60"/>
      <c r="C101" s="21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2:16">
      <c r="B102" s="60"/>
      <c r="C102" s="21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2:16"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22"/>
    </row>
    <row r="105" spans="2:16">
      <c r="E105" s="5"/>
      <c r="G105" s="5"/>
      <c r="H105" s="5" t="s">
        <v>36</v>
      </c>
      <c r="I105" s="5">
        <f>I98-I60</f>
        <v>-683.41493390000005</v>
      </c>
    </row>
    <row r="106" spans="2:16">
      <c r="G106" s="5"/>
      <c r="H106" s="5" t="s">
        <v>37</v>
      </c>
      <c r="I106" s="5" t="e">
        <f>I98-#REF!</f>
        <v>#REF!</v>
      </c>
    </row>
    <row r="107" spans="2:16">
      <c r="J107" s="5"/>
    </row>
  </sheetData>
  <mergeCells count="23">
    <mergeCell ref="B23:B25"/>
    <mergeCell ref="B72:B74"/>
    <mergeCell ref="R77:V78"/>
    <mergeCell ref="B52:B54"/>
    <mergeCell ref="B56:B58"/>
    <mergeCell ref="B67:B69"/>
    <mergeCell ref="B27:B29"/>
    <mergeCell ref="B32:B34"/>
    <mergeCell ref="B36:B38"/>
    <mergeCell ref="B40:B42"/>
    <mergeCell ref="B44:B46"/>
    <mergeCell ref="B48:B50"/>
    <mergeCell ref="B62:B64"/>
    <mergeCell ref="B3:B5"/>
    <mergeCell ref="B7:B9"/>
    <mergeCell ref="B11:B13"/>
    <mergeCell ref="B15:B17"/>
    <mergeCell ref="B19:B21"/>
    <mergeCell ref="B100:B102"/>
    <mergeCell ref="B84:B86"/>
    <mergeCell ref="B89:B91"/>
    <mergeCell ref="B94:B96"/>
    <mergeCell ref="B79:B8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E1C6-0373-4023-B64B-3926A7D75C17}">
  <dimension ref="B1:T31"/>
  <sheetViews>
    <sheetView workbookViewId="0">
      <selection activeCell="R14" sqref="R14"/>
    </sheetView>
  </sheetViews>
  <sheetFormatPr defaultRowHeight="15"/>
  <sheetData>
    <row r="1" spans="2:20"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8">
        <v>12</v>
      </c>
      <c r="O1" s="29" t="s">
        <v>9</v>
      </c>
    </row>
    <row r="2" spans="2:20">
      <c r="B2" s="8">
        <v>2011</v>
      </c>
      <c r="C2" s="23">
        <f>'2011'!C6</f>
        <v>132.80656400000004</v>
      </c>
      <c r="D2" s="23">
        <f>'2011'!D6</f>
        <v>85.254830000000084</v>
      </c>
      <c r="E2" s="23">
        <f>'2011'!E6</f>
        <v>134.30105000000003</v>
      </c>
      <c r="F2" s="23">
        <f>'2011'!F6</f>
        <v>127.50972999999999</v>
      </c>
      <c r="G2" s="23">
        <f>'2011'!G6</f>
        <v>99.263419999999996</v>
      </c>
      <c r="H2" s="23">
        <f>'2011'!H6</f>
        <v>278.44369</v>
      </c>
      <c r="I2" s="23">
        <f>'2011'!I6</f>
        <v>273.76387</v>
      </c>
      <c r="J2" s="23">
        <f>'2011'!J6</f>
        <v>332.59273999999999</v>
      </c>
      <c r="K2" s="23">
        <f>'2011'!K6</f>
        <v>324.33552999999995</v>
      </c>
      <c r="L2" s="23">
        <f>'2011'!L6</f>
        <v>398.64892900000001</v>
      </c>
      <c r="M2" s="23">
        <f>'2011'!M6</f>
        <v>313.45666999999997</v>
      </c>
      <c r="N2" s="23">
        <f>'2011'!N6</f>
        <v>292.86167999999998</v>
      </c>
      <c r="O2" s="30">
        <f>SUM(C2:N2)</f>
        <v>2793.238703</v>
      </c>
      <c r="P2" s="24"/>
      <c r="Q2" s="24"/>
      <c r="R2" s="24"/>
      <c r="S2" s="24"/>
      <c r="T2" s="25"/>
    </row>
    <row r="3" spans="2:20">
      <c r="B3" s="8">
        <v>2012</v>
      </c>
      <c r="C3" s="23">
        <f>'2012'!C6</f>
        <v>149.62721999999994</v>
      </c>
      <c r="D3" s="23">
        <f>'2012'!D6</f>
        <v>125.15190000000005</v>
      </c>
      <c r="E3" s="23">
        <f>'2012'!E6</f>
        <v>149.15541999999994</v>
      </c>
      <c r="F3" s="23">
        <f>'2012'!F6</f>
        <v>172.57065000000017</v>
      </c>
      <c r="G3" s="23">
        <f>'2012'!G6</f>
        <v>229.4237</v>
      </c>
      <c r="H3" s="23">
        <f>'2012'!H6</f>
        <v>148.78419999999983</v>
      </c>
      <c r="I3" s="23">
        <f>'2012'!I6</f>
        <v>199.09021000000001</v>
      </c>
      <c r="J3" s="23">
        <f>'2012'!J6</f>
        <v>184.81718999999998</v>
      </c>
      <c r="K3" s="23">
        <f>'2012'!K6</f>
        <v>277.73478999999998</v>
      </c>
      <c r="L3" s="23">
        <f>'2012'!L6</f>
        <v>421.82247999999998</v>
      </c>
      <c r="M3" s="23">
        <f>'2012'!M6</f>
        <v>270.31364000000002</v>
      </c>
      <c r="N3" s="23">
        <f>'2012'!N6</f>
        <v>138.85826000000009</v>
      </c>
      <c r="O3" s="30">
        <f t="shared" ref="O3:O15" si="0">SUM(C3:N3)</f>
        <v>2467.3496599999999</v>
      </c>
      <c r="P3" s="24"/>
      <c r="Q3" s="24"/>
      <c r="R3" s="24"/>
      <c r="S3" s="24"/>
      <c r="T3" s="25"/>
    </row>
    <row r="4" spans="2:20">
      <c r="B4" s="8">
        <v>2013</v>
      </c>
      <c r="C4" s="23">
        <f>'2013'!C6</f>
        <v>84.294499999999971</v>
      </c>
      <c r="D4" s="23">
        <f>'2013'!D6</f>
        <v>52.025000000000055</v>
      </c>
      <c r="E4" s="23">
        <f>'2013'!E6</f>
        <v>92.160299999999978</v>
      </c>
      <c r="F4" s="23">
        <f>'2013'!F6</f>
        <v>75.378500000000059</v>
      </c>
      <c r="G4" s="23">
        <f>'2013'!G6</f>
        <v>106.2148999999999</v>
      </c>
      <c r="H4" s="23">
        <f>'2013'!H6</f>
        <v>221.96598499999999</v>
      </c>
      <c r="I4" s="23">
        <f>'2013'!I6</f>
        <v>276.87940000000009</v>
      </c>
      <c r="J4" s="23">
        <f>'2013'!J6</f>
        <v>261.38180000000006</v>
      </c>
      <c r="K4" s="23">
        <f>'2013'!K6</f>
        <v>221.12469999999996</v>
      </c>
      <c r="L4" s="23">
        <f>'2013'!L6</f>
        <v>368.49690000000004</v>
      </c>
      <c r="M4" s="23">
        <f>'2013'!M6</f>
        <v>275.96169999999995</v>
      </c>
      <c r="N4" s="23">
        <f>'2013'!N6</f>
        <v>189.81490000000002</v>
      </c>
      <c r="O4" s="30">
        <f t="shared" si="0"/>
        <v>2225.6985850000001</v>
      </c>
      <c r="P4" s="24"/>
      <c r="Q4" s="24"/>
      <c r="R4" s="24"/>
      <c r="S4" s="24"/>
      <c r="T4" s="25"/>
    </row>
    <row r="5" spans="2:20">
      <c r="B5" s="8">
        <v>2014</v>
      </c>
      <c r="C5" s="23">
        <f>'2014'!C6</f>
        <v>126.0338999999999</v>
      </c>
      <c r="D5" s="23">
        <f>'2014'!D6</f>
        <v>113.79100000000011</v>
      </c>
      <c r="E5" s="23">
        <f>'2014'!E6</f>
        <v>129.42869999999996</v>
      </c>
      <c r="F5" s="23">
        <f>'2014'!F6</f>
        <v>79.614309999999932</v>
      </c>
      <c r="G5" s="23">
        <f>'2014'!G6</f>
        <v>104.97208699999996</v>
      </c>
      <c r="H5" s="23">
        <f>'2014'!H6</f>
        <v>173.55380000000014</v>
      </c>
      <c r="I5" s="23">
        <f>'2014'!I6</f>
        <v>393.16940000000011</v>
      </c>
      <c r="J5" s="23">
        <f>'2014'!J6</f>
        <v>382.63219999999978</v>
      </c>
      <c r="K5" s="23">
        <f>'2014'!K6</f>
        <v>309.79450000000008</v>
      </c>
      <c r="L5" s="23">
        <f>'2014'!L6</f>
        <v>328.19179999999994</v>
      </c>
      <c r="M5" s="23">
        <f>'2014'!M6</f>
        <v>146.25329999999968</v>
      </c>
      <c r="N5" s="23">
        <f>'2014'!N6</f>
        <v>115.23801499999983</v>
      </c>
      <c r="O5" s="30">
        <f t="shared" si="0"/>
        <v>2402.6730119999997</v>
      </c>
      <c r="P5" s="24"/>
      <c r="Q5" s="24"/>
      <c r="R5" s="24"/>
      <c r="S5" s="24"/>
      <c r="T5" s="25"/>
    </row>
    <row r="6" spans="2:20">
      <c r="B6" s="8">
        <v>2015</v>
      </c>
      <c r="C6" s="23">
        <f>'2015'!C6</f>
        <v>112.15420000000029</v>
      </c>
      <c r="D6" s="23">
        <f>'2015'!D6</f>
        <v>72.712999999999994</v>
      </c>
      <c r="E6" s="23">
        <f>'2015'!E6</f>
        <v>82.696000000000112</v>
      </c>
      <c r="F6" s="23">
        <f>'2015'!F6</f>
        <v>91.620300000000157</v>
      </c>
      <c r="G6" s="23">
        <f>'2015'!G6</f>
        <v>75.884699999999725</v>
      </c>
      <c r="H6" s="23">
        <f>'2015'!H6</f>
        <v>126.04394100000025</v>
      </c>
      <c r="I6" s="23">
        <f>'2015'!I6</f>
        <v>223.47359999999964</v>
      </c>
      <c r="J6" s="23">
        <f>'2015'!J6</f>
        <v>237.93280000000038</v>
      </c>
      <c r="K6" s="23">
        <f>'2015'!K6</f>
        <v>186.10409999999987</v>
      </c>
      <c r="L6" s="23">
        <f>'2015'!L6</f>
        <v>149.44859999999977</v>
      </c>
      <c r="M6" s="23">
        <f>'2015'!M6</f>
        <v>102.10050000000011</v>
      </c>
      <c r="N6" s="23">
        <f>'2015'!N6</f>
        <v>91.321700000000064</v>
      </c>
      <c r="O6" s="30">
        <f t="shared" si="0"/>
        <v>1551.4934410000001</v>
      </c>
      <c r="P6" s="24"/>
      <c r="Q6" s="24"/>
      <c r="R6" s="24"/>
      <c r="S6" s="24"/>
      <c r="T6" s="25"/>
    </row>
    <row r="7" spans="2:20">
      <c r="B7" s="8">
        <v>2016</v>
      </c>
      <c r="C7" s="23">
        <f>'2016'!C6</f>
        <v>105.66380000000007</v>
      </c>
      <c r="D7" s="23">
        <f>'2016'!D6</f>
        <v>64.202799999999939</v>
      </c>
      <c r="E7" s="23">
        <f>'2016'!E6</f>
        <v>64.924499999999881</v>
      </c>
      <c r="F7" s="23">
        <f>'2016'!F6</f>
        <v>61.845500000000229</v>
      </c>
      <c r="G7" s="23">
        <f>'2016'!G6</f>
        <v>83.731599999999617</v>
      </c>
      <c r="H7" s="23">
        <f>'2016'!H6</f>
        <v>115.80289300000054</v>
      </c>
      <c r="I7" s="23">
        <f>'2016'!I6</f>
        <v>197.42896299999973</v>
      </c>
      <c r="J7" s="23">
        <f>'2016'!J6</f>
        <v>209.76571199999984</v>
      </c>
      <c r="K7" s="23">
        <f>'2016'!K6</f>
        <v>161.45198700000006</v>
      </c>
      <c r="L7" s="23">
        <f>'2016'!L6</f>
        <v>327.95432599999998</v>
      </c>
      <c r="M7" s="23">
        <f>'2016'!M6</f>
        <v>380.37559699999997</v>
      </c>
      <c r="N7" s="23">
        <f>'2016'!N6</f>
        <v>397.85333700000052</v>
      </c>
      <c r="O7" s="30">
        <f t="shared" si="0"/>
        <v>2171.0010150000007</v>
      </c>
      <c r="P7" s="24"/>
      <c r="Q7" s="24"/>
      <c r="R7" s="24"/>
      <c r="S7" s="24"/>
      <c r="T7" s="25"/>
    </row>
    <row r="8" spans="2:20">
      <c r="B8" s="8">
        <v>2017</v>
      </c>
      <c r="C8" s="23">
        <f>'2017'!C6</f>
        <v>287.2902859999997</v>
      </c>
      <c r="D8" s="23">
        <f>'2017'!D6</f>
        <v>166.49262099999993</v>
      </c>
      <c r="E8" s="23">
        <f>'2017'!E6</f>
        <v>127.72066899999987</v>
      </c>
      <c r="F8" s="23">
        <f>'2017'!F6</f>
        <v>149.58873100000014</v>
      </c>
      <c r="G8" s="23">
        <f>'2017'!G6</f>
        <v>285.19583900000003</v>
      </c>
      <c r="H8" s="23">
        <f>'2017'!H6</f>
        <v>382.02483799999959</v>
      </c>
      <c r="I8" s="23">
        <f>'2017'!I6</f>
        <v>318.53012900000033</v>
      </c>
      <c r="J8" s="23">
        <f>'2017'!J6</f>
        <v>340.30455599999982</v>
      </c>
      <c r="K8" s="23">
        <f>'2017'!K6</f>
        <v>379.00027300000062</v>
      </c>
      <c r="L8" s="23">
        <f>'2017'!L6</f>
        <v>383.11183299999914</v>
      </c>
      <c r="M8" s="23">
        <f>'2017'!M6</f>
        <v>387.03136499999999</v>
      </c>
      <c r="N8" s="23">
        <f>'2017'!N6</f>
        <v>385.17482600000085</v>
      </c>
      <c r="O8" s="30">
        <f t="shared" si="0"/>
        <v>3591.4659659999993</v>
      </c>
      <c r="P8" s="24"/>
      <c r="Q8" s="24"/>
      <c r="R8" s="24"/>
      <c r="S8" s="24"/>
      <c r="T8" s="25"/>
    </row>
    <row r="9" spans="2:20">
      <c r="B9" s="8">
        <v>2018</v>
      </c>
      <c r="C9" s="23">
        <f>'2018'!C6</f>
        <v>240.07405499999987</v>
      </c>
      <c r="D9" s="23">
        <f>'2018'!D6</f>
        <v>139.44060099999979</v>
      </c>
      <c r="E9" s="23">
        <f>'2018'!E6</f>
        <v>143.17560400000076</v>
      </c>
      <c r="F9" s="23">
        <f>'2018'!F6</f>
        <v>124.47058799999911</v>
      </c>
      <c r="G9" s="23">
        <f>'2018'!G6</f>
        <v>114.67535699999985</v>
      </c>
      <c r="H9" s="23">
        <f>'2018'!H6</f>
        <v>154.21025000000108</v>
      </c>
      <c r="I9" s="23">
        <f>'2018'!I6</f>
        <v>243.07770100000033</v>
      </c>
      <c r="J9" s="23">
        <f>'2018'!J6</f>
        <v>294.79747599999888</v>
      </c>
      <c r="K9" s="23">
        <f>'2018'!K6</f>
        <v>349.12734599999965</v>
      </c>
      <c r="L9" s="23">
        <f>'2018'!L6</f>
        <v>315.50869800000049</v>
      </c>
      <c r="M9" s="23">
        <f>'2018'!M6</f>
        <v>169.09962499999932</v>
      </c>
      <c r="N9" s="23">
        <f>'2018'!N6</f>
        <v>226.17767699999999</v>
      </c>
      <c r="O9" s="30">
        <f t="shared" si="0"/>
        <v>2513.8349779999994</v>
      </c>
      <c r="P9" s="24"/>
      <c r="Q9" s="24"/>
      <c r="R9" s="24"/>
      <c r="S9" s="24"/>
      <c r="T9" s="25"/>
    </row>
    <row r="10" spans="2:20">
      <c r="B10" s="8">
        <v>2019</v>
      </c>
      <c r="C10" s="23">
        <f>'2019'!C6</f>
        <v>240.3599370000004</v>
      </c>
      <c r="D10" s="23">
        <f>'2019'!D6</f>
        <v>106.61980499999947</v>
      </c>
      <c r="E10" s="23">
        <f>'2019'!E6</f>
        <v>133.05656799999991</v>
      </c>
      <c r="F10" s="23">
        <f>'2019'!F6</f>
        <v>101.75113400000053</v>
      </c>
      <c r="G10" s="23">
        <f>'2019'!G6</f>
        <v>105.65681700000002</v>
      </c>
      <c r="H10" s="23">
        <f>'2019'!H6</f>
        <v>120.75776299999936</v>
      </c>
      <c r="I10" s="23">
        <f>'2019'!I6</f>
        <v>111.94435500000021</v>
      </c>
      <c r="J10" s="23">
        <f>'2019'!J6</f>
        <v>311.32804300000032</v>
      </c>
      <c r="K10" s="23">
        <f>'2019'!K6</f>
        <v>349.31832799999955</v>
      </c>
      <c r="L10" s="23">
        <f>'2019'!L6</f>
        <v>291.77074399999998</v>
      </c>
      <c r="M10" s="23">
        <f>'2019'!M6</f>
        <v>362.195649</v>
      </c>
      <c r="N10" s="23">
        <f>'2019'!N6</f>
        <v>173.08374500000059</v>
      </c>
      <c r="O10" s="30">
        <f t="shared" si="0"/>
        <v>2407.8428880000001</v>
      </c>
      <c r="P10" s="24"/>
      <c r="Q10" s="24"/>
      <c r="R10" s="24"/>
      <c r="S10" s="24"/>
      <c r="T10" s="25"/>
    </row>
    <row r="11" spans="2:20">
      <c r="B11" s="8">
        <v>2020</v>
      </c>
      <c r="C11" s="23">
        <f>'2020'!C6</f>
        <v>118.07226599999936</v>
      </c>
      <c r="D11" s="23">
        <f>'2020'!D6</f>
        <v>92.036562000001084</v>
      </c>
      <c r="E11" s="23">
        <f>'2020'!E6</f>
        <v>102.01316399999916</v>
      </c>
      <c r="F11" s="23">
        <f>'2020'!F6</f>
        <v>68.498669000001627</v>
      </c>
      <c r="G11" s="23">
        <f>'2020'!G6</f>
        <v>64.232771999999997</v>
      </c>
      <c r="H11" s="23">
        <f>'2020'!H6</f>
        <v>145.05006399999979</v>
      </c>
      <c r="I11" s="23">
        <f>'2020'!I6</f>
        <v>208.810667</v>
      </c>
      <c r="J11" s="23">
        <f>'2020'!J6</f>
        <v>388.63195000000019</v>
      </c>
      <c r="K11" s="23">
        <f>'2020'!K6</f>
        <v>361.78751999999906</v>
      </c>
      <c r="L11" s="23">
        <f>'2020'!L6</f>
        <v>375.22707300000053</v>
      </c>
      <c r="M11" s="23">
        <f>'2020'!M6</f>
        <v>387.38411099999979</v>
      </c>
      <c r="N11" s="23">
        <f>'2020'!N6</f>
        <v>401.10433100000023</v>
      </c>
      <c r="O11" s="30">
        <f t="shared" si="0"/>
        <v>2712.8491490000006</v>
      </c>
      <c r="P11" s="24"/>
      <c r="Q11" s="24"/>
      <c r="R11" s="24"/>
      <c r="S11" s="24"/>
      <c r="T11" s="25"/>
    </row>
    <row r="12" spans="2:20">
      <c r="B12" s="8">
        <v>2021</v>
      </c>
      <c r="C12" s="23">
        <f>'2021'!C6</f>
        <v>224.3036269999993</v>
      </c>
      <c r="D12" s="23">
        <f>'2021'!D6</f>
        <v>140.41986100000133</v>
      </c>
      <c r="E12" s="23">
        <f>'2021'!E6</f>
        <v>134.29192799999936</v>
      </c>
      <c r="F12" s="23">
        <f>'2021'!F6</f>
        <v>99.145726999999255</v>
      </c>
      <c r="G12" s="23">
        <f>'2021'!G6</f>
        <v>111.44721400000026</v>
      </c>
      <c r="H12" s="23">
        <f>'2021'!H6</f>
        <v>100.99212199999974</v>
      </c>
      <c r="I12" s="23">
        <f>'2021'!I6</f>
        <v>162.90465200000057</v>
      </c>
      <c r="J12" s="23">
        <f>'2021'!J6</f>
        <v>177.07457199999922</v>
      </c>
      <c r="K12" s="23">
        <f>'2021'!K6</f>
        <v>326.24722600000189</v>
      </c>
      <c r="L12" s="23">
        <f>'2021'!L6</f>
        <v>394.74433899999912</v>
      </c>
      <c r="M12" s="23">
        <f>'2021'!M6</f>
        <v>407.28446600000075</v>
      </c>
      <c r="N12" s="23">
        <f>'2021'!N6</f>
        <v>366.33647199999984</v>
      </c>
      <c r="O12" s="30">
        <f t="shared" si="0"/>
        <v>2645.1922060000011</v>
      </c>
      <c r="P12" s="24"/>
      <c r="Q12" s="24"/>
      <c r="R12" s="24"/>
      <c r="S12" s="24"/>
      <c r="T12" s="25"/>
    </row>
    <row r="13" spans="2:20">
      <c r="B13" s="8">
        <v>2022</v>
      </c>
      <c r="C13" s="23">
        <f>'2022'!C6</f>
        <v>244.8827264</v>
      </c>
      <c r="D13" s="23">
        <f>'2022'!D6</f>
        <v>144.28403040000001</v>
      </c>
      <c r="E13" s="23">
        <f>'2022'!E6</f>
        <v>160.6100103</v>
      </c>
      <c r="F13" s="23">
        <f>'2022'!F6</f>
        <v>151.21615079999998</v>
      </c>
      <c r="G13" s="23">
        <f>'2022'!G6</f>
        <v>215.02487660000003</v>
      </c>
      <c r="H13" s="23">
        <f>'2022'!H6</f>
        <v>234.61886229999996</v>
      </c>
      <c r="I13" s="23">
        <f>'2022'!I6</f>
        <v>336.48757390000003</v>
      </c>
      <c r="J13" s="23">
        <f>'2022'!J6</f>
        <v>385.00846190000004</v>
      </c>
      <c r="K13" s="23">
        <f>'2022'!K6</f>
        <v>397.60489000000001</v>
      </c>
      <c r="L13" s="23">
        <f>'2022'!L6</f>
        <v>402.02400920000002</v>
      </c>
      <c r="M13" s="23">
        <f>'2022'!M6</f>
        <v>332.31369669999998</v>
      </c>
      <c r="N13" s="23">
        <f>'2022'!N6</f>
        <v>295.59334189999998</v>
      </c>
      <c r="O13" s="30">
        <f t="shared" si="0"/>
        <v>3299.6686304</v>
      </c>
      <c r="P13" s="24"/>
      <c r="Q13" s="24"/>
      <c r="R13" s="24"/>
      <c r="S13" s="24"/>
      <c r="T13" s="25"/>
    </row>
    <row r="14" spans="2:20">
      <c r="B14" s="8">
        <v>2023</v>
      </c>
      <c r="C14" s="23">
        <f>'2023'!C6</f>
        <v>217.07162940000001</v>
      </c>
      <c r="D14" s="23">
        <f>'2023'!D6</f>
        <v>156.23243910000002</v>
      </c>
      <c r="E14" s="23">
        <f>'2023'!E6</f>
        <v>147.52656189999999</v>
      </c>
      <c r="F14" s="23">
        <f>'2023'!F6</f>
        <v>134.4766219</v>
      </c>
      <c r="G14" s="23">
        <f>'2023'!G6</f>
        <v>83.516576100000009</v>
      </c>
      <c r="H14" s="23">
        <f>'2023'!H6</f>
        <v>176.27517840000002</v>
      </c>
      <c r="I14" s="23">
        <f>'2023'!I6</f>
        <v>290.92250319999999</v>
      </c>
      <c r="J14" s="23">
        <f>'2023'!J6</f>
        <v>343.58886080000002</v>
      </c>
      <c r="K14" s="23">
        <f>'2023'!K6</f>
        <v>409.66112179999999</v>
      </c>
      <c r="L14" s="23">
        <f>'2023'!L6</f>
        <v>405.72222419999997</v>
      </c>
      <c r="M14" s="23">
        <f>'2023'!M6</f>
        <v>329.81736899999999</v>
      </c>
      <c r="N14" s="23">
        <f>'2023'!N6</f>
        <v>252.0982908</v>
      </c>
      <c r="O14" s="30">
        <f t="shared" si="0"/>
        <v>2946.9093766000001</v>
      </c>
      <c r="P14" s="24"/>
      <c r="Q14" s="24"/>
      <c r="R14" s="24"/>
      <c r="S14" s="24"/>
      <c r="T14" s="25"/>
    </row>
    <row r="15" spans="2:20">
      <c r="B15" s="8">
        <v>2024</v>
      </c>
      <c r="C15" s="23">
        <f>'2024'!C6</f>
        <v>158.87125909999997</v>
      </c>
      <c r="D15" s="23">
        <f>'2024'!D6</f>
        <v>98.11669710000001</v>
      </c>
      <c r="E15" s="23">
        <f>'2024'!E6</f>
        <v>75.457762900000006</v>
      </c>
      <c r="F15" s="23">
        <f>'2024'!F6</f>
        <v>82.316237599999994</v>
      </c>
      <c r="G15" s="23">
        <f>'2024'!G6</f>
        <v>109.2803045</v>
      </c>
      <c r="H15" s="23">
        <f>'2024'!H6</f>
        <v>159.37267270000001</v>
      </c>
      <c r="I15" s="23">
        <f>'2024'!I6</f>
        <v>261.52135999999996</v>
      </c>
      <c r="J15" s="23">
        <f>'2024'!J6</f>
        <v>354.09825790000002</v>
      </c>
      <c r="K15" s="23">
        <f>'2024'!K6</f>
        <v>368.44079060000001</v>
      </c>
      <c r="L15" s="23">
        <f>'2024'!L6</f>
        <v>382.53090380000003</v>
      </c>
      <c r="M15" s="23">
        <f>'2024'!M6</f>
        <v>267.8463198</v>
      </c>
      <c r="N15" s="23">
        <f>'2024'!N6</f>
        <v>249.7818412</v>
      </c>
      <c r="O15" s="30">
        <f t="shared" si="0"/>
        <v>2567.6344072000002</v>
      </c>
      <c r="P15" s="24"/>
      <c r="Q15" s="24"/>
      <c r="R15" s="24"/>
      <c r="S15" s="24"/>
      <c r="T15" s="25"/>
    </row>
    <row r="16" spans="2:20">
      <c r="K16" s="26" t="s">
        <v>38</v>
      </c>
      <c r="L16" s="27">
        <f>B15-B2+1</f>
        <v>14</v>
      </c>
      <c r="M16" s="6" t="s">
        <v>39</v>
      </c>
      <c r="N16" s="16" t="s">
        <v>40</v>
      </c>
      <c r="O16" s="31">
        <f>AVERAGE(O2:O15)</f>
        <v>2592.6322869428573</v>
      </c>
    </row>
    <row r="17" spans="2:15">
      <c r="B17">
        <v>2025</v>
      </c>
      <c r="C17" s="23">
        <v>212.55</v>
      </c>
      <c r="D17" s="23">
        <v>122.99</v>
      </c>
      <c r="E17" s="23">
        <v>135.59111469999999</v>
      </c>
      <c r="F17" s="23">
        <v>119.16839829999999</v>
      </c>
      <c r="G17" s="23"/>
      <c r="H17" s="23"/>
      <c r="I17" s="23"/>
      <c r="J17" s="23"/>
      <c r="K17" s="26" t="s">
        <v>38</v>
      </c>
      <c r="L17" s="28">
        <f>B15-B11+1</f>
        <v>5</v>
      </c>
      <c r="M17" s="6" t="s">
        <v>39</v>
      </c>
      <c r="N17" s="16" t="s">
        <v>41</v>
      </c>
      <c r="O17" s="31">
        <f>AVERAGE(O11:O15)</f>
        <v>2834.4507538400003</v>
      </c>
    </row>
    <row r="18" spans="2:15">
      <c r="K18" s="26" t="s">
        <v>38</v>
      </c>
      <c r="L18" s="27">
        <f>B15-B13+1</f>
        <v>3</v>
      </c>
      <c r="M18" s="6" t="s">
        <v>39</v>
      </c>
      <c r="N18" s="16" t="s">
        <v>42</v>
      </c>
      <c r="O18" s="31">
        <f>AVERAGE(O13:O15)</f>
        <v>2938.0708047333333</v>
      </c>
    </row>
    <row r="31" spans="2:15">
      <c r="M31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2E778-B5DA-45B9-9F27-1F26D04ED361}">
  <dimension ref="A1:O19"/>
  <sheetViews>
    <sheetView workbookViewId="0">
      <selection activeCell="K28" sqref="K28"/>
    </sheetView>
  </sheetViews>
  <sheetFormatPr defaultRowHeight="15"/>
  <cols>
    <col min="1" max="1" width="14.140625" customWidth="1"/>
  </cols>
  <sheetData>
    <row r="1" spans="1:15">
      <c r="A1" s="16" t="s">
        <v>43</v>
      </c>
    </row>
    <row r="2" spans="1:15">
      <c r="B2" t="s">
        <v>44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</row>
    <row r="3" spans="1:15">
      <c r="A3" t="s">
        <v>2</v>
      </c>
      <c r="B3">
        <v>2006</v>
      </c>
      <c r="C3" s="5">
        <v>16.619351351351344</v>
      </c>
      <c r="D3" s="5">
        <v>11.596864864864864</v>
      </c>
      <c r="E3" s="5">
        <v>10.617081081081084</v>
      </c>
      <c r="F3" s="5">
        <v>10.566486486486484</v>
      </c>
      <c r="G3" s="5">
        <v>12.064864864864862</v>
      </c>
      <c r="H3" s="5">
        <v>13.952432432432431</v>
      </c>
      <c r="I3" s="5">
        <v>32.87675675675677</v>
      </c>
      <c r="J3" s="5">
        <v>60.183074203408424</v>
      </c>
      <c r="K3" s="5">
        <v>47.870270270270254</v>
      </c>
      <c r="L3" s="5">
        <v>61.071907000000117</v>
      </c>
      <c r="M3" s="5">
        <v>20.578378378378375</v>
      </c>
      <c r="N3" s="5">
        <v>15.533513513513512</v>
      </c>
      <c r="O3" s="5">
        <f>SUM(C3:N3)</f>
        <v>313.53098120340849</v>
      </c>
    </row>
    <row r="4" spans="1:15">
      <c r="A4" t="s">
        <v>3</v>
      </c>
      <c r="B4">
        <v>2018</v>
      </c>
      <c r="C4" s="5">
        <v>125.761033</v>
      </c>
      <c r="D4" s="5">
        <v>63.206232999999536</v>
      </c>
      <c r="E4" s="5">
        <v>66.400333000000572</v>
      </c>
      <c r="F4" s="5">
        <v>59.581732999999538</v>
      </c>
      <c r="G4" s="5">
        <v>57.857050999999977</v>
      </c>
      <c r="H4" s="5">
        <v>71.134424000000777</v>
      </c>
      <c r="I4" s="5">
        <v>118.96295500000008</v>
      </c>
      <c r="J4" s="5">
        <v>141.01818399999897</v>
      </c>
      <c r="K4" s="5">
        <v>164.50247300000024</v>
      </c>
      <c r="L4" s="5">
        <v>147.82510400000001</v>
      </c>
      <c r="M4" s="5">
        <v>88.371788999999879</v>
      </c>
      <c r="N4" s="5">
        <v>114.598782</v>
      </c>
      <c r="O4" s="5">
        <f t="shared" ref="O4:O5" si="0">SUM(C4:N4)</f>
        <v>1219.2200939999996</v>
      </c>
    </row>
    <row r="5" spans="1:15">
      <c r="A5" t="s">
        <v>24</v>
      </c>
      <c r="B5">
        <v>2021</v>
      </c>
      <c r="C5" s="5">
        <v>84.770697999999385</v>
      </c>
      <c r="D5" s="5">
        <v>51.779504000000657</v>
      </c>
      <c r="E5" s="5">
        <v>43.542483000000004</v>
      </c>
      <c r="F5" s="5">
        <v>34.706387999999336</v>
      </c>
      <c r="G5" s="5">
        <v>42.992444000000134</v>
      </c>
      <c r="H5" s="5">
        <v>39.461503999999721</v>
      </c>
      <c r="I5" s="5">
        <v>62.004547000000166</v>
      </c>
      <c r="J5" s="5">
        <v>69.880805999999865</v>
      </c>
      <c r="K5" s="5">
        <v>133.2786650000005</v>
      </c>
      <c r="L5" s="5">
        <v>157.50553899999989</v>
      </c>
      <c r="M5" s="5">
        <v>157.48852799999995</v>
      </c>
      <c r="N5" s="5">
        <v>142.26362600000016</v>
      </c>
      <c r="O5" s="5">
        <f t="shared" si="0"/>
        <v>1019.6747319999998</v>
      </c>
    </row>
    <row r="6" spans="1:15">
      <c r="C6" s="5">
        <f>SUM(C3:C5)</f>
        <v>227.15108235135074</v>
      </c>
      <c r="D6" s="5">
        <f t="shared" ref="D6:N6" si="1">SUM(D3:D5)</f>
        <v>126.58260186486505</v>
      </c>
      <c r="E6" s="5">
        <f t="shared" si="1"/>
        <v>120.55989708108166</v>
      </c>
      <c r="F6" s="5">
        <f t="shared" si="1"/>
        <v>104.85460748648536</v>
      </c>
      <c r="G6" s="5">
        <f t="shared" si="1"/>
        <v>112.91435986486498</v>
      </c>
      <c r="H6" s="5">
        <f t="shared" si="1"/>
        <v>124.54836043243293</v>
      </c>
      <c r="I6" s="5">
        <f t="shared" si="1"/>
        <v>213.84425875675703</v>
      </c>
      <c r="J6" s="5">
        <f t="shared" si="1"/>
        <v>271.0820642034073</v>
      </c>
      <c r="K6" s="5">
        <f t="shared" si="1"/>
        <v>345.65140827027096</v>
      </c>
      <c r="L6" s="5">
        <f t="shared" si="1"/>
        <v>366.40255000000002</v>
      </c>
      <c r="M6" s="5">
        <f t="shared" si="1"/>
        <v>266.43869537837821</v>
      </c>
      <c r="N6" s="5">
        <f t="shared" si="1"/>
        <v>272.39592151351366</v>
      </c>
      <c r="O6" s="5">
        <f>SUM(O3:O5)</f>
        <v>2552.4258072034081</v>
      </c>
    </row>
    <row r="15" spans="1:15">
      <c r="B15" t="s">
        <v>45</v>
      </c>
    </row>
    <row r="16" spans="1:15">
      <c r="A16" t="s">
        <v>2</v>
      </c>
      <c r="C16" s="5">
        <v>22.82</v>
      </c>
      <c r="D16" s="5">
        <v>21.43</v>
      </c>
      <c r="E16" s="5">
        <v>23.509354399999999</v>
      </c>
      <c r="F16" s="5">
        <v>22.266451</v>
      </c>
      <c r="G16" s="5"/>
      <c r="H16" s="5"/>
      <c r="I16" s="5"/>
      <c r="J16" s="5"/>
      <c r="K16" s="5"/>
      <c r="L16" s="5"/>
      <c r="M16" s="5"/>
      <c r="N16" s="5"/>
      <c r="O16" s="5">
        <v>90.02580540000001</v>
      </c>
    </row>
    <row r="17" spans="1:15">
      <c r="A17" t="s">
        <v>3</v>
      </c>
      <c r="C17" s="5">
        <v>112.12</v>
      </c>
      <c r="D17" s="5">
        <v>57.95</v>
      </c>
      <c r="E17" s="5">
        <v>63.468082199999998</v>
      </c>
      <c r="F17" s="5">
        <v>53.9780053</v>
      </c>
      <c r="G17" s="5"/>
      <c r="H17" s="5"/>
      <c r="I17" s="5"/>
      <c r="J17" s="5"/>
      <c r="K17" s="5"/>
      <c r="L17" s="5"/>
      <c r="M17" s="5"/>
      <c r="N17" s="5"/>
      <c r="O17" s="5">
        <v>287.51608749999997</v>
      </c>
    </row>
    <row r="18" spans="1:15">
      <c r="A18" t="s">
        <v>24</v>
      </c>
      <c r="C18" s="5">
        <v>77.61</v>
      </c>
      <c r="D18" s="5">
        <v>43.61</v>
      </c>
      <c r="E18" s="5">
        <v>48.613678100000001</v>
      </c>
      <c r="F18" s="5">
        <v>42.923941999999997</v>
      </c>
      <c r="G18" s="5"/>
      <c r="H18" s="5"/>
      <c r="I18" s="5"/>
      <c r="J18" s="5"/>
      <c r="K18" s="5"/>
      <c r="L18" s="5"/>
      <c r="M18" s="5"/>
      <c r="N18" s="5"/>
      <c r="O18" s="5">
        <v>212.7576201</v>
      </c>
    </row>
    <row r="19" spans="1:15">
      <c r="C19" s="5">
        <v>212.55</v>
      </c>
      <c r="D19" s="5">
        <v>122.99</v>
      </c>
      <c r="E19" s="5">
        <v>135.59111469999999</v>
      </c>
      <c r="F19" s="5">
        <v>119.16839829999999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590.29951299999993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Ky Hai</dc:creator>
  <cp:keywords/>
  <dc:description/>
  <cp:lastModifiedBy/>
  <cp:revision/>
  <dcterms:created xsi:type="dcterms:W3CDTF">2025-02-03T05:08:18Z</dcterms:created>
  <dcterms:modified xsi:type="dcterms:W3CDTF">2026-07-18T16:25:39Z</dcterms:modified>
  <cp:category/>
  <cp:contentStatus/>
</cp:coreProperties>
</file>